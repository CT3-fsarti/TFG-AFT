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Z8nas\z8 casa\07a MARINA\00 ESTUDIOS\00 UNIVERSIDAD\00 TRABAJO DE FIN DE GRADO\02 SIMULACIÓN\1. CREACIÓN DE RED\"/>
    </mc:Choice>
  </mc:AlternateContent>
  <xr:revisionPtr revIDLastSave="0" documentId="13_ncr:1_{96FA9C04-CF1C-4452-908E-747D4CC712AD}" xr6:coauthVersionLast="47" xr6:coauthVersionMax="47" xr10:uidLastSave="{00000000-0000-0000-0000-000000000000}"/>
  <bookViews>
    <workbookView xWindow="-120" yWindow="-120" windowWidth="29040" windowHeight="15720" tabRatio="864" firstSheet="8" activeTab="14" xr2:uid="{00000000-000D-0000-FFFF-FFFF00000000}"/>
  </bookViews>
  <sheets>
    <sheet name="Portada" sheetId="15" r:id="rId1"/>
    <sheet name="Tipos de Nodo" sheetId="1" r:id="rId2"/>
    <sheet name="Nodos" sheetId="2" r:id="rId3"/>
    <sheet name="Prop.&amp;Pesos Canales" sheetId="3" r:id="rId4"/>
    <sheet name="Canales" sheetId="4" r:id="rId5"/>
    <sheet name="Enlaces" sheetId="5" r:id="rId6"/>
    <sheet name="Red" sheetId="6" r:id="rId7"/>
    <sheet name="Grafo Visual" sheetId="7" r:id="rId8"/>
    <sheet name="MatrizDeAdyacencia" sheetId="8" r:id="rId9"/>
    <sheet name="MatrizPonderadaCostes" sheetId="9" r:id="rId10"/>
    <sheet name="MatrizPonderadaValorOperativo" sheetId="10" r:id="rId11"/>
    <sheet name="MatrizTradeOff Valor Op-Coste" sheetId="11" r:id="rId12"/>
    <sheet name="MatrizDeDistanciasDirectas" sheetId="13" r:id="rId13"/>
    <sheet name="Métricas de Nodos" sheetId="12" r:id="rId14"/>
    <sheet name="MatrizDeDistanciasMínimas" sheetId="14" r:id="rId15"/>
    <sheet name="Métricas de Red" sheetId="16" r:id="rId16"/>
  </sheets>
  <definedNames>
    <definedName name="_xlpm.col" hidden="1" xlm="1">#NAME?</definedName>
    <definedName name="_xlpm.n" hidden="1" xlm="1">#NAME?</definedName>
    <definedName name="_xlpm.row" hidden="1" xlm="1">#NAME?</definedName>
    <definedName name="_xlnm.Print_Area" localSheetId="4">Canales!$B$1:$P$38</definedName>
    <definedName name="Coste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6" l="1" a="1"/>
  <c r="C8" i="16" s="1"/>
  <c r="C7" i="16" a="1"/>
  <c r="C7" i="16" s="1"/>
  <c r="H4" i="12" a="1"/>
  <c r="H4" i="12" s="1"/>
  <c r="H5" i="12" a="1"/>
  <c r="H5" i="12" s="1"/>
  <c r="H6" i="12" a="1"/>
  <c r="H6" i="12" s="1"/>
  <c r="H7" i="12" a="1"/>
  <c r="H7" i="12" s="1"/>
  <c r="H8" i="12" a="1"/>
  <c r="H8" i="12" s="1"/>
  <c r="H9" i="12" a="1"/>
  <c r="H9" i="12" s="1"/>
  <c r="H10" i="12" a="1"/>
  <c r="H10" i="12" s="1"/>
  <c r="H11" i="12" a="1"/>
  <c r="H11" i="12" s="1"/>
  <c r="H12" i="12" a="1"/>
  <c r="H12" i="12" s="1"/>
  <c r="H13" i="12" a="1"/>
  <c r="H13" i="12" s="1"/>
  <c r="H14" i="12" a="1"/>
  <c r="H14" i="12"/>
  <c r="H15" i="12" a="1"/>
  <c r="H15" i="12" s="1"/>
  <c r="H16" i="12" a="1"/>
  <c r="H16" i="12" s="1"/>
  <c r="H17" i="12" a="1"/>
  <c r="H17" i="12" s="1"/>
  <c r="H18" i="12" a="1"/>
  <c r="H18" i="12" s="1"/>
  <c r="H19" i="12" a="1"/>
  <c r="H19" i="12" s="1"/>
  <c r="H20" i="12" a="1"/>
  <c r="H20" i="12" s="1"/>
  <c r="H21" i="12" a="1"/>
  <c r="H21" i="12" s="1"/>
  <c r="H22" i="12" a="1"/>
  <c r="H22" i="12" s="1"/>
  <c r="H23" i="12" a="1"/>
  <c r="H23" i="12" s="1"/>
  <c r="H24" i="12" a="1"/>
  <c r="H24" i="12"/>
  <c r="H25" i="12" a="1"/>
  <c r="H25" i="12" s="1"/>
  <c r="H26" i="12" a="1"/>
  <c r="H26" i="12" s="1"/>
  <c r="H27" i="12" a="1"/>
  <c r="H27" i="12" s="1"/>
  <c r="H28" i="12" a="1"/>
  <c r="H28" i="12" s="1"/>
  <c r="H29" i="12" a="1"/>
  <c r="H29" i="12" s="1"/>
  <c r="H30" i="12" a="1"/>
  <c r="H30" i="12" s="1"/>
  <c r="H31" i="12" a="1"/>
  <c r="H31" i="12"/>
  <c r="H32" i="12" a="1"/>
  <c r="H32" i="12" s="1"/>
  <c r="H33" i="12" a="1"/>
  <c r="H33" i="12" s="1"/>
  <c r="H34" i="12" a="1"/>
  <c r="H34" i="12" s="1"/>
  <c r="C5" i="16"/>
  <c r="C4" i="16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E2" i="14"/>
  <c r="D2" i="14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AH32" i="13"/>
  <c r="AG32" i="13"/>
  <c r="AF32" i="13"/>
  <c r="AE32" i="13"/>
  <c r="AD32" i="13"/>
  <c r="AC32" i="13"/>
  <c r="AB32" i="13"/>
  <c r="AA32" i="13"/>
  <c r="Z32" i="13"/>
  <c r="Y32" i="13"/>
  <c r="X32" i="13"/>
  <c r="W32" i="13"/>
  <c r="V32" i="13"/>
  <c r="U32" i="13"/>
  <c r="T32" i="13"/>
  <c r="S32" i="13"/>
  <c r="R32" i="13"/>
  <c r="Q32" i="13"/>
  <c r="P32" i="13"/>
  <c r="O32" i="13"/>
  <c r="N32" i="13"/>
  <c r="M32" i="13"/>
  <c r="L32" i="13"/>
  <c r="K32" i="13"/>
  <c r="J32" i="13"/>
  <c r="I32" i="13"/>
  <c r="H32" i="13"/>
  <c r="G32" i="13"/>
  <c r="F32" i="13"/>
  <c r="E32" i="13"/>
  <c r="D32" i="13"/>
  <c r="AH31" i="13"/>
  <c r="AG31" i="13"/>
  <c r="AF31" i="13"/>
  <c r="AE31" i="13"/>
  <c r="AD31" i="13"/>
  <c r="AC31" i="13"/>
  <c r="AB31" i="13"/>
  <c r="AA31" i="13"/>
  <c r="Z31" i="13"/>
  <c r="Y31" i="13"/>
  <c r="X31" i="13"/>
  <c r="W31" i="13"/>
  <c r="V31" i="13"/>
  <c r="U31" i="13"/>
  <c r="T31" i="13"/>
  <c r="S31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AH30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AH29" i="13"/>
  <c r="AG29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AH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AH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AH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AH24" i="13"/>
  <c r="AG24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AH23" i="13"/>
  <c r="AG23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AH22" i="13"/>
  <c r="AG22" i="13"/>
  <c r="AF22" i="13"/>
  <c r="AE22" i="13"/>
  <c r="AD22" i="13"/>
  <c r="AC22" i="13"/>
  <c r="AB22" i="13"/>
  <c r="AA22" i="13"/>
  <c r="Z22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AH21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AH20" i="13"/>
  <c r="AG20" i="13"/>
  <c r="AF20" i="13"/>
  <c r="AE20" i="13"/>
  <c r="AD20" i="13"/>
  <c r="AC20" i="13"/>
  <c r="AB20" i="13"/>
  <c r="AA20" i="13"/>
  <c r="Z20" i="13"/>
  <c r="Y20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AH19" i="13"/>
  <c r="AG19" i="13"/>
  <c r="AF19" i="13"/>
  <c r="AE19" i="13"/>
  <c r="AD19" i="13"/>
  <c r="AC19" i="13"/>
  <c r="AB19" i="13"/>
  <c r="AA19" i="13"/>
  <c r="Z19" i="13"/>
  <c r="Y19" i="13"/>
  <c r="X19" i="13"/>
  <c r="W19" i="13"/>
  <c r="V19" i="13"/>
  <c r="U19" i="13"/>
  <c r="T19" i="13"/>
  <c r="S19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F19" i="13"/>
  <c r="E19" i="13"/>
  <c r="D19" i="13"/>
  <c r="AH18" i="13"/>
  <c r="AG18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AH17" i="13"/>
  <c r="AG17" i="13"/>
  <c r="AF17" i="13"/>
  <c r="AE17" i="13"/>
  <c r="AD17" i="13"/>
  <c r="AC17" i="13"/>
  <c r="AB17" i="13"/>
  <c r="AA17" i="13"/>
  <c r="Z17" i="13"/>
  <c r="Y17" i="13"/>
  <c r="X17" i="13"/>
  <c r="W17" i="13"/>
  <c r="V17" i="13"/>
  <c r="U17" i="13"/>
  <c r="T17" i="13"/>
  <c r="S17" i="13"/>
  <c r="R17" i="13"/>
  <c r="Q17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AH16" i="13"/>
  <c r="AG16" i="1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AH15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AH14" i="13"/>
  <c r="AG14" i="13"/>
  <c r="AF14" i="13"/>
  <c r="AE14" i="13"/>
  <c r="AD14" i="13"/>
  <c r="AC14" i="13"/>
  <c r="AB14" i="13"/>
  <c r="AA14" i="13"/>
  <c r="Z14" i="13"/>
  <c r="Y14" i="13"/>
  <c r="X14" i="13"/>
  <c r="W14" i="13"/>
  <c r="V14" i="13"/>
  <c r="U14" i="13"/>
  <c r="T14" i="13"/>
  <c r="S14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F14" i="13"/>
  <c r="E14" i="13"/>
  <c r="D14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AH12" i="13"/>
  <c r="AG12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AH10" i="13"/>
  <c r="AG10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AH9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AH8" i="13"/>
  <c r="AG8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AH7" i="13"/>
  <c r="AG7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AH6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AH4" i="13"/>
  <c r="AG4" i="13"/>
  <c r="AF4" i="13"/>
  <c r="AE4" i="13"/>
  <c r="AD4" i="13"/>
  <c r="AC4" i="13"/>
  <c r="AB4" i="13"/>
  <c r="AA4" i="13"/>
  <c r="Z4" i="13"/>
  <c r="Y4" i="13"/>
  <c r="X4" i="13"/>
  <c r="W4" i="13"/>
  <c r="V4" i="13"/>
  <c r="U4" i="13"/>
  <c r="T4" i="13"/>
  <c r="S4" i="13"/>
  <c r="R4" i="13"/>
  <c r="Q4" i="13"/>
  <c r="P4" i="13"/>
  <c r="O4" i="13"/>
  <c r="N4" i="13"/>
  <c r="M4" i="13"/>
  <c r="L4" i="13"/>
  <c r="K4" i="13"/>
  <c r="J4" i="13"/>
  <c r="I4" i="13"/>
  <c r="H4" i="13"/>
  <c r="G4" i="13"/>
  <c r="F4" i="13"/>
  <c r="E4" i="13"/>
  <c r="D4" i="13"/>
  <c r="B4" i="12"/>
  <c r="D4" i="12"/>
  <c r="E4" i="12"/>
  <c r="B5" i="12"/>
  <c r="D5" i="12"/>
  <c r="E5" i="12"/>
  <c r="B6" i="12"/>
  <c r="D6" i="12"/>
  <c r="F6" i="12" s="1"/>
  <c r="E6" i="12"/>
  <c r="B7" i="12"/>
  <c r="D7" i="12"/>
  <c r="E7" i="12"/>
  <c r="B8" i="12"/>
  <c r="D8" i="12"/>
  <c r="E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D22" i="12"/>
  <c r="D23" i="12"/>
  <c r="D24" i="12"/>
  <c r="D25" i="12"/>
  <c r="D26" i="12"/>
  <c r="D27" i="12"/>
  <c r="D28" i="12"/>
  <c r="E22" i="12"/>
  <c r="E23" i="12"/>
  <c r="E24" i="12"/>
  <c r="E25" i="12"/>
  <c r="E26" i="12"/>
  <c r="E27" i="12"/>
  <c r="E28" i="12"/>
  <c r="D29" i="12"/>
  <c r="D30" i="12"/>
  <c r="D31" i="12"/>
  <c r="D32" i="12"/>
  <c r="E29" i="12"/>
  <c r="E30" i="12"/>
  <c r="E31" i="12"/>
  <c r="E32" i="12"/>
  <c r="D33" i="12"/>
  <c r="D34" i="12"/>
  <c r="E33" i="12"/>
  <c r="E34" i="12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AH32" i="11"/>
  <c r="AG32" i="11"/>
  <c r="AF32" i="11"/>
  <c r="AE32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AH30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AH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AH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AH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AH24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AH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AH22" i="11"/>
  <c r="AG22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AH20" i="11"/>
  <c r="AG20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AH12" i="11"/>
  <c r="AG12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AH8" i="11"/>
  <c r="AG8" i="1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AH6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AH4" i="11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E2" i="13"/>
  <c r="F2" i="13"/>
  <c r="G2" i="13"/>
  <c r="H2" i="13"/>
  <c r="I2" i="13"/>
  <c r="J2" i="13"/>
  <c r="K2" i="13"/>
  <c r="L2" i="13"/>
  <c r="M2" i="13"/>
  <c r="N2" i="13"/>
  <c r="O2" i="13"/>
  <c r="P2" i="13"/>
  <c r="Q2" i="13"/>
  <c r="R2" i="13"/>
  <c r="S2" i="13"/>
  <c r="T2" i="13"/>
  <c r="U2" i="13"/>
  <c r="V2" i="13"/>
  <c r="W2" i="13"/>
  <c r="X2" i="13"/>
  <c r="Y2" i="13"/>
  <c r="Z2" i="13"/>
  <c r="AA2" i="13"/>
  <c r="AB2" i="13"/>
  <c r="AC2" i="13"/>
  <c r="AD2" i="13"/>
  <c r="AE2" i="13"/>
  <c r="AF2" i="13"/>
  <c r="AG2" i="13"/>
  <c r="AH2" i="13"/>
  <c r="D2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D2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E2" i="10"/>
  <c r="F2" i="10"/>
  <c r="G2" i="10"/>
  <c r="H2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D2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W2" i="9"/>
  <c r="X2" i="9"/>
  <c r="Y2" i="9"/>
  <c r="Z2" i="9"/>
  <c r="AA2" i="9"/>
  <c r="AB2" i="9"/>
  <c r="AC2" i="9"/>
  <c r="AD2" i="9"/>
  <c r="AE2" i="9"/>
  <c r="AF2" i="9"/>
  <c r="AG2" i="9"/>
  <c r="AH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D2" i="9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AF2" i="8"/>
  <c r="AG2" i="8"/>
  <c r="AH2" i="8"/>
  <c r="D2" i="8"/>
  <c r="O436" i="5"/>
  <c r="N436" i="5"/>
  <c r="P436" i="5" s="1"/>
  <c r="M436" i="5"/>
  <c r="L436" i="5"/>
  <c r="K436" i="5"/>
  <c r="J436" i="5"/>
  <c r="I436" i="5"/>
  <c r="F436" i="5"/>
  <c r="D436" i="5"/>
  <c r="B436" i="5" a="1"/>
  <c r="B436" i="5"/>
  <c r="O435" i="5"/>
  <c r="P435" i="5" s="1"/>
  <c r="N435" i="5"/>
  <c r="M435" i="5"/>
  <c r="L435" i="5"/>
  <c r="K435" i="5"/>
  <c r="J435" i="5"/>
  <c r="I435" i="5"/>
  <c r="F435" i="5"/>
  <c r="D435" i="5"/>
  <c r="B435" i="5" a="1"/>
  <c r="B435" i="5" s="1"/>
  <c r="P434" i="5"/>
  <c r="O434" i="5"/>
  <c r="N434" i="5"/>
  <c r="M434" i="5"/>
  <c r="L434" i="5"/>
  <c r="K434" i="5"/>
  <c r="J434" i="5"/>
  <c r="I434" i="5"/>
  <c r="F434" i="5"/>
  <c r="D434" i="5"/>
  <c r="B434" i="5" a="1"/>
  <c r="B434" i="5" s="1"/>
  <c r="P433" i="5"/>
  <c r="O433" i="5"/>
  <c r="N433" i="5"/>
  <c r="M433" i="5"/>
  <c r="L433" i="5"/>
  <c r="K433" i="5"/>
  <c r="J433" i="5"/>
  <c r="I433" i="5"/>
  <c r="F433" i="5"/>
  <c r="D433" i="5"/>
  <c r="B433" i="5" a="1"/>
  <c r="B433" i="5" s="1"/>
  <c r="O432" i="5"/>
  <c r="N432" i="5"/>
  <c r="M432" i="5"/>
  <c r="L432" i="5"/>
  <c r="K432" i="5"/>
  <c r="J432" i="5"/>
  <c r="I432" i="5"/>
  <c r="F432" i="5"/>
  <c r="D432" i="5"/>
  <c r="B432" i="5" a="1"/>
  <c r="B432" i="5" s="1"/>
  <c r="P431" i="5"/>
  <c r="O431" i="5"/>
  <c r="N431" i="5"/>
  <c r="M431" i="5"/>
  <c r="L431" i="5"/>
  <c r="K431" i="5"/>
  <c r="J431" i="5"/>
  <c r="I431" i="5"/>
  <c r="F431" i="5"/>
  <c r="D431" i="5"/>
  <c r="B431" i="5" a="1"/>
  <c r="B431" i="5"/>
  <c r="O430" i="5"/>
  <c r="N430" i="5"/>
  <c r="M430" i="5"/>
  <c r="L430" i="5"/>
  <c r="P430" i="5" s="1"/>
  <c r="K430" i="5"/>
  <c r="J430" i="5"/>
  <c r="I430" i="5"/>
  <c r="F430" i="5"/>
  <c r="D430" i="5"/>
  <c r="B430" i="5" a="1"/>
  <c r="B430" i="5"/>
  <c r="O429" i="5"/>
  <c r="N429" i="5"/>
  <c r="M429" i="5"/>
  <c r="L429" i="5"/>
  <c r="P429" i="5" s="1"/>
  <c r="K429" i="5"/>
  <c r="J429" i="5"/>
  <c r="I429" i="5"/>
  <c r="F429" i="5"/>
  <c r="D429" i="5"/>
  <c r="B429" i="5" a="1"/>
  <c r="B429" i="5" s="1"/>
  <c r="O428" i="5"/>
  <c r="N428" i="5"/>
  <c r="M428" i="5"/>
  <c r="L428" i="5"/>
  <c r="P428" i="5" s="1"/>
  <c r="K428" i="5"/>
  <c r="J428" i="5"/>
  <c r="I428" i="5"/>
  <c r="F428" i="5"/>
  <c r="D428" i="5"/>
  <c r="B428" i="5" a="1"/>
  <c r="B428" i="5" s="1"/>
  <c r="O427" i="5"/>
  <c r="N427" i="5"/>
  <c r="M427" i="5"/>
  <c r="L427" i="5"/>
  <c r="P427" i="5" s="1"/>
  <c r="K427" i="5"/>
  <c r="J427" i="5"/>
  <c r="I427" i="5"/>
  <c r="F427" i="5"/>
  <c r="D427" i="5"/>
  <c r="B427" i="5" a="1"/>
  <c r="B427" i="5" s="1"/>
  <c r="O426" i="5"/>
  <c r="N426" i="5"/>
  <c r="M426" i="5"/>
  <c r="L426" i="5"/>
  <c r="P426" i="5" s="1"/>
  <c r="K426" i="5"/>
  <c r="J426" i="5"/>
  <c r="I426" i="5"/>
  <c r="F426" i="5"/>
  <c r="D426" i="5"/>
  <c r="B426" i="5" a="1"/>
  <c r="B426" i="5" s="1"/>
  <c r="P425" i="5"/>
  <c r="O425" i="5"/>
  <c r="N425" i="5"/>
  <c r="M425" i="5"/>
  <c r="L425" i="5"/>
  <c r="K425" i="5"/>
  <c r="J425" i="5"/>
  <c r="I425" i="5"/>
  <c r="F425" i="5"/>
  <c r="D425" i="5"/>
  <c r="B425" i="5" a="1"/>
  <c r="B425" i="5"/>
  <c r="O424" i="5"/>
  <c r="N424" i="5"/>
  <c r="M424" i="5"/>
  <c r="L424" i="5"/>
  <c r="P424" i="5" s="1"/>
  <c r="K424" i="5"/>
  <c r="J424" i="5"/>
  <c r="I424" i="5"/>
  <c r="F424" i="5"/>
  <c r="D424" i="5"/>
  <c r="B424" i="5" a="1"/>
  <c r="B424" i="5" s="1"/>
  <c r="O423" i="5"/>
  <c r="N423" i="5"/>
  <c r="M423" i="5"/>
  <c r="P423" i="5" s="1"/>
  <c r="L423" i="5"/>
  <c r="K423" i="5"/>
  <c r="J423" i="5"/>
  <c r="I423" i="5"/>
  <c r="F423" i="5"/>
  <c r="D423" i="5"/>
  <c r="B423" i="5" a="1"/>
  <c r="B423" i="5"/>
  <c r="O422" i="5"/>
  <c r="N422" i="5"/>
  <c r="M422" i="5"/>
  <c r="L422" i="5"/>
  <c r="P422" i="5" s="1"/>
  <c r="K422" i="5"/>
  <c r="J422" i="5"/>
  <c r="I422" i="5"/>
  <c r="F422" i="5"/>
  <c r="D422" i="5"/>
  <c r="B422" i="5" a="1"/>
  <c r="B422" i="5" s="1"/>
  <c r="O421" i="5"/>
  <c r="N421" i="5"/>
  <c r="M421" i="5"/>
  <c r="L421" i="5"/>
  <c r="K421" i="5"/>
  <c r="J421" i="5"/>
  <c r="I421" i="5"/>
  <c r="F421" i="5"/>
  <c r="D421" i="5"/>
  <c r="B421" i="5" a="1"/>
  <c r="B421" i="5"/>
  <c r="O420" i="5"/>
  <c r="N420" i="5"/>
  <c r="M420" i="5"/>
  <c r="L420" i="5"/>
  <c r="K420" i="5"/>
  <c r="J420" i="5"/>
  <c r="I420" i="5"/>
  <c r="F420" i="5"/>
  <c r="D420" i="5"/>
  <c r="B420" i="5" a="1"/>
  <c r="B420" i="5"/>
  <c r="O419" i="5"/>
  <c r="N419" i="5"/>
  <c r="M419" i="5"/>
  <c r="L419" i="5"/>
  <c r="K419" i="5"/>
  <c r="J419" i="5"/>
  <c r="I419" i="5"/>
  <c r="F419" i="5"/>
  <c r="D419" i="5"/>
  <c r="B419" i="5" a="1"/>
  <c r="B419" i="5"/>
  <c r="O418" i="5"/>
  <c r="N418" i="5"/>
  <c r="M418" i="5"/>
  <c r="L418" i="5"/>
  <c r="P418" i="5" s="1"/>
  <c r="K418" i="5"/>
  <c r="J418" i="5"/>
  <c r="I418" i="5"/>
  <c r="F418" i="5"/>
  <c r="D418" i="5"/>
  <c r="B418" i="5" a="1"/>
  <c r="B418" i="5" s="1"/>
  <c r="P417" i="5"/>
  <c r="O417" i="5"/>
  <c r="N417" i="5"/>
  <c r="M417" i="5"/>
  <c r="L417" i="5"/>
  <c r="K417" i="5"/>
  <c r="J417" i="5"/>
  <c r="I417" i="5"/>
  <c r="F417" i="5"/>
  <c r="D417" i="5"/>
  <c r="B417" i="5" a="1"/>
  <c r="B417" i="5"/>
  <c r="O416" i="5"/>
  <c r="N416" i="5"/>
  <c r="M416" i="5"/>
  <c r="L416" i="5"/>
  <c r="P416" i="5" s="1"/>
  <c r="K416" i="5"/>
  <c r="J416" i="5"/>
  <c r="I416" i="5"/>
  <c r="F416" i="5"/>
  <c r="D416" i="5"/>
  <c r="B416" i="5" a="1"/>
  <c r="B416" i="5" s="1"/>
  <c r="P415" i="5"/>
  <c r="O415" i="5"/>
  <c r="N415" i="5"/>
  <c r="M415" i="5"/>
  <c r="L415" i="5"/>
  <c r="K415" i="5"/>
  <c r="J415" i="5"/>
  <c r="I415" i="5"/>
  <c r="F415" i="5"/>
  <c r="D415" i="5"/>
  <c r="B415" i="5" a="1"/>
  <c r="B415" i="5" s="1"/>
  <c r="O414" i="5"/>
  <c r="P414" i="5" s="1"/>
  <c r="N414" i="5"/>
  <c r="M414" i="5"/>
  <c r="L414" i="5"/>
  <c r="K414" i="5"/>
  <c r="J414" i="5"/>
  <c r="I414" i="5"/>
  <c r="F414" i="5"/>
  <c r="D414" i="5"/>
  <c r="B414" i="5" a="1"/>
  <c r="B414" i="5"/>
  <c r="P413" i="5"/>
  <c r="O413" i="5"/>
  <c r="N413" i="5"/>
  <c r="M413" i="5"/>
  <c r="L413" i="5"/>
  <c r="K413" i="5"/>
  <c r="J413" i="5"/>
  <c r="I413" i="5"/>
  <c r="F413" i="5"/>
  <c r="D413" i="5"/>
  <c r="B413" i="5" a="1"/>
  <c r="B413" i="5"/>
  <c r="O412" i="5"/>
  <c r="N412" i="5"/>
  <c r="M412" i="5"/>
  <c r="P412" i="5" s="1"/>
  <c r="L412" i="5"/>
  <c r="K412" i="5"/>
  <c r="J412" i="5"/>
  <c r="I412" i="5"/>
  <c r="F412" i="5"/>
  <c r="D412" i="5"/>
  <c r="B412" i="5" a="1"/>
  <c r="B412" i="5" s="1"/>
  <c r="O411" i="5"/>
  <c r="N411" i="5"/>
  <c r="M411" i="5"/>
  <c r="L411" i="5"/>
  <c r="P411" i="5" s="1"/>
  <c r="K411" i="5"/>
  <c r="J411" i="5"/>
  <c r="I411" i="5"/>
  <c r="F411" i="5"/>
  <c r="D411" i="5"/>
  <c r="B411" i="5" a="1"/>
  <c r="B411" i="5" s="1"/>
  <c r="O410" i="5"/>
  <c r="N410" i="5"/>
  <c r="M410" i="5"/>
  <c r="L410" i="5"/>
  <c r="P410" i="5" s="1"/>
  <c r="K410" i="5"/>
  <c r="J410" i="5"/>
  <c r="I410" i="5"/>
  <c r="F410" i="5"/>
  <c r="D410" i="5"/>
  <c r="B410" i="5" a="1"/>
  <c r="B410" i="5" s="1"/>
  <c r="O409" i="5"/>
  <c r="N409" i="5"/>
  <c r="P409" i="5" s="1"/>
  <c r="M409" i="5"/>
  <c r="L409" i="5"/>
  <c r="K409" i="5"/>
  <c r="J409" i="5"/>
  <c r="I409" i="5"/>
  <c r="F409" i="5"/>
  <c r="D409" i="5"/>
  <c r="B409" i="5" a="1"/>
  <c r="B409" i="5"/>
  <c r="O408" i="5"/>
  <c r="N408" i="5"/>
  <c r="M408" i="5"/>
  <c r="L408" i="5"/>
  <c r="P408" i="5" s="1"/>
  <c r="K408" i="5"/>
  <c r="J408" i="5"/>
  <c r="I408" i="5"/>
  <c r="F408" i="5"/>
  <c r="D408" i="5"/>
  <c r="B408" i="5" a="1"/>
  <c r="B408" i="5" s="1"/>
  <c r="O407" i="5"/>
  <c r="N407" i="5"/>
  <c r="M407" i="5"/>
  <c r="L407" i="5"/>
  <c r="P407" i="5" s="1"/>
  <c r="K407" i="5"/>
  <c r="J407" i="5"/>
  <c r="I407" i="5"/>
  <c r="F407" i="5"/>
  <c r="D407" i="5"/>
  <c r="B407" i="5" a="1"/>
  <c r="B407" i="5" s="1"/>
  <c r="O406" i="5"/>
  <c r="N406" i="5"/>
  <c r="P406" i="5" s="1"/>
  <c r="M406" i="5"/>
  <c r="L406" i="5"/>
  <c r="K406" i="5"/>
  <c r="J406" i="5"/>
  <c r="I406" i="5"/>
  <c r="F406" i="5"/>
  <c r="D406" i="5"/>
  <c r="B406" i="5" a="1"/>
  <c r="B406" i="5" s="1"/>
  <c r="O405" i="5"/>
  <c r="N405" i="5"/>
  <c r="M405" i="5"/>
  <c r="L405" i="5"/>
  <c r="K405" i="5"/>
  <c r="J405" i="5"/>
  <c r="I405" i="5"/>
  <c r="F405" i="5"/>
  <c r="D405" i="5"/>
  <c r="B405" i="5" a="1"/>
  <c r="B405" i="5" s="1"/>
  <c r="O404" i="5"/>
  <c r="N404" i="5"/>
  <c r="P404" i="5" s="1"/>
  <c r="M404" i="5"/>
  <c r="L404" i="5"/>
  <c r="K404" i="5"/>
  <c r="J404" i="5"/>
  <c r="I404" i="5"/>
  <c r="F404" i="5"/>
  <c r="D404" i="5"/>
  <c r="B404" i="5" a="1"/>
  <c r="B404" i="5" s="1"/>
  <c r="O403" i="5"/>
  <c r="P403" i="5" s="1"/>
  <c r="N403" i="5"/>
  <c r="M403" i="5"/>
  <c r="L403" i="5"/>
  <c r="K403" i="5"/>
  <c r="J403" i="5"/>
  <c r="I403" i="5"/>
  <c r="F403" i="5"/>
  <c r="D403" i="5"/>
  <c r="B403" i="5" a="1"/>
  <c r="B403" i="5" s="1"/>
  <c r="O402" i="5"/>
  <c r="N402" i="5"/>
  <c r="P402" i="5" s="1"/>
  <c r="M402" i="5"/>
  <c r="L402" i="5"/>
  <c r="K402" i="5"/>
  <c r="J402" i="5"/>
  <c r="I402" i="5"/>
  <c r="F402" i="5"/>
  <c r="D402" i="5"/>
  <c r="B402" i="5" a="1"/>
  <c r="B402" i="5"/>
  <c r="P401" i="5"/>
  <c r="O401" i="5"/>
  <c r="N401" i="5"/>
  <c r="M401" i="5"/>
  <c r="L401" i="5"/>
  <c r="K401" i="5"/>
  <c r="J401" i="5"/>
  <c r="I401" i="5"/>
  <c r="F401" i="5"/>
  <c r="D401" i="5"/>
  <c r="B401" i="5" a="1"/>
  <c r="B401" i="5" s="1"/>
  <c r="P400" i="5"/>
  <c r="O400" i="5"/>
  <c r="N400" i="5"/>
  <c r="M400" i="5"/>
  <c r="L400" i="5"/>
  <c r="K400" i="5"/>
  <c r="J400" i="5"/>
  <c r="I400" i="5"/>
  <c r="F400" i="5"/>
  <c r="D400" i="5"/>
  <c r="B400" i="5" a="1"/>
  <c r="B400" i="5" s="1"/>
  <c r="O399" i="5"/>
  <c r="N399" i="5"/>
  <c r="M399" i="5"/>
  <c r="L399" i="5"/>
  <c r="K399" i="5"/>
  <c r="J399" i="5"/>
  <c r="I399" i="5"/>
  <c r="F399" i="5"/>
  <c r="D399" i="5"/>
  <c r="B399" i="5" a="1"/>
  <c r="B399" i="5" s="1"/>
  <c r="P398" i="5"/>
  <c r="O398" i="5"/>
  <c r="N398" i="5"/>
  <c r="M398" i="5"/>
  <c r="L398" i="5"/>
  <c r="K398" i="5"/>
  <c r="J398" i="5"/>
  <c r="I398" i="5"/>
  <c r="F398" i="5"/>
  <c r="D398" i="5"/>
  <c r="B398" i="5" a="1"/>
  <c r="B398" i="5"/>
  <c r="O397" i="5"/>
  <c r="N397" i="5"/>
  <c r="M397" i="5"/>
  <c r="L397" i="5"/>
  <c r="P397" i="5" s="1"/>
  <c r="K397" i="5"/>
  <c r="J397" i="5"/>
  <c r="I397" i="5"/>
  <c r="F397" i="5"/>
  <c r="D397" i="5"/>
  <c r="B397" i="5" a="1"/>
  <c r="B397" i="5"/>
  <c r="O396" i="5"/>
  <c r="N396" i="5"/>
  <c r="M396" i="5"/>
  <c r="L396" i="5"/>
  <c r="P396" i="5" s="1"/>
  <c r="K396" i="5"/>
  <c r="J396" i="5"/>
  <c r="I396" i="5"/>
  <c r="F396" i="5"/>
  <c r="D396" i="5"/>
  <c r="B396" i="5" a="1"/>
  <c r="B396" i="5" s="1"/>
  <c r="O395" i="5"/>
  <c r="N395" i="5"/>
  <c r="M395" i="5"/>
  <c r="L395" i="5"/>
  <c r="K395" i="5"/>
  <c r="J395" i="5"/>
  <c r="I395" i="5"/>
  <c r="F395" i="5"/>
  <c r="D395" i="5"/>
  <c r="B395" i="5" a="1"/>
  <c r="B395" i="5" s="1"/>
  <c r="O394" i="5"/>
  <c r="N394" i="5"/>
  <c r="M394" i="5"/>
  <c r="L394" i="5"/>
  <c r="K394" i="5"/>
  <c r="J394" i="5"/>
  <c r="I394" i="5"/>
  <c r="F394" i="5"/>
  <c r="D394" i="5"/>
  <c r="B394" i="5" a="1"/>
  <c r="B394" i="5" s="1"/>
  <c r="O393" i="5"/>
  <c r="N393" i="5"/>
  <c r="M393" i="5"/>
  <c r="L393" i="5"/>
  <c r="K393" i="5"/>
  <c r="J393" i="5"/>
  <c r="I393" i="5"/>
  <c r="F393" i="5"/>
  <c r="D393" i="5"/>
  <c r="B393" i="5" a="1"/>
  <c r="B393" i="5" s="1"/>
  <c r="O392" i="5"/>
  <c r="N392" i="5"/>
  <c r="P392" i="5" s="1"/>
  <c r="M392" i="5"/>
  <c r="L392" i="5"/>
  <c r="K392" i="5"/>
  <c r="J392" i="5"/>
  <c r="I392" i="5"/>
  <c r="F392" i="5"/>
  <c r="D392" i="5"/>
  <c r="B392" i="5" a="1"/>
  <c r="B392" i="5" s="1"/>
  <c r="O391" i="5"/>
  <c r="N391" i="5"/>
  <c r="M391" i="5"/>
  <c r="L391" i="5"/>
  <c r="P391" i="5" s="1"/>
  <c r="K391" i="5"/>
  <c r="J391" i="5"/>
  <c r="I391" i="5"/>
  <c r="F391" i="5"/>
  <c r="D391" i="5"/>
  <c r="B391" i="5" a="1"/>
  <c r="B391" i="5" s="1"/>
  <c r="P390" i="5"/>
  <c r="O390" i="5"/>
  <c r="N390" i="5"/>
  <c r="M390" i="5"/>
  <c r="L390" i="5"/>
  <c r="K390" i="5"/>
  <c r="J390" i="5"/>
  <c r="I390" i="5"/>
  <c r="F390" i="5"/>
  <c r="D390" i="5"/>
  <c r="B390" i="5" a="1"/>
  <c r="B390" i="5"/>
  <c r="O389" i="5"/>
  <c r="N389" i="5"/>
  <c r="M389" i="5"/>
  <c r="L389" i="5"/>
  <c r="P389" i="5" s="1"/>
  <c r="K389" i="5"/>
  <c r="J389" i="5"/>
  <c r="I389" i="5"/>
  <c r="F389" i="5"/>
  <c r="D389" i="5"/>
  <c r="B389" i="5" a="1"/>
  <c r="B389" i="5" s="1"/>
  <c r="O388" i="5"/>
  <c r="N388" i="5"/>
  <c r="M388" i="5"/>
  <c r="L388" i="5"/>
  <c r="K388" i="5"/>
  <c r="J388" i="5"/>
  <c r="I388" i="5"/>
  <c r="F388" i="5"/>
  <c r="D388" i="5"/>
  <c r="B388" i="5" a="1"/>
  <c r="B388" i="5"/>
  <c r="O387" i="5"/>
  <c r="P387" i="5" s="1"/>
  <c r="N387" i="5"/>
  <c r="M387" i="5"/>
  <c r="L387" i="5"/>
  <c r="K387" i="5"/>
  <c r="J387" i="5"/>
  <c r="I387" i="5"/>
  <c r="F387" i="5"/>
  <c r="D387" i="5"/>
  <c r="B387" i="5" a="1"/>
  <c r="B387" i="5"/>
  <c r="O386" i="5"/>
  <c r="N386" i="5"/>
  <c r="M386" i="5"/>
  <c r="L386" i="5"/>
  <c r="K386" i="5"/>
  <c r="J386" i="5"/>
  <c r="I386" i="5"/>
  <c r="F386" i="5"/>
  <c r="D386" i="5"/>
  <c r="B386" i="5" a="1"/>
  <c r="B386" i="5"/>
  <c r="P385" i="5"/>
  <c r="O385" i="5"/>
  <c r="N385" i="5"/>
  <c r="M385" i="5"/>
  <c r="L385" i="5"/>
  <c r="K385" i="5"/>
  <c r="J385" i="5"/>
  <c r="I385" i="5"/>
  <c r="F385" i="5"/>
  <c r="D385" i="5"/>
  <c r="B385" i="5" a="1"/>
  <c r="B385" i="5" s="1"/>
  <c r="P384" i="5"/>
  <c r="O384" i="5"/>
  <c r="N384" i="5"/>
  <c r="M384" i="5"/>
  <c r="L384" i="5"/>
  <c r="K384" i="5"/>
  <c r="J384" i="5"/>
  <c r="I384" i="5"/>
  <c r="F384" i="5"/>
  <c r="D384" i="5"/>
  <c r="B384" i="5" a="1"/>
  <c r="B384" i="5"/>
  <c r="O383" i="5"/>
  <c r="N383" i="5"/>
  <c r="M383" i="5"/>
  <c r="L383" i="5"/>
  <c r="K383" i="5"/>
  <c r="J383" i="5"/>
  <c r="I383" i="5"/>
  <c r="F383" i="5"/>
  <c r="D383" i="5"/>
  <c r="B383" i="5" a="1"/>
  <c r="B383" i="5" s="1"/>
  <c r="P382" i="5"/>
  <c r="O382" i="5"/>
  <c r="N382" i="5"/>
  <c r="M382" i="5"/>
  <c r="L382" i="5"/>
  <c r="K382" i="5"/>
  <c r="J382" i="5"/>
  <c r="I382" i="5"/>
  <c r="F382" i="5"/>
  <c r="D382" i="5"/>
  <c r="B382" i="5" a="1"/>
  <c r="B382" i="5" s="1"/>
  <c r="O381" i="5"/>
  <c r="N381" i="5"/>
  <c r="P381" i="5" s="1"/>
  <c r="M381" i="5"/>
  <c r="L381" i="5"/>
  <c r="K381" i="5"/>
  <c r="J381" i="5"/>
  <c r="I381" i="5"/>
  <c r="F381" i="5"/>
  <c r="D381" i="5"/>
  <c r="B381" i="5" a="1"/>
  <c r="B381" i="5" s="1"/>
  <c r="P380" i="5"/>
  <c r="O380" i="5"/>
  <c r="N380" i="5"/>
  <c r="M380" i="5"/>
  <c r="L380" i="5"/>
  <c r="K380" i="5"/>
  <c r="J380" i="5"/>
  <c r="I380" i="5"/>
  <c r="F380" i="5"/>
  <c r="D380" i="5"/>
  <c r="B380" i="5" a="1"/>
  <c r="B380" i="5" s="1"/>
  <c r="P379" i="5"/>
  <c r="O379" i="5"/>
  <c r="N379" i="5"/>
  <c r="M379" i="5"/>
  <c r="L379" i="5"/>
  <c r="K379" i="5"/>
  <c r="J379" i="5"/>
  <c r="I379" i="5"/>
  <c r="F379" i="5"/>
  <c r="D379" i="5"/>
  <c r="B379" i="5" a="1"/>
  <c r="B379" i="5" s="1"/>
  <c r="O378" i="5"/>
  <c r="N378" i="5"/>
  <c r="M378" i="5"/>
  <c r="L378" i="5"/>
  <c r="P378" i="5" s="1"/>
  <c r="K378" i="5"/>
  <c r="J378" i="5"/>
  <c r="I378" i="5"/>
  <c r="F378" i="5"/>
  <c r="D378" i="5"/>
  <c r="B378" i="5" a="1"/>
  <c r="B378" i="5" s="1"/>
  <c r="O377" i="5"/>
  <c r="N377" i="5"/>
  <c r="M377" i="5"/>
  <c r="L377" i="5"/>
  <c r="P377" i="5" s="1"/>
  <c r="K377" i="5"/>
  <c r="J377" i="5"/>
  <c r="I377" i="5"/>
  <c r="F377" i="5"/>
  <c r="D377" i="5"/>
  <c r="B377" i="5" a="1"/>
  <c r="B377" i="5" s="1"/>
  <c r="O376" i="5"/>
  <c r="P376" i="5" s="1"/>
  <c r="N376" i="5"/>
  <c r="M376" i="5"/>
  <c r="L376" i="5"/>
  <c r="K376" i="5"/>
  <c r="J376" i="5"/>
  <c r="I376" i="5"/>
  <c r="F376" i="5"/>
  <c r="D376" i="5"/>
  <c r="B376" i="5" a="1"/>
  <c r="B376" i="5"/>
  <c r="O375" i="5"/>
  <c r="N375" i="5"/>
  <c r="M375" i="5"/>
  <c r="L375" i="5"/>
  <c r="K375" i="5"/>
  <c r="J375" i="5"/>
  <c r="I375" i="5"/>
  <c r="F375" i="5"/>
  <c r="D375" i="5"/>
  <c r="B375" i="5" a="1"/>
  <c r="B375" i="5" s="1"/>
  <c r="P374" i="5"/>
  <c r="O374" i="5"/>
  <c r="N374" i="5"/>
  <c r="M374" i="5"/>
  <c r="L374" i="5"/>
  <c r="K374" i="5"/>
  <c r="J374" i="5"/>
  <c r="I374" i="5"/>
  <c r="F374" i="5"/>
  <c r="D374" i="5"/>
  <c r="B374" i="5" a="1"/>
  <c r="B374" i="5" s="1"/>
  <c r="O373" i="5"/>
  <c r="N373" i="5"/>
  <c r="P373" i="5" s="1"/>
  <c r="M373" i="5"/>
  <c r="L373" i="5"/>
  <c r="K373" i="5"/>
  <c r="J373" i="5"/>
  <c r="I373" i="5"/>
  <c r="F373" i="5"/>
  <c r="D373" i="5"/>
  <c r="B373" i="5" a="1"/>
  <c r="B373" i="5"/>
  <c r="O372" i="5"/>
  <c r="N372" i="5"/>
  <c r="M372" i="5"/>
  <c r="L372" i="5"/>
  <c r="K372" i="5"/>
  <c r="J372" i="5"/>
  <c r="I372" i="5"/>
  <c r="F372" i="5"/>
  <c r="D372" i="5"/>
  <c r="B372" i="5" a="1"/>
  <c r="B372" i="5" s="1"/>
  <c r="O371" i="5"/>
  <c r="P371" i="5" s="1"/>
  <c r="N371" i="5"/>
  <c r="M371" i="5"/>
  <c r="L371" i="5"/>
  <c r="K371" i="5"/>
  <c r="J371" i="5"/>
  <c r="I371" i="5"/>
  <c r="F371" i="5"/>
  <c r="D371" i="5"/>
  <c r="B371" i="5" a="1"/>
  <c r="B371" i="5" s="1"/>
  <c r="O370" i="5"/>
  <c r="N370" i="5"/>
  <c r="P370" i="5" s="1"/>
  <c r="M370" i="5"/>
  <c r="L370" i="5"/>
  <c r="K370" i="5"/>
  <c r="J370" i="5"/>
  <c r="I370" i="5"/>
  <c r="F370" i="5"/>
  <c r="D370" i="5"/>
  <c r="B370" i="5" a="1"/>
  <c r="B370" i="5"/>
  <c r="O369" i="5"/>
  <c r="N369" i="5"/>
  <c r="M369" i="5"/>
  <c r="L369" i="5"/>
  <c r="P369" i="5" s="1"/>
  <c r="K369" i="5"/>
  <c r="J369" i="5"/>
  <c r="I369" i="5"/>
  <c r="F369" i="5"/>
  <c r="D369" i="5"/>
  <c r="B369" i="5" a="1"/>
  <c r="B369" i="5" s="1"/>
  <c r="P368" i="5"/>
  <c r="O368" i="5"/>
  <c r="N368" i="5"/>
  <c r="M368" i="5"/>
  <c r="L368" i="5"/>
  <c r="K368" i="5"/>
  <c r="J368" i="5"/>
  <c r="I368" i="5"/>
  <c r="F368" i="5"/>
  <c r="D368" i="5"/>
  <c r="B368" i="5" a="1"/>
  <c r="B368" i="5"/>
  <c r="O367" i="5"/>
  <c r="N367" i="5"/>
  <c r="M367" i="5"/>
  <c r="L367" i="5"/>
  <c r="P367" i="5" s="1"/>
  <c r="K367" i="5"/>
  <c r="J367" i="5"/>
  <c r="I367" i="5"/>
  <c r="F367" i="5"/>
  <c r="D367" i="5"/>
  <c r="B367" i="5" a="1"/>
  <c r="B367" i="5" s="1"/>
  <c r="O366" i="5"/>
  <c r="N366" i="5"/>
  <c r="M366" i="5"/>
  <c r="L366" i="5"/>
  <c r="P366" i="5" s="1"/>
  <c r="K366" i="5"/>
  <c r="J366" i="5"/>
  <c r="I366" i="5"/>
  <c r="F366" i="5"/>
  <c r="D366" i="5"/>
  <c r="B366" i="5" a="1"/>
  <c r="B366" i="5"/>
  <c r="O365" i="5"/>
  <c r="N365" i="5"/>
  <c r="M365" i="5"/>
  <c r="L365" i="5"/>
  <c r="K365" i="5"/>
  <c r="J365" i="5"/>
  <c r="I365" i="5"/>
  <c r="F365" i="5"/>
  <c r="D365" i="5"/>
  <c r="B365" i="5" a="1"/>
  <c r="B365" i="5"/>
  <c r="O364" i="5"/>
  <c r="N364" i="5"/>
  <c r="M364" i="5"/>
  <c r="L364" i="5"/>
  <c r="P364" i="5" s="1"/>
  <c r="K364" i="5"/>
  <c r="J364" i="5"/>
  <c r="I364" i="5"/>
  <c r="F364" i="5"/>
  <c r="D364" i="5"/>
  <c r="B364" i="5" a="1"/>
  <c r="B364" i="5" s="1"/>
  <c r="O363" i="5"/>
  <c r="N363" i="5"/>
  <c r="M363" i="5"/>
  <c r="L363" i="5"/>
  <c r="P363" i="5" s="1"/>
  <c r="K363" i="5"/>
  <c r="J363" i="5"/>
  <c r="I363" i="5"/>
  <c r="F363" i="5"/>
  <c r="D363" i="5"/>
  <c r="B363" i="5" a="1"/>
  <c r="B363" i="5" s="1"/>
  <c r="O362" i="5"/>
  <c r="N362" i="5"/>
  <c r="M362" i="5"/>
  <c r="L362" i="5"/>
  <c r="P362" i="5" s="1"/>
  <c r="K362" i="5"/>
  <c r="J362" i="5"/>
  <c r="I362" i="5"/>
  <c r="F362" i="5"/>
  <c r="D362" i="5"/>
  <c r="B362" i="5" a="1"/>
  <c r="B362" i="5" s="1"/>
  <c r="O361" i="5"/>
  <c r="N361" i="5"/>
  <c r="M361" i="5"/>
  <c r="L361" i="5"/>
  <c r="K361" i="5"/>
  <c r="J361" i="5"/>
  <c r="I361" i="5"/>
  <c r="F361" i="5"/>
  <c r="D361" i="5"/>
  <c r="B361" i="5" a="1"/>
  <c r="B361" i="5" s="1"/>
  <c r="O360" i="5"/>
  <c r="N360" i="5"/>
  <c r="M360" i="5"/>
  <c r="L360" i="5"/>
  <c r="P360" i="5" s="1"/>
  <c r="K360" i="5"/>
  <c r="J360" i="5"/>
  <c r="I360" i="5"/>
  <c r="F360" i="5"/>
  <c r="D360" i="5"/>
  <c r="B360" i="5" a="1"/>
  <c r="B360" i="5" s="1"/>
  <c r="O359" i="5"/>
  <c r="P359" i="5" s="1"/>
  <c r="N359" i="5"/>
  <c r="M359" i="5"/>
  <c r="L359" i="5"/>
  <c r="K359" i="5"/>
  <c r="J359" i="5"/>
  <c r="I359" i="5"/>
  <c r="F359" i="5"/>
  <c r="D359" i="5"/>
  <c r="B359" i="5" a="1"/>
  <c r="B359" i="5" s="1"/>
  <c r="O358" i="5"/>
  <c r="N358" i="5"/>
  <c r="M358" i="5"/>
  <c r="L358" i="5"/>
  <c r="K358" i="5"/>
  <c r="J358" i="5"/>
  <c r="I358" i="5"/>
  <c r="F358" i="5"/>
  <c r="D358" i="5"/>
  <c r="B358" i="5" a="1"/>
  <c r="B358" i="5"/>
  <c r="P357" i="5"/>
  <c r="O357" i="5"/>
  <c r="N357" i="5"/>
  <c r="M357" i="5"/>
  <c r="L357" i="5"/>
  <c r="K357" i="5"/>
  <c r="J357" i="5"/>
  <c r="I357" i="5"/>
  <c r="F357" i="5"/>
  <c r="D357" i="5"/>
  <c r="B357" i="5" a="1"/>
  <c r="B357" i="5"/>
  <c r="P356" i="5"/>
  <c r="O356" i="5"/>
  <c r="N356" i="5"/>
  <c r="M356" i="5"/>
  <c r="L356" i="5"/>
  <c r="K356" i="5"/>
  <c r="J356" i="5"/>
  <c r="I356" i="5"/>
  <c r="F356" i="5"/>
  <c r="D356" i="5"/>
  <c r="B356" i="5" a="1"/>
  <c r="B356" i="5" s="1"/>
  <c r="O355" i="5"/>
  <c r="N355" i="5"/>
  <c r="M355" i="5"/>
  <c r="L355" i="5"/>
  <c r="K355" i="5"/>
  <c r="J355" i="5"/>
  <c r="I355" i="5"/>
  <c r="F355" i="5"/>
  <c r="D355" i="5"/>
  <c r="B355" i="5" a="1"/>
  <c r="B355" i="5"/>
  <c r="P354" i="5"/>
  <c r="O354" i="5"/>
  <c r="N354" i="5"/>
  <c r="M354" i="5"/>
  <c r="L354" i="5"/>
  <c r="K354" i="5"/>
  <c r="J354" i="5"/>
  <c r="I354" i="5"/>
  <c r="F354" i="5"/>
  <c r="D354" i="5"/>
  <c r="B354" i="5" a="1"/>
  <c r="B354" i="5"/>
  <c r="O353" i="5"/>
  <c r="N353" i="5"/>
  <c r="M353" i="5"/>
  <c r="L353" i="5"/>
  <c r="P353" i="5" s="1"/>
  <c r="K353" i="5"/>
  <c r="J353" i="5"/>
  <c r="I353" i="5"/>
  <c r="F353" i="5"/>
  <c r="D353" i="5"/>
  <c r="B353" i="5" a="1"/>
  <c r="B353" i="5" s="1"/>
  <c r="O352" i="5"/>
  <c r="N352" i="5"/>
  <c r="M352" i="5"/>
  <c r="L352" i="5"/>
  <c r="K352" i="5"/>
  <c r="J352" i="5"/>
  <c r="I352" i="5"/>
  <c r="F352" i="5"/>
  <c r="D352" i="5"/>
  <c r="B352" i="5" a="1"/>
  <c r="B352" i="5" s="1"/>
  <c r="P351" i="5"/>
  <c r="O351" i="5"/>
  <c r="N351" i="5"/>
  <c r="M351" i="5"/>
  <c r="L351" i="5"/>
  <c r="K351" i="5"/>
  <c r="J351" i="5"/>
  <c r="I351" i="5"/>
  <c r="F351" i="5"/>
  <c r="D351" i="5"/>
  <c r="B351" i="5" a="1"/>
  <c r="B351" i="5" s="1"/>
  <c r="O350" i="5"/>
  <c r="N350" i="5"/>
  <c r="M350" i="5"/>
  <c r="L350" i="5"/>
  <c r="K350" i="5"/>
  <c r="J350" i="5"/>
  <c r="I350" i="5"/>
  <c r="F350" i="5"/>
  <c r="D350" i="5"/>
  <c r="B350" i="5" a="1"/>
  <c r="B350" i="5" s="1"/>
  <c r="P349" i="5"/>
  <c r="O349" i="5"/>
  <c r="N349" i="5"/>
  <c r="M349" i="5"/>
  <c r="L349" i="5"/>
  <c r="K349" i="5"/>
  <c r="J349" i="5"/>
  <c r="I349" i="5"/>
  <c r="F349" i="5"/>
  <c r="D349" i="5"/>
  <c r="B349" i="5" a="1"/>
  <c r="B349" i="5" s="1"/>
  <c r="O348" i="5"/>
  <c r="P348" i="5" s="1"/>
  <c r="N348" i="5"/>
  <c r="M348" i="5"/>
  <c r="L348" i="5"/>
  <c r="K348" i="5"/>
  <c r="J348" i="5"/>
  <c r="I348" i="5"/>
  <c r="F348" i="5"/>
  <c r="D348" i="5"/>
  <c r="B348" i="5" a="1"/>
  <c r="B348" i="5" s="1"/>
  <c r="O347" i="5"/>
  <c r="N347" i="5"/>
  <c r="M347" i="5"/>
  <c r="L347" i="5"/>
  <c r="P347" i="5" s="1"/>
  <c r="K347" i="5"/>
  <c r="J347" i="5"/>
  <c r="I347" i="5"/>
  <c r="F347" i="5"/>
  <c r="D347" i="5"/>
  <c r="B347" i="5" a="1"/>
  <c r="B347" i="5"/>
  <c r="P346" i="5"/>
  <c r="O346" i="5"/>
  <c r="N346" i="5"/>
  <c r="M346" i="5"/>
  <c r="L346" i="5"/>
  <c r="K346" i="5"/>
  <c r="J346" i="5"/>
  <c r="I346" i="5"/>
  <c r="F346" i="5"/>
  <c r="D346" i="5"/>
  <c r="B346" i="5" a="1"/>
  <c r="B346" i="5" s="1"/>
  <c r="O345" i="5"/>
  <c r="N345" i="5"/>
  <c r="P345" i="5" s="1"/>
  <c r="M345" i="5"/>
  <c r="L345" i="5"/>
  <c r="K345" i="5"/>
  <c r="J345" i="5"/>
  <c r="I345" i="5"/>
  <c r="F345" i="5"/>
  <c r="D345" i="5"/>
  <c r="B345" i="5" a="1"/>
  <c r="B345" i="5" s="1"/>
  <c r="O344" i="5"/>
  <c r="N344" i="5"/>
  <c r="M344" i="5"/>
  <c r="L344" i="5"/>
  <c r="K344" i="5"/>
  <c r="J344" i="5"/>
  <c r="I344" i="5"/>
  <c r="F344" i="5"/>
  <c r="D344" i="5"/>
  <c r="B344" i="5" a="1"/>
  <c r="B344" i="5" s="1"/>
  <c r="O343" i="5"/>
  <c r="N343" i="5"/>
  <c r="P343" i="5" s="1"/>
  <c r="M343" i="5"/>
  <c r="L343" i="5"/>
  <c r="K343" i="5"/>
  <c r="J343" i="5"/>
  <c r="I343" i="5"/>
  <c r="F343" i="5"/>
  <c r="D343" i="5"/>
  <c r="B343" i="5" a="1"/>
  <c r="B343" i="5"/>
  <c r="O342" i="5"/>
  <c r="N342" i="5"/>
  <c r="M342" i="5"/>
  <c r="L342" i="5"/>
  <c r="K342" i="5"/>
  <c r="J342" i="5"/>
  <c r="I342" i="5"/>
  <c r="F342" i="5"/>
  <c r="D342" i="5"/>
  <c r="B342" i="5" a="1"/>
  <c r="B342" i="5"/>
  <c r="O341" i="5"/>
  <c r="P341" i="5" s="1"/>
  <c r="N341" i="5"/>
  <c r="M341" i="5"/>
  <c r="L341" i="5"/>
  <c r="K341" i="5"/>
  <c r="J341" i="5"/>
  <c r="I341" i="5"/>
  <c r="F341" i="5"/>
  <c r="D341" i="5"/>
  <c r="B341" i="5" a="1"/>
  <c r="B341" i="5" s="1"/>
  <c r="O340" i="5"/>
  <c r="N340" i="5"/>
  <c r="M340" i="5"/>
  <c r="L340" i="5"/>
  <c r="P340" i="5" s="1"/>
  <c r="K340" i="5"/>
  <c r="J340" i="5"/>
  <c r="I340" i="5"/>
  <c r="F340" i="5"/>
  <c r="D340" i="5"/>
  <c r="B340" i="5" a="1"/>
  <c r="B340" i="5" s="1"/>
  <c r="O339" i="5"/>
  <c r="N339" i="5"/>
  <c r="M339" i="5"/>
  <c r="L339" i="5"/>
  <c r="P339" i="5" s="1"/>
  <c r="K339" i="5"/>
  <c r="J339" i="5"/>
  <c r="I339" i="5"/>
  <c r="F339" i="5"/>
  <c r="D339" i="5"/>
  <c r="B339" i="5" a="1"/>
  <c r="B339" i="5" s="1"/>
  <c r="O338" i="5"/>
  <c r="N338" i="5"/>
  <c r="M338" i="5"/>
  <c r="L338" i="5"/>
  <c r="P338" i="5" s="1"/>
  <c r="K338" i="5"/>
  <c r="J338" i="5"/>
  <c r="I338" i="5"/>
  <c r="F338" i="5"/>
  <c r="D338" i="5"/>
  <c r="B338" i="5" a="1"/>
  <c r="B338" i="5" s="1"/>
  <c r="O337" i="5"/>
  <c r="P337" i="5" s="1"/>
  <c r="N337" i="5"/>
  <c r="M337" i="5"/>
  <c r="L337" i="5"/>
  <c r="K337" i="5"/>
  <c r="J337" i="5"/>
  <c r="I337" i="5"/>
  <c r="F337" i="5"/>
  <c r="D337" i="5"/>
  <c r="B337" i="5" a="1"/>
  <c r="B337" i="5"/>
  <c r="O336" i="5"/>
  <c r="N336" i="5"/>
  <c r="M336" i="5"/>
  <c r="L336" i="5"/>
  <c r="P336" i="5" s="1"/>
  <c r="K336" i="5"/>
  <c r="J336" i="5"/>
  <c r="I336" i="5"/>
  <c r="F336" i="5"/>
  <c r="D336" i="5"/>
  <c r="B336" i="5" a="1"/>
  <c r="B336" i="5"/>
  <c r="O335" i="5"/>
  <c r="N335" i="5"/>
  <c r="M335" i="5"/>
  <c r="P335" i="5" s="1"/>
  <c r="L335" i="5"/>
  <c r="K335" i="5"/>
  <c r="J335" i="5"/>
  <c r="I335" i="5"/>
  <c r="F335" i="5"/>
  <c r="D335" i="5"/>
  <c r="B335" i="5" a="1"/>
  <c r="B335" i="5" s="1"/>
  <c r="O334" i="5"/>
  <c r="N334" i="5"/>
  <c r="M334" i="5"/>
  <c r="L334" i="5"/>
  <c r="P334" i="5" s="1"/>
  <c r="K334" i="5"/>
  <c r="J334" i="5"/>
  <c r="I334" i="5"/>
  <c r="F334" i="5"/>
  <c r="D334" i="5"/>
  <c r="B334" i="5" a="1"/>
  <c r="B334" i="5" s="1"/>
  <c r="O333" i="5"/>
  <c r="N333" i="5"/>
  <c r="M333" i="5"/>
  <c r="L333" i="5"/>
  <c r="P333" i="5" s="1"/>
  <c r="K333" i="5"/>
  <c r="J333" i="5"/>
  <c r="I333" i="5"/>
  <c r="F333" i="5"/>
  <c r="D333" i="5"/>
  <c r="B333" i="5" a="1"/>
  <c r="B333" i="5" s="1"/>
  <c r="O332" i="5"/>
  <c r="N332" i="5"/>
  <c r="M332" i="5"/>
  <c r="L332" i="5"/>
  <c r="K332" i="5"/>
  <c r="J332" i="5"/>
  <c r="I332" i="5"/>
  <c r="F332" i="5"/>
  <c r="D332" i="5"/>
  <c r="B332" i="5" a="1"/>
  <c r="B332" i="5"/>
  <c r="O331" i="5"/>
  <c r="N331" i="5"/>
  <c r="M331" i="5"/>
  <c r="L331" i="5"/>
  <c r="K331" i="5"/>
  <c r="J331" i="5"/>
  <c r="I331" i="5"/>
  <c r="F331" i="5"/>
  <c r="D331" i="5"/>
  <c r="B331" i="5" a="1"/>
  <c r="B331" i="5" s="1"/>
  <c r="P330" i="5"/>
  <c r="O330" i="5"/>
  <c r="N330" i="5"/>
  <c r="M330" i="5"/>
  <c r="L330" i="5"/>
  <c r="K330" i="5"/>
  <c r="J330" i="5"/>
  <c r="I330" i="5"/>
  <c r="F330" i="5"/>
  <c r="D330" i="5"/>
  <c r="B330" i="5" a="1"/>
  <c r="B330" i="5" s="1"/>
  <c r="O329" i="5"/>
  <c r="N329" i="5"/>
  <c r="M329" i="5"/>
  <c r="L329" i="5"/>
  <c r="P329" i="5" s="1"/>
  <c r="K329" i="5"/>
  <c r="J329" i="5"/>
  <c r="I329" i="5"/>
  <c r="F329" i="5"/>
  <c r="D329" i="5"/>
  <c r="B329" i="5" a="1"/>
  <c r="B329" i="5"/>
  <c r="O328" i="5"/>
  <c r="N328" i="5"/>
  <c r="M328" i="5"/>
  <c r="L328" i="5"/>
  <c r="K328" i="5"/>
  <c r="J328" i="5"/>
  <c r="I328" i="5"/>
  <c r="F328" i="5"/>
  <c r="D328" i="5"/>
  <c r="B328" i="5" a="1"/>
  <c r="B328" i="5" s="1"/>
  <c r="O327" i="5"/>
  <c r="N327" i="5"/>
  <c r="M327" i="5"/>
  <c r="L327" i="5"/>
  <c r="K327" i="5"/>
  <c r="J327" i="5"/>
  <c r="I327" i="5"/>
  <c r="F327" i="5"/>
  <c r="D327" i="5"/>
  <c r="B327" i="5" a="1"/>
  <c r="B327" i="5" s="1"/>
  <c r="P326" i="5"/>
  <c r="O326" i="5"/>
  <c r="N326" i="5"/>
  <c r="M326" i="5"/>
  <c r="L326" i="5"/>
  <c r="K326" i="5"/>
  <c r="J326" i="5"/>
  <c r="I326" i="5"/>
  <c r="F326" i="5"/>
  <c r="D326" i="5"/>
  <c r="B326" i="5" a="1"/>
  <c r="B326" i="5"/>
  <c r="P325" i="5"/>
  <c r="O325" i="5"/>
  <c r="N325" i="5"/>
  <c r="M325" i="5"/>
  <c r="L325" i="5"/>
  <c r="K325" i="5"/>
  <c r="J325" i="5"/>
  <c r="I325" i="5"/>
  <c r="F325" i="5"/>
  <c r="D325" i="5"/>
  <c r="B325" i="5" a="1"/>
  <c r="B325" i="5" s="1"/>
  <c r="P324" i="5"/>
  <c r="O324" i="5"/>
  <c r="N324" i="5"/>
  <c r="M324" i="5"/>
  <c r="L324" i="5"/>
  <c r="K324" i="5"/>
  <c r="J324" i="5"/>
  <c r="I324" i="5"/>
  <c r="F324" i="5"/>
  <c r="D324" i="5"/>
  <c r="B324" i="5" a="1"/>
  <c r="B324" i="5" s="1"/>
  <c r="O323" i="5"/>
  <c r="N323" i="5"/>
  <c r="M323" i="5"/>
  <c r="L323" i="5"/>
  <c r="P323" i="5" s="1"/>
  <c r="K323" i="5"/>
  <c r="J323" i="5"/>
  <c r="I323" i="5"/>
  <c r="F323" i="5"/>
  <c r="D323" i="5"/>
  <c r="B323" i="5" a="1"/>
  <c r="B323" i="5" s="1"/>
  <c r="O322" i="5"/>
  <c r="N322" i="5"/>
  <c r="M322" i="5"/>
  <c r="L322" i="5"/>
  <c r="K322" i="5"/>
  <c r="J322" i="5"/>
  <c r="I322" i="5"/>
  <c r="F322" i="5"/>
  <c r="D322" i="5"/>
  <c r="B322" i="5" a="1"/>
  <c r="B322" i="5"/>
  <c r="O321" i="5"/>
  <c r="N321" i="5"/>
  <c r="M321" i="5"/>
  <c r="L321" i="5"/>
  <c r="K321" i="5"/>
  <c r="J321" i="5"/>
  <c r="I321" i="5"/>
  <c r="F321" i="5"/>
  <c r="D321" i="5"/>
  <c r="B321" i="5" a="1"/>
  <c r="B321" i="5"/>
  <c r="O320" i="5"/>
  <c r="N320" i="5"/>
  <c r="M320" i="5"/>
  <c r="L320" i="5"/>
  <c r="P320" i="5" s="1"/>
  <c r="K320" i="5"/>
  <c r="J320" i="5"/>
  <c r="I320" i="5"/>
  <c r="F320" i="5"/>
  <c r="D320" i="5"/>
  <c r="B320" i="5" a="1"/>
  <c r="B320" i="5" s="1"/>
  <c r="P319" i="5"/>
  <c r="O319" i="5"/>
  <c r="N319" i="5"/>
  <c r="M319" i="5"/>
  <c r="L319" i="5"/>
  <c r="K319" i="5"/>
  <c r="J319" i="5"/>
  <c r="I319" i="5"/>
  <c r="F319" i="5"/>
  <c r="D319" i="5"/>
  <c r="B319" i="5" a="1"/>
  <c r="B319" i="5" s="1"/>
  <c r="O318" i="5"/>
  <c r="N318" i="5"/>
  <c r="M318" i="5"/>
  <c r="L318" i="5"/>
  <c r="P318" i="5" s="1"/>
  <c r="K318" i="5"/>
  <c r="J318" i="5"/>
  <c r="I318" i="5"/>
  <c r="F318" i="5"/>
  <c r="D318" i="5"/>
  <c r="B318" i="5" a="1"/>
  <c r="B318" i="5"/>
  <c r="O317" i="5"/>
  <c r="N317" i="5"/>
  <c r="M317" i="5"/>
  <c r="L317" i="5"/>
  <c r="P317" i="5" s="1"/>
  <c r="K317" i="5"/>
  <c r="J317" i="5"/>
  <c r="I317" i="5"/>
  <c r="F317" i="5"/>
  <c r="D317" i="5"/>
  <c r="B317" i="5" a="1"/>
  <c r="B317" i="5" s="1"/>
  <c r="O316" i="5"/>
  <c r="N316" i="5"/>
  <c r="M316" i="5"/>
  <c r="L316" i="5"/>
  <c r="P316" i="5" s="1"/>
  <c r="K316" i="5"/>
  <c r="J316" i="5"/>
  <c r="I316" i="5"/>
  <c r="F316" i="5"/>
  <c r="D316" i="5"/>
  <c r="B316" i="5" a="1"/>
  <c r="B316" i="5" s="1"/>
  <c r="P315" i="5"/>
  <c r="O315" i="5"/>
  <c r="N315" i="5"/>
  <c r="M315" i="5"/>
  <c r="L315" i="5"/>
  <c r="K315" i="5"/>
  <c r="J315" i="5"/>
  <c r="I315" i="5"/>
  <c r="F315" i="5"/>
  <c r="D315" i="5"/>
  <c r="B315" i="5" a="1"/>
  <c r="B315" i="5" s="1"/>
  <c r="O314" i="5"/>
  <c r="N314" i="5"/>
  <c r="M314" i="5"/>
  <c r="L314" i="5"/>
  <c r="P314" i="5" s="1"/>
  <c r="K314" i="5"/>
  <c r="J314" i="5"/>
  <c r="I314" i="5"/>
  <c r="F314" i="5"/>
  <c r="D314" i="5"/>
  <c r="B314" i="5" a="1"/>
  <c r="B314" i="5"/>
  <c r="P313" i="5"/>
  <c r="O313" i="5"/>
  <c r="N313" i="5"/>
  <c r="M313" i="5"/>
  <c r="L313" i="5"/>
  <c r="K313" i="5"/>
  <c r="J313" i="5"/>
  <c r="I313" i="5"/>
  <c r="F313" i="5"/>
  <c r="D313" i="5"/>
  <c r="B313" i="5" a="1"/>
  <c r="B313" i="5"/>
  <c r="O312" i="5"/>
  <c r="P312" i="5" s="1"/>
  <c r="N312" i="5"/>
  <c r="M312" i="5"/>
  <c r="L312" i="5"/>
  <c r="K312" i="5"/>
  <c r="J312" i="5"/>
  <c r="I312" i="5"/>
  <c r="F312" i="5"/>
  <c r="D312" i="5"/>
  <c r="B312" i="5" a="1"/>
  <c r="B312" i="5" s="1"/>
  <c r="O311" i="5"/>
  <c r="N311" i="5"/>
  <c r="M311" i="5"/>
  <c r="L311" i="5"/>
  <c r="K311" i="5"/>
  <c r="J311" i="5"/>
  <c r="I311" i="5"/>
  <c r="F311" i="5"/>
  <c r="D311" i="5"/>
  <c r="B311" i="5" a="1"/>
  <c r="B311" i="5"/>
  <c r="O310" i="5"/>
  <c r="P310" i="5" s="1"/>
  <c r="N310" i="5"/>
  <c r="M310" i="5"/>
  <c r="L310" i="5"/>
  <c r="K310" i="5"/>
  <c r="J310" i="5"/>
  <c r="I310" i="5"/>
  <c r="F310" i="5"/>
  <c r="D310" i="5"/>
  <c r="B310" i="5" a="1"/>
  <c r="B310" i="5"/>
  <c r="O309" i="5"/>
  <c r="N309" i="5"/>
  <c r="M309" i="5"/>
  <c r="L309" i="5"/>
  <c r="P309" i="5" s="1"/>
  <c r="K309" i="5"/>
  <c r="J309" i="5"/>
  <c r="I309" i="5"/>
  <c r="F309" i="5"/>
  <c r="D309" i="5"/>
  <c r="B309" i="5" a="1"/>
  <c r="B309" i="5" s="1"/>
  <c r="O308" i="5"/>
  <c r="N308" i="5"/>
  <c r="M308" i="5"/>
  <c r="L308" i="5"/>
  <c r="P308" i="5" s="1"/>
  <c r="K308" i="5"/>
  <c r="J308" i="5"/>
  <c r="I308" i="5"/>
  <c r="F308" i="5"/>
  <c r="D308" i="5"/>
  <c r="B308" i="5" a="1"/>
  <c r="B308" i="5" s="1"/>
  <c r="P307" i="5"/>
  <c r="O307" i="5"/>
  <c r="N307" i="5"/>
  <c r="M307" i="5"/>
  <c r="L307" i="5"/>
  <c r="K307" i="5"/>
  <c r="J307" i="5"/>
  <c r="I307" i="5"/>
  <c r="F307" i="5"/>
  <c r="D307" i="5"/>
  <c r="B307" i="5" a="1"/>
  <c r="B307" i="5"/>
  <c r="O306" i="5"/>
  <c r="N306" i="5"/>
  <c r="M306" i="5"/>
  <c r="L306" i="5"/>
  <c r="P306" i="5" s="1"/>
  <c r="K306" i="5"/>
  <c r="J306" i="5"/>
  <c r="I306" i="5"/>
  <c r="F306" i="5"/>
  <c r="D306" i="5"/>
  <c r="B306" i="5" a="1"/>
  <c r="B306" i="5" s="1"/>
  <c r="P305" i="5"/>
  <c r="O305" i="5"/>
  <c r="N305" i="5"/>
  <c r="M305" i="5"/>
  <c r="L305" i="5"/>
  <c r="K305" i="5"/>
  <c r="J305" i="5"/>
  <c r="I305" i="5"/>
  <c r="F305" i="5"/>
  <c r="D305" i="5"/>
  <c r="B305" i="5" a="1"/>
  <c r="B305" i="5" s="1"/>
  <c r="P304" i="5"/>
  <c r="O304" i="5"/>
  <c r="N304" i="5"/>
  <c r="M304" i="5"/>
  <c r="L304" i="5"/>
  <c r="K304" i="5"/>
  <c r="J304" i="5"/>
  <c r="I304" i="5"/>
  <c r="F304" i="5"/>
  <c r="D304" i="5"/>
  <c r="B304" i="5" a="1"/>
  <c r="B304" i="5"/>
  <c r="O303" i="5"/>
  <c r="N303" i="5"/>
  <c r="M303" i="5"/>
  <c r="L303" i="5"/>
  <c r="K303" i="5"/>
  <c r="J303" i="5"/>
  <c r="I303" i="5"/>
  <c r="F303" i="5"/>
  <c r="D303" i="5"/>
  <c r="B303" i="5" a="1"/>
  <c r="B303" i="5" s="1"/>
  <c r="O302" i="5"/>
  <c r="N302" i="5"/>
  <c r="M302" i="5"/>
  <c r="P302" i="5" s="1"/>
  <c r="L302" i="5"/>
  <c r="K302" i="5"/>
  <c r="J302" i="5"/>
  <c r="I302" i="5"/>
  <c r="F302" i="5"/>
  <c r="D302" i="5"/>
  <c r="B302" i="5" a="1"/>
  <c r="B302" i="5" s="1"/>
  <c r="O301" i="5"/>
  <c r="P301" i="5" s="1"/>
  <c r="N301" i="5"/>
  <c r="M301" i="5"/>
  <c r="L301" i="5"/>
  <c r="K301" i="5"/>
  <c r="J301" i="5"/>
  <c r="I301" i="5"/>
  <c r="F301" i="5"/>
  <c r="D301" i="5"/>
  <c r="B301" i="5" a="1"/>
  <c r="B301" i="5" s="1"/>
  <c r="O300" i="5"/>
  <c r="N300" i="5"/>
  <c r="M300" i="5"/>
  <c r="L300" i="5"/>
  <c r="P300" i="5" s="1"/>
  <c r="K300" i="5"/>
  <c r="J300" i="5"/>
  <c r="I300" i="5"/>
  <c r="F300" i="5"/>
  <c r="D300" i="5"/>
  <c r="B300" i="5" a="1"/>
  <c r="B300" i="5" s="1"/>
  <c r="O299" i="5"/>
  <c r="P299" i="5" s="1"/>
  <c r="N299" i="5"/>
  <c r="M299" i="5"/>
  <c r="L299" i="5"/>
  <c r="K299" i="5"/>
  <c r="J299" i="5"/>
  <c r="I299" i="5"/>
  <c r="F299" i="5"/>
  <c r="D299" i="5"/>
  <c r="B299" i="5" a="1"/>
  <c r="B299" i="5"/>
  <c r="O298" i="5"/>
  <c r="N298" i="5"/>
  <c r="M298" i="5"/>
  <c r="L298" i="5"/>
  <c r="P298" i="5" s="1"/>
  <c r="K298" i="5"/>
  <c r="J298" i="5"/>
  <c r="I298" i="5"/>
  <c r="F298" i="5"/>
  <c r="D298" i="5"/>
  <c r="B298" i="5" a="1"/>
  <c r="B298" i="5"/>
  <c r="O297" i="5"/>
  <c r="P297" i="5" s="1"/>
  <c r="N297" i="5"/>
  <c r="M297" i="5"/>
  <c r="L297" i="5"/>
  <c r="K297" i="5"/>
  <c r="J297" i="5"/>
  <c r="I297" i="5"/>
  <c r="F297" i="5"/>
  <c r="D297" i="5"/>
  <c r="B297" i="5" a="1"/>
  <c r="B297" i="5" s="1"/>
  <c r="O296" i="5"/>
  <c r="N296" i="5"/>
  <c r="M296" i="5"/>
  <c r="P296" i="5" s="1"/>
  <c r="L296" i="5"/>
  <c r="K296" i="5"/>
  <c r="J296" i="5"/>
  <c r="I296" i="5"/>
  <c r="F296" i="5"/>
  <c r="D296" i="5"/>
  <c r="B296" i="5" a="1"/>
  <c r="B296" i="5"/>
  <c r="O295" i="5"/>
  <c r="N295" i="5"/>
  <c r="M295" i="5"/>
  <c r="L295" i="5"/>
  <c r="K295" i="5"/>
  <c r="J295" i="5"/>
  <c r="I295" i="5"/>
  <c r="F295" i="5"/>
  <c r="D295" i="5"/>
  <c r="B295" i="5" a="1"/>
  <c r="B295" i="5" s="1"/>
  <c r="O294" i="5"/>
  <c r="N294" i="5"/>
  <c r="M294" i="5"/>
  <c r="P294" i="5" s="1"/>
  <c r="L294" i="5"/>
  <c r="K294" i="5"/>
  <c r="J294" i="5"/>
  <c r="I294" i="5"/>
  <c r="F294" i="5"/>
  <c r="D294" i="5"/>
  <c r="B294" i="5" a="1"/>
  <c r="B294" i="5" s="1"/>
  <c r="O293" i="5"/>
  <c r="P293" i="5" s="1"/>
  <c r="N293" i="5"/>
  <c r="M293" i="5"/>
  <c r="L293" i="5"/>
  <c r="K293" i="5"/>
  <c r="J293" i="5"/>
  <c r="I293" i="5"/>
  <c r="F293" i="5"/>
  <c r="D293" i="5"/>
  <c r="B293" i="5" a="1"/>
  <c r="B293" i="5"/>
  <c r="O292" i="5"/>
  <c r="N292" i="5"/>
  <c r="M292" i="5"/>
  <c r="L292" i="5"/>
  <c r="P292" i="5" s="1"/>
  <c r="K292" i="5"/>
  <c r="J292" i="5"/>
  <c r="I292" i="5"/>
  <c r="F292" i="5"/>
  <c r="D292" i="5"/>
  <c r="B292" i="5" a="1"/>
  <c r="B292" i="5"/>
  <c r="P291" i="5"/>
  <c r="O291" i="5"/>
  <c r="N291" i="5"/>
  <c r="M291" i="5"/>
  <c r="L291" i="5"/>
  <c r="K291" i="5"/>
  <c r="J291" i="5"/>
  <c r="I291" i="5"/>
  <c r="F291" i="5"/>
  <c r="D291" i="5"/>
  <c r="B291" i="5" a="1"/>
  <c r="B291" i="5" s="1"/>
  <c r="O290" i="5"/>
  <c r="P290" i="5" s="1"/>
  <c r="N290" i="5"/>
  <c r="M290" i="5"/>
  <c r="L290" i="5"/>
  <c r="K290" i="5"/>
  <c r="J290" i="5"/>
  <c r="I290" i="5"/>
  <c r="F290" i="5"/>
  <c r="D290" i="5"/>
  <c r="B290" i="5" a="1"/>
  <c r="B290" i="5" s="1"/>
  <c r="O289" i="5"/>
  <c r="N289" i="5"/>
  <c r="M289" i="5"/>
  <c r="L289" i="5"/>
  <c r="P289" i="5" s="1"/>
  <c r="K289" i="5"/>
  <c r="J289" i="5"/>
  <c r="I289" i="5"/>
  <c r="F289" i="5"/>
  <c r="D289" i="5"/>
  <c r="B289" i="5" a="1"/>
  <c r="B289" i="5" s="1"/>
  <c r="O288" i="5"/>
  <c r="P288" i="5" s="1"/>
  <c r="N288" i="5"/>
  <c r="M288" i="5"/>
  <c r="L288" i="5"/>
  <c r="K288" i="5"/>
  <c r="J288" i="5"/>
  <c r="I288" i="5"/>
  <c r="F288" i="5"/>
  <c r="D288" i="5"/>
  <c r="B288" i="5" a="1"/>
  <c r="B288" i="5"/>
  <c r="O287" i="5"/>
  <c r="N287" i="5"/>
  <c r="M287" i="5"/>
  <c r="L287" i="5"/>
  <c r="P287" i="5" s="1"/>
  <c r="K287" i="5"/>
  <c r="J287" i="5"/>
  <c r="I287" i="5"/>
  <c r="F287" i="5"/>
  <c r="D287" i="5"/>
  <c r="B287" i="5" a="1"/>
  <c r="B287" i="5"/>
  <c r="O286" i="5"/>
  <c r="P286" i="5" s="1"/>
  <c r="N286" i="5"/>
  <c r="M286" i="5"/>
  <c r="L286" i="5"/>
  <c r="K286" i="5"/>
  <c r="J286" i="5"/>
  <c r="I286" i="5"/>
  <c r="F286" i="5"/>
  <c r="D286" i="5"/>
  <c r="B286" i="5" a="1"/>
  <c r="B286" i="5" s="1"/>
  <c r="O285" i="5"/>
  <c r="N285" i="5"/>
  <c r="M285" i="5"/>
  <c r="L285" i="5"/>
  <c r="K285" i="5"/>
  <c r="J285" i="5"/>
  <c r="I285" i="5"/>
  <c r="F285" i="5"/>
  <c r="D285" i="5"/>
  <c r="B285" i="5" a="1"/>
  <c r="B285" i="5" s="1"/>
  <c r="O284" i="5"/>
  <c r="N284" i="5"/>
  <c r="M284" i="5"/>
  <c r="L284" i="5"/>
  <c r="K284" i="5"/>
  <c r="J284" i="5"/>
  <c r="I284" i="5"/>
  <c r="F284" i="5"/>
  <c r="D284" i="5"/>
  <c r="B284" i="5" a="1"/>
  <c r="B284" i="5" s="1"/>
  <c r="O283" i="5"/>
  <c r="N283" i="5"/>
  <c r="M283" i="5"/>
  <c r="L283" i="5"/>
  <c r="P283" i="5" s="1"/>
  <c r="K283" i="5"/>
  <c r="J283" i="5"/>
  <c r="I283" i="5"/>
  <c r="F283" i="5"/>
  <c r="D283" i="5"/>
  <c r="B283" i="5" a="1"/>
  <c r="B283" i="5" s="1"/>
  <c r="O282" i="5"/>
  <c r="N282" i="5"/>
  <c r="P282" i="5" s="1"/>
  <c r="M282" i="5"/>
  <c r="L282" i="5"/>
  <c r="K282" i="5"/>
  <c r="J282" i="5"/>
  <c r="I282" i="5"/>
  <c r="F282" i="5"/>
  <c r="D282" i="5"/>
  <c r="B282" i="5" a="1"/>
  <c r="B282" i="5" s="1"/>
  <c r="O281" i="5"/>
  <c r="N281" i="5"/>
  <c r="P281" i="5" s="1"/>
  <c r="M281" i="5"/>
  <c r="L281" i="5"/>
  <c r="K281" i="5"/>
  <c r="J281" i="5"/>
  <c r="I281" i="5"/>
  <c r="F281" i="5"/>
  <c r="D281" i="5"/>
  <c r="B281" i="5" a="1"/>
  <c r="B281" i="5" s="1"/>
  <c r="P280" i="5"/>
  <c r="O280" i="5"/>
  <c r="N280" i="5"/>
  <c r="M280" i="5"/>
  <c r="L280" i="5"/>
  <c r="K280" i="5"/>
  <c r="J280" i="5"/>
  <c r="I280" i="5"/>
  <c r="F280" i="5"/>
  <c r="D280" i="5"/>
  <c r="B280" i="5" a="1"/>
  <c r="B280" i="5" s="1"/>
  <c r="P279" i="5"/>
  <c r="O279" i="5"/>
  <c r="N279" i="5"/>
  <c r="M279" i="5"/>
  <c r="L279" i="5"/>
  <c r="K279" i="5"/>
  <c r="J279" i="5"/>
  <c r="I279" i="5"/>
  <c r="F279" i="5"/>
  <c r="D279" i="5"/>
  <c r="B279" i="5" a="1"/>
  <c r="B279" i="5" s="1"/>
  <c r="O278" i="5"/>
  <c r="N278" i="5"/>
  <c r="M278" i="5"/>
  <c r="L278" i="5"/>
  <c r="P278" i="5" s="1"/>
  <c r="K278" i="5"/>
  <c r="J278" i="5"/>
  <c r="I278" i="5"/>
  <c r="F278" i="5"/>
  <c r="D278" i="5"/>
  <c r="B278" i="5" a="1"/>
  <c r="B278" i="5" s="1"/>
  <c r="P277" i="5"/>
  <c r="O277" i="5"/>
  <c r="N277" i="5"/>
  <c r="M277" i="5"/>
  <c r="L277" i="5"/>
  <c r="K277" i="5"/>
  <c r="J277" i="5"/>
  <c r="I277" i="5"/>
  <c r="F277" i="5"/>
  <c r="D277" i="5"/>
  <c r="B277" i="5" a="1"/>
  <c r="B277" i="5"/>
  <c r="O276" i="5"/>
  <c r="N276" i="5"/>
  <c r="M276" i="5"/>
  <c r="L276" i="5"/>
  <c r="P276" i="5" s="1"/>
  <c r="K276" i="5"/>
  <c r="J276" i="5"/>
  <c r="I276" i="5"/>
  <c r="F276" i="5"/>
  <c r="D276" i="5"/>
  <c r="B276" i="5" a="1"/>
  <c r="B276" i="5"/>
  <c r="O275" i="5"/>
  <c r="N275" i="5"/>
  <c r="M275" i="5"/>
  <c r="L275" i="5"/>
  <c r="P275" i="5" s="1"/>
  <c r="K275" i="5"/>
  <c r="J275" i="5"/>
  <c r="I275" i="5"/>
  <c r="F275" i="5"/>
  <c r="D275" i="5"/>
  <c r="B275" i="5" a="1"/>
  <c r="B275" i="5" s="1"/>
  <c r="O274" i="5"/>
  <c r="N274" i="5"/>
  <c r="M274" i="5"/>
  <c r="L274" i="5"/>
  <c r="P274" i="5" s="1"/>
  <c r="K274" i="5"/>
  <c r="J274" i="5"/>
  <c r="I274" i="5"/>
  <c r="F274" i="5"/>
  <c r="D274" i="5"/>
  <c r="B274" i="5" a="1"/>
  <c r="B274" i="5" s="1"/>
  <c r="O273" i="5"/>
  <c r="N273" i="5"/>
  <c r="M273" i="5"/>
  <c r="L273" i="5"/>
  <c r="P273" i="5" s="1"/>
  <c r="K273" i="5"/>
  <c r="J273" i="5"/>
  <c r="I273" i="5"/>
  <c r="F273" i="5"/>
  <c r="D273" i="5"/>
  <c r="B273" i="5" a="1"/>
  <c r="B273" i="5" s="1"/>
  <c r="O272" i="5"/>
  <c r="N272" i="5"/>
  <c r="M272" i="5"/>
  <c r="L272" i="5"/>
  <c r="K272" i="5"/>
  <c r="J272" i="5"/>
  <c r="I272" i="5"/>
  <c r="F272" i="5"/>
  <c r="D272" i="5"/>
  <c r="B272" i="5" a="1"/>
  <c r="B272" i="5" s="1"/>
  <c r="O271" i="5"/>
  <c r="N271" i="5"/>
  <c r="P271" i="5" s="1"/>
  <c r="M271" i="5"/>
  <c r="L271" i="5"/>
  <c r="K271" i="5"/>
  <c r="J271" i="5"/>
  <c r="I271" i="5"/>
  <c r="F271" i="5"/>
  <c r="D271" i="5"/>
  <c r="B271" i="5" a="1"/>
  <c r="B271" i="5" s="1"/>
  <c r="O270" i="5"/>
  <c r="N270" i="5"/>
  <c r="M270" i="5"/>
  <c r="L270" i="5"/>
  <c r="P270" i="5" s="1"/>
  <c r="K270" i="5"/>
  <c r="J270" i="5"/>
  <c r="I270" i="5"/>
  <c r="F270" i="5"/>
  <c r="D270" i="5"/>
  <c r="B270" i="5" a="1"/>
  <c r="B270" i="5" s="1"/>
  <c r="O269" i="5"/>
  <c r="N269" i="5"/>
  <c r="M269" i="5"/>
  <c r="P269" i="5" s="1"/>
  <c r="L269" i="5"/>
  <c r="K269" i="5"/>
  <c r="J269" i="5"/>
  <c r="I269" i="5"/>
  <c r="F269" i="5"/>
  <c r="D269" i="5"/>
  <c r="B269" i="5" a="1"/>
  <c r="B269" i="5"/>
  <c r="P268" i="5"/>
  <c r="O268" i="5"/>
  <c r="N268" i="5"/>
  <c r="M268" i="5"/>
  <c r="L268" i="5"/>
  <c r="K268" i="5"/>
  <c r="J268" i="5"/>
  <c r="I268" i="5"/>
  <c r="F268" i="5"/>
  <c r="D268" i="5"/>
  <c r="B268" i="5" a="1"/>
  <c r="B268" i="5" s="1"/>
  <c r="O267" i="5"/>
  <c r="N267" i="5"/>
  <c r="M267" i="5"/>
  <c r="L267" i="5"/>
  <c r="P267" i="5" s="1"/>
  <c r="K267" i="5"/>
  <c r="J267" i="5"/>
  <c r="I267" i="5"/>
  <c r="F267" i="5"/>
  <c r="D267" i="5"/>
  <c r="B267" i="5" a="1"/>
  <c r="B267" i="5"/>
  <c r="P266" i="5"/>
  <c r="O266" i="5"/>
  <c r="N266" i="5"/>
  <c r="M266" i="5"/>
  <c r="L266" i="5"/>
  <c r="K266" i="5"/>
  <c r="J266" i="5"/>
  <c r="I266" i="5"/>
  <c r="F266" i="5"/>
  <c r="D266" i="5"/>
  <c r="B266" i="5" a="1"/>
  <c r="B266" i="5"/>
  <c r="O265" i="5"/>
  <c r="N265" i="5"/>
  <c r="M265" i="5"/>
  <c r="L265" i="5"/>
  <c r="P265" i="5" s="1"/>
  <c r="K265" i="5"/>
  <c r="J265" i="5"/>
  <c r="I265" i="5"/>
  <c r="F265" i="5"/>
  <c r="D265" i="5"/>
  <c r="B265" i="5" a="1"/>
  <c r="B265" i="5" s="1"/>
  <c r="P264" i="5"/>
  <c r="O264" i="5"/>
  <c r="N264" i="5"/>
  <c r="M264" i="5"/>
  <c r="L264" i="5"/>
  <c r="K264" i="5"/>
  <c r="J264" i="5"/>
  <c r="I264" i="5"/>
  <c r="F264" i="5"/>
  <c r="D264" i="5"/>
  <c r="B264" i="5" a="1"/>
  <c r="B264" i="5" s="1"/>
  <c r="O263" i="5"/>
  <c r="N263" i="5"/>
  <c r="M263" i="5"/>
  <c r="L263" i="5"/>
  <c r="P263" i="5" s="1"/>
  <c r="K263" i="5"/>
  <c r="J263" i="5"/>
  <c r="I263" i="5"/>
  <c r="F263" i="5"/>
  <c r="D263" i="5"/>
  <c r="B263" i="5" a="1"/>
  <c r="B263" i="5" s="1"/>
  <c r="O262" i="5"/>
  <c r="N262" i="5"/>
  <c r="M262" i="5"/>
  <c r="L262" i="5"/>
  <c r="P262" i="5" s="1"/>
  <c r="K262" i="5"/>
  <c r="J262" i="5"/>
  <c r="I262" i="5"/>
  <c r="F262" i="5"/>
  <c r="D262" i="5"/>
  <c r="B262" i="5" a="1"/>
  <c r="B262" i="5" s="1"/>
  <c r="O261" i="5"/>
  <c r="N261" i="5"/>
  <c r="M261" i="5"/>
  <c r="L261" i="5"/>
  <c r="P261" i="5" s="1"/>
  <c r="K261" i="5"/>
  <c r="J261" i="5"/>
  <c r="I261" i="5"/>
  <c r="F261" i="5"/>
  <c r="D261" i="5"/>
  <c r="B261" i="5" a="1"/>
  <c r="B261" i="5" s="1"/>
  <c r="P260" i="5"/>
  <c r="O260" i="5"/>
  <c r="N260" i="5"/>
  <c r="M260" i="5"/>
  <c r="L260" i="5"/>
  <c r="K260" i="5"/>
  <c r="J260" i="5"/>
  <c r="I260" i="5"/>
  <c r="F260" i="5"/>
  <c r="D260" i="5"/>
  <c r="B260" i="5" a="1"/>
  <c r="B260" i="5" s="1"/>
  <c r="O259" i="5"/>
  <c r="N259" i="5"/>
  <c r="M259" i="5"/>
  <c r="L259" i="5"/>
  <c r="P259" i="5" s="1"/>
  <c r="K259" i="5"/>
  <c r="J259" i="5"/>
  <c r="I259" i="5"/>
  <c r="F259" i="5"/>
  <c r="D259" i="5"/>
  <c r="B259" i="5" a="1"/>
  <c r="B259" i="5" s="1"/>
  <c r="O258" i="5"/>
  <c r="N258" i="5"/>
  <c r="M258" i="5"/>
  <c r="P258" i="5" s="1"/>
  <c r="L258" i="5"/>
  <c r="K258" i="5"/>
  <c r="J258" i="5"/>
  <c r="I258" i="5"/>
  <c r="F258" i="5"/>
  <c r="D258" i="5"/>
  <c r="B258" i="5" a="1"/>
  <c r="B258" i="5"/>
  <c r="O257" i="5"/>
  <c r="P257" i="5" s="1"/>
  <c r="N257" i="5"/>
  <c r="M257" i="5"/>
  <c r="L257" i="5"/>
  <c r="K257" i="5"/>
  <c r="J257" i="5"/>
  <c r="I257" i="5"/>
  <c r="F257" i="5"/>
  <c r="D257" i="5"/>
  <c r="B257" i="5" a="1"/>
  <c r="B257" i="5" s="1"/>
  <c r="O256" i="5"/>
  <c r="N256" i="5"/>
  <c r="M256" i="5"/>
  <c r="L256" i="5"/>
  <c r="P256" i="5" s="1"/>
  <c r="K256" i="5"/>
  <c r="J256" i="5"/>
  <c r="I256" i="5"/>
  <c r="F256" i="5"/>
  <c r="D256" i="5"/>
  <c r="B256" i="5" a="1"/>
  <c r="B256" i="5"/>
  <c r="O255" i="5"/>
  <c r="P255" i="5" s="1"/>
  <c r="N255" i="5"/>
  <c r="M255" i="5"/>
  <c r="L255" i="5"/>
  <c r="K255" i="5"/>
  <c r="J255" i="5"/>
  <c r="I255" i="5"/>
  <c r="F255" i="5"/>
  <c r="D255" i="5"/>
  <c r="B255" i="5" a="1"/>
  <c r="B255" i="5"/>
  <c r="O254" i="5"/>
  <c r="N254" i="5"/>
  <c r="M254" i="5"/>
  <c r="L254" i="5"/>
  <c r="K254" i="5"/>
  <c r="J254" i="5"/>
  <c r="I254" i="5"/>
  <c r="F254" i="5"/>
  <c r="D254" i="5"/>
  <c r="B254" i="5" a="1"/>
  <c r="B254" i="5" s="1"/>
  <c r="O253" i="5"/>
  <c r="P253" i="5" s="1"/>
  <c r="N253" i="5"/>
  <c r="M253" i="5"/>
  <c r="L253" i="5"/>
  <c r="K253" i="5"/>
  <c r="J253" i="5"/>
  <c r="I253" i="5"/>
  <c r="F253" i="5"/>
  <c r="D253" i="5"/>
  <c r="B253" i="5" a="1"/>
  <c r="B253" i="5" s="1"/>
  <c r="O252" i="5"/>
  <c r="N252" i="5"/>
  <c r="P252" i="5" s="1"/>
  <c r="M252" i="5"/>
  <c r="L252" i="5"/>
  <c r="K252" i="5"/>
  <c r="J252" i="5"/>
  <c r="I252" i="5"/>
  <c r="F252" i="5"/>
  <c r="D252" i="5"/>
  <c r="B252" i="5" a="1"/>
  <c r="B252" i="5" s="1"/>
  <c r="O251" i="5"/>
  <c r="N251" i="5"/>
  <c r="M251" i="5"/>
  <c r="L251" i="5"/>
  <c r="K251" i="5"/>
  <c r="J251" i="5"/>
  <c r="I251" i="5"/>
  <c r="F251" i="5"/>
  <c r="D251" i="5"/>
  <c r="B251" i="5" a="1"/>
  <c r="B251" i="5" s="1"/>
  <c r="O250" i="5"/>
  <c r="N250" i="5"/>
  <c r="P250" i="5" s="1"/>
  <c r="M250" i="5"/>
  <c r="L250" i="5"/>
  <c r="K250" i="5"/>
  <c r="J250" i="5"/>
  <c r="I250" i="5"/>
  <c r="F250" i="5"/>
  <c r="D250" i="5"/>
  <c r="B250" i="5" a="1"/>
  <c r="B250" i="5" s="1"/>
  <c r="O249" i="5"/>
  <c r="N249" i="5"/>
  <c r="P249" i="5" s="1"/>
  <c r="M249" i="5"/>
  <c r="L249" i="5"/>
  <c r="K249" i="5"/>
  <c r="J249" i="5"/>
  <c r="I249" i="5"/>
  <c r="F249" i="5"/>
  <c r="D249" i="5"/>
  <c r="B249" i="5" a="1"/>
  <c r="B249" i="5"/>
  <c r="O248" i="5"/>
  <c r="P248" i="5" s="1"/>
  <c r="N248" i="5"/>
  <c r="M248" i="5"/>
  <c r="L248" i="5"/>
  <c r="K248" i="5"/>
  <c r="J248" i="5"/>
  <c r="I248" i="5"/>
  <c r="F248" i="5"/>
  <c r="D248" i="5"/>
  <c r="B248" i="5" a="1"/>
  <c r="B248" i="5"/>
  <c r="O247" i="5"/>
  <c r="N247" i="5"/>
  <c r="M247" i="5"/>
  <c r="P247" i="5" s="1"/>
  <c r="L247" i="5"/>
  <c r="K247" i="5"/>
  <c r="J247" i="5"/>
  <c r="I247" i="5"/>
  <c r="F247" i="5"/>
  <c r="D247" i="5"/>
  <c r="B247" i="5" a="1"/>
  <c r="B247" i="5"/>
  <c r="O246" i="5"/>
  <c r="N246" i="5"/>
  <c r="M246" i="5"/>
  <c r="L246" i="5"/>
  <c r="K246" i="5"/>
  <c r="J246" i="5"/>
  <c r="I246" i="5"/>
  <c r="F246" i="5"/>
  <c r="D246" i="5"/>
  <c r="B246" i="5" a="1"/>
  <c r="B246" i="5" s="1"/>
  <c r="O245" i="5"/>
  <c r="N245" i="5"/>
  <c r="M245" i="5"/>
  <c r="L245" i="5"/>
  <c r="P245" i="5" s="1"/>
  <c r="K245" i="5"/>
  <c r="J245" i="5"/>
  <c r="I245" i="5"/>
  <c r="F245" i="5"/>
  <c r="D245" i="5"/>
  <c r="B245" i="5" a="1"/>
  <c r="B245" i="5"/>
  <c r="O244" i="5"/>
  <c r="N244" i="5"/>
  <c r="M244" i="5"/>
  <c r="L244" i="5"/>
  <c r="K244" i="5"/>
  <c r="J244" i="5"/>
  <c r="I244" i="5"/>
  <c r="F244" i="5"/>
  <c r="D244" i="5"/>
  <c r="B244" i="5" a="1"/>
  <c r="B244" i="5"/>
  <c r="O243" i="5"/>
  <c r="N243" i="5"/>
  <c r="M243" i="5"/>
  <c r="L243" i="5"/>
  <c r="P243" i="5" s="1"/>
  <c r="K243" i="5"/>
  <c r="J243" i="5"/>
  <c r="I243" i="5"/>
  <c r="F243" i="5"/>
  <c r="D243" i="5"/>
  <c r="B243" i="5" a="1"/>
  <c r="B243" i="5" s="1"/>
  <c r="O242" i="5"/>
  <c r="N242" i="5"/>
  <c r="M242" i="5"/>
  <c r="L242" i="5"/>
  <c r="P242" i="5" s="1"/>
  <c r="K242" i="5"/>
  <c r="J242" i="5"/>
  <c r="I242" i="5"/>
  <c r="F242" i="5"/>
  <c r="D242" i="5"/>
  <c r="B242" i="5" a="1"/>
  <c r="B242" i="5" s="1"/>
  <c r="O241" i="5"/>
  <c r="N241" i="5"/>
  <c r="M241" i="5"/>
  <c r="L241" i="5"/>
  <c r="P241" i="5" s="1"/>
  <c r="K241" i="5"/>
  <c r="J241" i="5"/>
  <c r="I241" i="5"/>
  <c r="F241" i="5"/>
  <c r="D241" i="5"/>
  <c r="B241" i="5" a="1"/>
  <c r="B241" i="5" s="1"/>
  <c r="O240" i="5"/>
  <c r="N240" i="5"/>
  <c r="M240" i="5"/>
  <c r="L240" i="5"/>
  <c r="K240" i="5"/>
  <c r="J240" i="5"/>
  <c r="I240" i="5"/>
  <c r="F240" i="5"/>
  <c r="D240" i="5"/>
  <c r="B240" i="5" a="1"/>
  <c r="B240" i="5" s="1"/>
  <c r="O239" i="5"/>
  <c r="N239" i="5"/>
  <c r="M239" i="5"/>
  <c r="L239" i="5"/>
  <c r="K239" i="5"/>
  <c r="J239" i="5"/>
  <c r="I239" i="5"/>
  <c r="F239" i="5"/>
  <c r="D239" i="5"/>
  <c r="B239" i="5" a="1"/>
  <c r="B239" i="5" s="1"/>
  <c r="O238" i="5"/>
  <c r="N238" i="5"/>
  <c r="M238" i="5"/>
  <c r="L238" i="5"/>
  <c r="K238" i="5"/>
  <c r="J238" i="5"/>
  <c r="I238" i="5"/>
  <c r="F238" i="5"/>
  <c r="D238" i="5"/>
  <c r="B238" i="5" a="1"/>
  <c r="B238" i="5" s="1"/>
  <c r="O237" i="5"/>
  <c r="N237" i="5"/>
  <c r="P237" i="5" s="1"/>
  <c r="M237" i="5"/>
  <c r="L237" i="5"/>
  <c r="K237" i="5"/>
  <c r="J237" i="5"/>
  <c r="I237" i="5"/>
  <c r="F237" i="5"/>
  <c r="D237" i="5"/>
  <c r="B237" i="5" a="1"/>
  <c r="B237" i="5"/>
  <c r="P236" i="5"/>
  <c r="O236" i="5"/>
  <c r="N236" i="5"/>
  <c r="M236" i="5"/>
  <c r="L236" i="5"/>
  <c r="K236" i="5"/>
  <c r="J236" i="5"/>
  <c r="I236" i="5"/>
  <c r="F236" i="5"/>
  <c r="D236" i="5"/>
  <c r="B236" i="5" a="1"/>
  <c r="B236" i="5" s="1"/>
  <c r="P235" i="5"/>
  <c r="O235" i="5"/>
  <c r="N235" i="5"/>
  <c r="M235" i="5"/>
  <c r="L235" i="5"/>
  <c r="K235" i="5"/>
  <c r="J235" i="5"/>
  <c r="I235" i="5"/>
  <c r="F235" i="5"/>
  <c r="D235" i="5"/>
  <c r="B235" i="5" a="1"/>
  <c r="B235" i="5" s="1"/>
  <c r="O234" i="5"/>
  <c r="N234" i="5"/>
  <c r="M234" i="5"/>
  <c r="L234" i="5"/>
  <c r="K234" i="5"/>
  <c r="J234" i="5"/>
  <c r="I234" i="5"/>
  <c r="F234" i="5"/>
  <c r="D234" i="5"/>
  <c r="B234" i="5" a="1"/>
  <c r="B234" i="5" s="1"/>
  <c r="P233" i="5"/>
  <c r="O233" i="5"/>
  <c r="N233" i="5"/>
  <c r="M233" i="5"/>
  <c r="L233" i="5"/>
  <c r="K233" i="5"/>
  <c r="J233" i="5"/>
  <c r="I233" i="5"/>
  <c r="F233" i="5"/>
  <c r="D233" i="5"/>
  <c r="B233" i="5" a="1"/>
  <c r="B233" i="5"/>
  <c r="O232" i="5"/>
  <c r="N232" i="5"/>
  <c r="M232" i="5"/>
  <c r="L232" i="5"/>
  <c r="K232" i="5"/>
  <c r="J232" i="5"/>
  <c r="I232" i="5"/>
  <c r="F232" i="5"/>
  <c r="D232" i="5"/>
  <c r="B232" i="5" a="1"/>
  <c r="B232" i="5"/>
  <c r="P231" i="5"/>
  <c r="O231" i="5"/>
  <c r="N231" i="5"/>
  <c r="M231" i="5"/>
  <c r="L231" i="5"/>
  <c r="K231" i="5"/>
  <c r="J231" i="5"/>
  <c r="I231" i="5"/>
  <c r="F231" i="5"/>
  <c r="D231" i="5"/>
  <c r="B231" i="5" a="1"/>
  <c r="B231" i="5" s="1"/>
  <c r="O230" i="5"/>
  <c r="N230" i="5"/>
  <c r="M230" i="5"/>
  <c r="L230" i="5"/>
  <c r="K230" i="5"/>
  <c r="J230" i="5"/>
  <c r="I230" i="5"/>
  <c r="F230" i="5"/>
  <c r="D230" i="5"/>
  <c r="B230" i="5" a="1"/>
  <c r="B230" i="5" s="1"/>
  <c r="O229" i="5"/>
  <c r="N229" i="5"/>
  <c r="M229" i="5"/>
  <c r="L229" i="5"/>
  <c r="K229" i="5"/>
  <c r="J229" i="5"/>
  <c r="I229" i="5"/>
  <c r="F229" i="5"/>
  <c r="D229" i="5"/>
  <c r="B229" i="5" a="1"/>
  <c r="B229" i="5" s="1"/>
  <c r="O228" i="5"/>
  <c r="N228" i="5"/>
  <c r="M228" i="5"/>
  <c r="L228" i="5"/>
  <c r="K228" i="5"/>
  <c r="J228" i="5"/>
  <c r="I228" i="5"/>
  <c r="F228" i="5"/>
  <c r="D228" i="5"/>
  <c r="B228" i="5" a="1"/>
  <c r="B228" i="5" s="1"/>
  <c r="P227" i="5"/>
  <c r="O227" i="5"/>
  <c r="N227" i="5"/>
  <c r="M227" i="5"/>
  <c r="L227" i="5"/>
  <c r="K227" i="5"/>
  <c r="J227" i="5"/>
  <c r="I227" i="5"/>
  <c r="F227" i="5"/>
  <c r="D227" i="5"/>
  <c r="B227" i="5" a="1"/>
  <c r="B227" i="5" s="1"/>
  <c r="O226" i="5"/>
  <c r="P226" i="5" s="1"/>
  <c r="N226" i="5"/>
  <c r="M226" i="5"/>
  <c r="L226" i="5"/>
  <c r="K226" i="5"/>
  <c r="J226" i="5"/>
  <c r="I226" i="5"/>
  <c r="F226" i="5"/>
  <c r="D226" i="5"/>
  <c r="B226" i="5" a="1"/>
  <c r="B226" i="5" s="1"/>
  <c r="O225" i="5"/>
  <c r="N225" i="5"/>
  <c r="M225" i="5"/>
  <c r="P225" i="5" s="1"/>
  <c r="L225" i="5"/>
  <c r="K225" i="5"/>
  <c r="J225" i="5"/>
  <c r="I225" i="5"/>
  <c r="F225" i="5"/>
  <c r="D225" i="5"/>
  <c r="B225" i="5" a="1"/>
  <c r="B225" i="5"/>
  <c r="O224" i="5"/>
  <c r="P224" i="5" s="1"/>
  <c r="N224" i="5"/>
  <c r="M224" i="5"/>
  <c r="L224" i="5"/>
  <c r="K224" i="5"/>
  <c r="J224" i="5"/>
  <c r="I224" i="5"/>
  <c r="F224" i="5"/>
  <c r="D224" i="5"/>
  <c r="B224" i="5" a="1"/>
  <c r="B224" i="5" s="1"/>
  <c r="O223" i="5"/>
  <c r="N223" i="5"/>
  <c r="M223" i="5"/>
  <c r="L223" i="5"/>
  <c r="K223" i="5"/>
  <c r="J223" i="5"/>
  <c r="I223" i="5"/>
  <c r="F223" i="5"/>
  <c r="D223" i="5"/>
  <c r="B223" i="5" a="1"/>
  <c r="B223" i="5"/>
  <c r="O222" i="5"/>
  <c r="P222" i="5" s="1"/>
  <c r="N222" i="5"/>
  <c r="M222" i="5"/>
  <c r="L222" i="5"/>
  <c r="K222" i="5"/>
  <c r="J222" i="5"/>
  <c r="I222" i="5"/>
  <c r="F222" i="5"/>
  <c r="D222" i="5"/>
  <c r="B222" i="5" a="1"/>
  <c r="B222" i="5"/>
  <c r="O221" i="5"/>
  <c r="N221" i="5"/>
  <c r="M221" i="5"/>
  <c r="L221" i="5"/>
  <c r="K221" i="5"/>
  <c r="J221" i="5"/>
  <c r="I221" i="5"/>
  <c r="F221" i="5"/>
  <c r="D221" i="5"/>
  <c r="B221" i="5" a="1"/>
  <c r="B221" i="5"/>
  <c r="O220" i="5"/>
  <c r="P220" i="5" s="1"/>
  <c r="N220" i="5"/>
  <c r="M220" i="5"/>
  <c r="L220" i="5"/>
  <c r="K220" i="5"/>
  <c r="I220" i="5"/>
  <c r="F220" i="5"/>
  <c r="D220" i="5"/>
  <c r="B220" i="5" a="1"/>
  <c r="B220" i="5" s="1"/>
  <c r="P219" i="5"/>
  <c r="O219" i="5"/>
  <c r="N219" i="5"/>
  <c r="M219" i="5"/>
  <c r="L219" i="5"/>
  <c r="K219" i="5"/>
  <c r="I219" i="5"/>
  <c r="F219" i="5"/>
  <c r="D219" i="5"/>
  <c r="B219" i="5" a="1"/>
  <c r="B219" i="5" s="1"/>
  <c r="O218" i="5"/>
  <c r="N218" i="5"/>
  <c r="M218" i="5"/>
  <c r="L218" i="5"/>
  <c r="P218" i="5" s="1"/>
  <c r="K218" i="5"/>
  <c r="I218" i="5"/>
  <c r="F218" i="5"/>
  <c r="D218" i="5"/>
  <c r="B218" i="5" a="1"/>
  <c r="B218" i="5" s="1"/>
  <c r="O217" i="5"/>
  <c r="N217" i="5"/>
  <c r="P217" i="5" s="1"/>
  <c r="M217" i="5"/>
  <c r="L217" i="5"/>
  <c r="K217" i="5"/>
  <c r="I217" i="5"/>
  <c r="F217" i="5"/>
  <c r="D217" i="5"/>
  <c r="B217" i="5" a="1"/>
  <c r="B217" i="5" s="1"/>
  <c r="O216" i="5"/>
  <c r="P216" i="5" s="1"/>
  <c r="N216" i="5"/>
  <c r="M216" i="5"/>
  <c r="L216" i="5"/>
  <c r="K216" i="5"/>
  <c r="I216" i="5"/>
  <c r="F216" i="5"/>
  <c r="D216" i="5"/>
  <c r="B216" i="5" a="1"/>
  <c r="B216" i="5"/>
  <c r="O215" i="5"/>
  <c r="P215" i="5" s="1"/>
  <c r="N215" i="5"/>
  <c r="M215" i="5"/>
  <c r="L215" i="5"/>
  <c r="K215" i="5"/>
  <c r="I215" i="5"/>
  <c r="F215" i="5"/>
  <c r="D215" i="5"/>
  <c r="B215" i="5" a="1"/>
  <c r="B215" i="5"/>
  <c r="P214" i="5"/>
  <c r="O214" i="5"/>
  <c r="N214" i="5"/>
  <c r="M214" i="5"/>
  <c r="L214" i="5"/>
  <c r="K214" i="5"/>
  <c r="I214" i="5"/>
  <c r="F214" i="5"/>
  <c r="D214" i="5"/>
  <c r="B214" i="5" a="1"/>
  <c r="B214" i="5"/>
  <c r="O213" i="5"/>
  <c r="N213" i="5"/>
  <c r="M213" i="5"/>
  <c r="L213" i="5"/>
  <c r="P213" i="5" s="1"/>
  <c r="K213" i="5"/>
  <c r="I213" i="5"/>
  <c r="F213" i="5"/>
  <c r="D213" i="5"/>
  <c r="B213" i="5" a="1"/>
  <c r="B213" i="5" s="1"/>
  <c r="O212" i="5"/>
  <c r="N212" i="5"/>
  <c r="M212" i="5"/>
  <c r="L212" i="5"/>
  <c r="P212" i="5" s="1"/>
  <c r="K212" i="5"/>
  <c r="I212" i="5"/>
  <c r="F212" i="5"/>
  <c r="D212" i="5"/>
  <c r="B212" i="5" a="1"/>
  <c r="B212" i="5"/>
  <c r="O211" i="5"/>
  <c r="N211" i="5"/>
  <c r="M211" i="5"/>
  <c r="L211" i="5"/>
  <c r="K211" i="5"/>
  <c r="I211" i="5"/>
  <c r="F211" i="5"/>
  <c r="D211" i="5"/>
  <c r="B211" i="5" a="1"/>
  <c r="B211" i="5"/>
  <c r="O210" i="5"/>
  <c r="N210" i="5"/>
  <c r="M210" i="5"/>
  <c r="L210" i="5"/>
  <c r="P210" i="5" s="1"/>
  <c r="K210" i="5"/>
  <c r="I210" i="5"/>
  <c r="F210" i="5"/>
  <c r="D210" i="5"/>
  <c r="B210" i="5" a="1"/>
  <c r="B210" i="5" s="1"/>
  <c r="O209" i="5"/>
  <c r="N209" i="5"/>
  <c r="M209" i="5"/>
  <c r="L209" i="5"/>
  <c r="P209" i="5" s="1"/>
  <c r="K209" i="5"/>
  <c r="I209" i="5"/>
  <c r="F209" i="5"/>
  <c r="D209" i="5"/>
  <c r="B209" i="5" a="1"/>
  <c r="B209" i="5" s="1"/>
  <c r="O208" i="5"/>
  <c r="N208" i="5"/>
  <c r="P208" i="5" s="1"/>
  <c r="M208" i="5"/>
  <c r="L208" i="5"/>
  <c r="K208" i="5"/>
  <c r="I208" i="5"/>
  <c r="F208" i="5"/>
  <c r="D208" i="5"/>
  <c r="B208" i="5" a="1"/>
  <c r="B208" i="5"/>
  <c r="O207" i="5"/>
  <c r="N207" i="5"/>
  <c r="M207" i="5"/>
  <c r="L207" i="5"/>
  <c r="P207" i="5" s="1"/>
  <c r="K207" i="5"/>
  <c r="I207" i="5"/>
  <c r="F207" i="5"/>
  <c r="D207" i="5"/>
  <c r="B207" i="5" a="1"/>
  <c r="B207" i="5" s="1"/>
  <c r="P206" i="5"/>
  <c r="O206" i="5"/>
  <c r="N206" i="5"/>
  <c r="M206" i="5"/>
  <c r="L206" i="5"/>
  <c r="K206" i="5"/>
  <c r="I206" i="5"/>
  <c r="F206" i="5"/>
  <c r="D206" i="5"/>
  <c r="B206" i="5" a="1"/>
  <c r="B206" i="5" s="1"/>
  <c r="O205" i="5"/>
  <c r="N205" i="5"/>
  <c r="P205" i="5" s="1"/>
  <c r="M205" i="5"/>
  <c r="L205" i="5"/>
  <c r="K205" i="5"/>
  <c r="I205" i="5"/>
  <c r="F205" i="5"/>
  <c r="D205" i="5"/>
  <c r="B205" i="5" a="1"/>
  <c r="B205" i="5"/>
  <c r="P204" i="5"/>
  <c r="O204" i="5"/>
  <c r="N204" i="5"/>
  <c r="M204" i="5"/>
  <c r="L204" i="5"/>
  <c r="K204" i="5"/>
  <c r="I204" i="5"/>
  <c r="F204" i="5"/>
  <c r="D204" i="5"/>
  <c r="B204" i="5" a="1"/>
  <c r="B204" i="5" s="1"/>
  <c r="O203" i="5"/>
  <c r="N203" i="5"/>
  <c r="P203" i="5" s="1"/>
  <c r="M203" i="5"/>
  <c r="L203" i="5"/>
  <c r="K203" i="5"/>
  <c r="I203" i="5"/>
  <c r="F203" i="5"/>
  <c r="D203" i="5"/>
  <c r="B203" i="5" a="1"/>
  <c r="B203" i="5" s="1"/>
  <c r="O202" i="5"/>
  <c r="N202" i="5"/>
  <c r="M202" i="5"/>
  <c r="L202" i="5"/>
  <c r="K202" i="5"/>
  <c r="I202" i="5"/>
  <c r="F202" i="5"/>
  <c r="D202" i="5"/>
  <c r="B202" i="5" a="1"/>
  <c r="B202" i="5" s="1"/>
  <c r="P201" i="5"/>
  <c r="O201" i="5"/>
  <c r="N201" i="5"/>
  <c r="M201" i="5"/>
  <c r="L201" i="5"/>
  <c r="K201" i="5"/>
  <c r="I201" i="5"/>
  <c r="F201" i="5"/>
  <c r="D201" i="5"/>
  <c r="B201" i="5" a="1"/>
  <c r="B201" i="5"/>
  <c r="O200" i="5"/>
  <c r="P200" i="5" s="1"/>
  <c r="N200" i="5"/>
  <c r="M200" i="5"/>
  <c r="L200" i="5"/>
  <c r="K200" i="5"/>
  <c r="I200" i="5"/>
  <c r="F200" i="5"/>
  <c r="D200" i="5"/>
  <c r="B200" i="5" a="1"/>
  <c r="B200" i="5"/>
  <c r="O199" i="5"/>
  <c r="N199" i="5"/>
  <c r="M199" i="5"/>
  <c r="L199" i="5"/>
  <c r="P199" i="5" s="1"/>
  <c r="K199" i="5"/>
  <c r="I199" i="5"/>
  <c r="F199" i="5"/>
  <c r="D199" i="5"/>
  <c r="B199" i="5" a="1"/>
  <c r="B199" i="5"/>
  <c r="O198" i="5"/>
  <c r="N198" i="5"/>
  <c r="M198" i="5"/>
  <c r="L198" i="5"/>
  <c r="P198" i="5" s="1"/>
  <c r="K198" i="5"/>
  <c r="I198" i="5"/>
  <c r="F198" i="5"/>
  <c r="D198" i="5"/>
  <c r="B198" i="5" a="1"/>
  <c r="B198" i="5" s="1"/>
  <c r="O197" i="5"/>
  <c r="N197" i="5"/>
  <c r="M197" i="5"/>
  <c r="L197" i="5"/>
  <c r="P197" i="5" s="1"/>
  <c r="K197" i="5"/>
  <c r="I197" i="5"/>
  <c r="F197" i="5"/>
  <c r="D197" i="5"/>
  <c r="B197" i="5" a="1"/>
  <c r="B197" i="5"/>
  <c r="O196" i="5"/>
  <c r="N196" i="5"/>
  <c r="M196" i="5"/>
  <c r="L196" i="5"/>
  <c r="P196" i="5" s="1"/>
  <c r="K196" i="5"/>
  <c r="I196" i="5"/>
  <c r="F196" i="5"/>
  <c r="D196" i="5"/>
  <c r="B196" i="5" a="1"/>
  <c r="B196" i="5" s="1"/>
  <c r="O195" i="5"/>
  <c r="N195" i="5"/>
  <c r="M195" i="5"/>
  <c r="L195" i="5"/>
  <c r="K195" i="5"/>
  <c r="I195" i="5"/>
  <c r="F195" i="5"/>
  <c r="D195" i="5"/>
  <c r="B195" i="5" a="1"/>
  <c r="B195" i="5" s="1"/>
  <c r="O194" i="5"/>
  <c r="N194" i="5"/>
  <c r="M194" i="5"/>
  <c r="L194" i="5"/>
  <c r="K194" i="5"/>
  <c r="I194" i="5"/>
  <c r="F194" i="5"/>
  <c r="D194" i="5"/>
  <c r="B194" i="5" a="1"/>
  <c r="B194" i="5" s="1"/>
  <c r="O193" i="5"/>
  <c r="P193" i="5" s="1"/>
  <c r="N193" i="5"/>
  <c r="M193" i="5"/>
  <c r="L193" i="5"/>
  <c r="K193" i="5"/>
  <c r="I193" i="5"/>
  <c r="F193" i="5"/>
  <c r="D193" i="5"/>
  <c r="B193" i="5" a="1"/>
  <c r="B193" i="5"/>
  <c r="O192" i="5"/>
  <c r="N192" i="5"/>
  <c r="M192" i="5"/>
  <c r="L192" i="5"/>
  <c r="P192" i="5" s="1"/>
  <c r="K192" i="5"/>
  <c r="I192" i="5"/>
  <c r="F192" i="5"/>
  <c r="D192" i="5"/>
  <c r="B192" i="5" a="1"/>
  <c r="B192" i="5" s="1"/>
  <c r="P191" i="5"/>
  <c r="O191" i="5"/>
  <c r="N191" i="5"/>
  <c r="M191" i="5"/>
  <c r="L191" i="5"/>
  <c r="K191" i="5"/>
  <c r="I191" i="5"/>
  <c r="F191" i="5"/>
  <c r="D191" i="5"/>
  <c r="B191" i="5" a="1"/>
  <c r="B191" i="5" s="1"/>
  <c r="P190" i="5"/>
  <c r="O190" i="5"/>
  <c r="N190" i="5"/>
  <c r="M190" i="5"/>
  <c r="L190" i="5"/>
  <c r="K190" i="5"/>
  <c r="I190" i="5"/>
  <c r="F190" i="5"/>
  <c r="D190" i="5"/>
  <c r="B190" i="5" a="1"/>
  <c r="B190" i="5"/>
  <c r="P189" i="5"/>
  <c r="O189" i="5"/>
  <c r="N189" i="5"/>
  <c r="M189" i="5"/>
  <c r="L189" i="5"/>
  <c r="K189" i="5"/>
  <c r="I189" i="5"/>
  <c r="F189" i="5"/>
  <c r="D189" i="5"/>
  <c r="B189" i="5" a="1"/>
  <c r="B189" i="5" s="1"/>
  <c r="P188" i="5"/>
  <c r="O188" i="5"/>
  <c r="N188" i="5"/>
  <c r="M188" i="5"/>
  <c r="L188" i="5"/>
  <c r="K188" i="5"/>
  <c r="I188" i="5"/>
  <c r="F188" i="5"/>
  <c r="D188" i="5"/>
  <c r="B188" i="5" a="1"/>
  <c r="B188" i="5" s="1"/>
  <c r="O187" i="5"/>
  <c r="N187" i="5"/>
  <c r="M187" i="5"/>
  <c r="L187" i="5"/>
  <c r="P187" i="5" s="1"/>
  <c r="K187" i="5"/>
  <c r="I187" i="5"/>
  <c r="F187" i="5"/>
  <c r="D187" i="5"/>
  <c r="B187" i="5" a="1"/>
  <c r="B187" i="5" s="1"/>
  <c r="O186" i="5"/>
  <c r="N186" i="5"/>
  <c r="P186" i="5" s="1"/>
  <c r="M186" i="5"/>
  <c r="L186" i="5"/>
  <c r="K186" i="5"/>
  <c r="I186" i="5"/>
  <c r="F186" i="5"/>
  <c r="D186" i="5"/>
  <c r="B186" i="5" a="1"/>
  <c r="B186" i="5" s="1"/>
  <c r="O185" i="5"/>
  <c r="N185" i="5"/>
  <c r="P185" i="5" s="1"/>
  <c r="M185" i="5"/>
  <c r="L185" i="5"/>
  <c r="K185" i="5"/>
  <c r="I185" i="5"/>
  <c r="F185" i="5"/>
  <c r="D185" i="5"/>
  <c r="B185" i="5" a="1"/>
  <c r="B185" i="5"/>
  <c r="O184" i="5"/>
  <c r="N184" i="5"/>
  <c r="M184" i="5"/>
  <c r="L184" i="5"/>
  <c r="P184" i="5" s="1"/>
  <c r="K184" i="5"/>
  <c r="I184" i="5"/>
  <c r="F184" i="5"/>
  <c r="D184" i="5"/>
  <c r="B184" i="5" a="1"/>
  <c r="B184" i="5" s="1"/>
  <c r="O183" i="5"/>
  <c r="P183" i="5" s="1"/>
  <c r="N183" i="5"/>
  <c r="M183" i="5"/>
  <c r="L183" i="5"/>
  <c r="K183" i="5"/>
  <c r="I183" i="5"/>
  <c r="F183" i="5"/>
  <c r="D183" i="5"/>
  <c r="B183" i="5" a="1"/>
  <c r="B183" i="5"/>
  <c r="O182" i="5"/>
  <c r="N182" i="5"/>
  <c r="M182" i="5"/>
  <c r="L182" i="5"/>
  <c r="P182" i="5" s="1"/>
  <c r="K182" i="5"/>
  <c r="I182" i="5"/>
  <c r="F182" i="5"/>
  <c r="D182" i="5"/>
  <c r="B182" i="5" a="1"/>
  <c r="B182" i="5"/>
  <c r="O181" i="5"/>
  <c r="N181" i="5"/>
  <c r="M181" i="5"/>
  <c r="L181" i="5"/>
  <c r="P181" i="5" s="1"/>
  <c r="K181" i="5"/>
  <c r="I181" i="5"/>
  <c r="F181" i="5"/>
  <c r="D181" i="5"/>
  <c r="B181" i="5" a="1"/>
  <c r="B181" i="5" s="1"/>
  <c r="O180" i="5"/>
  <c r="N180" i="5"/>
  <c r="M180" i="5"/>
  <c r="L180" i="5"/>
  <c r="K180" i="5"/>
  <c r="I180" i="5"/>
  <c r="F180" i="5"/>
  <c r="D180" i="5"/>
  <c r="B180" i="5" a="1"/>
  <c r="B180" i="5" s="1"/>
  <c r="O179" i="5"/>
  <c r="N179" i="5"/>
  <c r="M179" i="5"/>
  <c r="L179" i="5"/>
  <c r="P179" i="5" s="1"/>
  <c r="K179" i="5"/>
  <c r="I179" i="5"/>
  <c r="F179" i="5"/>
  <c r="D179" i="5"/>
  <c r="B179" i="5" a="1"/>
  <c r="B179" i="5" s="1"/>
  <c r="O178" i="5"/>
  <c r="N178" i="5"/>
  <c r="P178" i="5" s="1"/>
  <c r="M178" i="5"/>
  <c r="L178" i="5"/>
  <c r="K178" i="5"/>
  <c r="I178" i="5"/>
  <c r="F178" i="5"/>
  <c r="D178" i="5"/>
  <c r="B178" i="5" a="1"/>
  <c r="B178" i="5" s="1"/>
  <c r="O177" i="5"/>
  <c r="N177" i="5"/>
  <c r="M177" i="5"/>
  <c r="L177" i="5"/>
  <c r="P177" i="5" s="1"/>
  <c r="K177" i="5"/>
  <c r="I177" i="5"/>
  <c r="F177" i="5"/>
  <c r="D177" i="5"/>
  <c r="B177" i="5" a="1"/>
  <c r="B177" i="5" s="1"/>
  <c r="P176" i="5"/>
  <c r="O176" i="5"/>
  <c r="N176" i="5"/>
  <c r="M176" i="5"/>
  <c r="L176" i="5"/>
  <c r="K176" i="5"/>
  <c r="I176" i="5"/>
  <c r="F176" i="5"/>
  <c r="D176" i="5"/>
  <c r="B176" i="5" a="1"/>
  <c r="B176" i="5" s="1"/>
  <c r="O175" i="5"/>
  <c r="N175" i="5"/>
  <c r="M175" i="5"/>
  <c r="L175" i="5"/>
  <c r="P175" i="5" s="1"/>
  <c r="K175" i="5"/>
  <c r="I175" i="5"/>
  <c r="F175" i="5"/>
  <c r="D175" i="5"/>
  <c r="B175" i="5" a="1"/>
  <c r="B175" i="5"/>
  <c r="P174" i="5"/>
  <c r="O174" i="5"/>
  <c r="N174" i="5"/>
  <c r="M174" i="5"/>
  <c r="L174" i="5"/>
  <c r="K174" i="5"/>
  <c r="I174" i="5"/>
  <c r="F174" i="5"/>
  <c r="D174" i="5"/>
  <c r="B174" i="5" a="1"/>
  <c r="B174" i="5" s="1"/>
  <c r="O173" i="5"/>
  <c r="N173" i="5"/>
  <c r="M173" i="5"/>
  <c r="L173" i="5"/>
  <c r="P173" i="5" s="1"/>
  <c r="K173" i="5"/>
  <c r="I173" i="5"/>
  <c r="F173" i="5"/>
  <c r="D173" i="5"/>
  <c r="B173" i="5" a="1"/>
  <c r="B173" i="5" s="1"/>
  <c r="O172" i="5"/>
  <c r="N172" i="5"/>
  <c r="M172" i="5"/>
  <c r="L172" i="5"/>
  <c r="P172" i="5" s="1"/>
  <c r="K172" i="5"/>
  <c r="I172" i="5"/>
  <c r="F172" i="5"/>
  <c r="D172" i="5"/>
  <c r="B172" i="5" a="1"/>
  <c r="B172" i="5"/>
  <c r="O171" i="5"/>
  <c r="P171" i="5" s="1"/>
  <c r="N171" i="5"/>
  <c r="M171" i="5"/>
  <c r="L171" i="5"/>
  <c r="K171" i="5"/>
  <c r="I171" i="5"/>
  <c r="F171" i="5"/>
  <c r="D171" i="5"/>
  <c r="B171" i="5" a="1"/>
  <c r="B171" i="5" s="1"/>
  <c r="O170" i="5"/>
  <c r="N170" i="5"/>
  <c r="P170" i="5" s="1"/>
  <c r="M170" i="5"/>
  <c r="L170" i="5"/>
  <c r="K170" i="5"/>
  <c r="I170" i="5"/>
  <c r="F170" i="5"/>
  <c r="D170" i="5"/>
  <c r="B170" i="5" a="1"/>
  <c r="B170" i="5"/>
  <c r="O169" i="5"/>
  <c r="N169" i="5"/>
  <c r="M169" i="5"/>
  <c r="L169" i="5"/>
  <c r="P169" i="5" s="1"/>
  <c r="K169" i="5"/>
  <c r="I169" i="5"/>
  <c r="F169" i="5"/>
  <c r="D169" i="5"/>
  <c r="B169" i="5" a="1"/>
  <c r="B169" i="5" s="1"/>
  <c r="O168" i="5"/>
  <c r="P168" i="5" s="1"/>
  <c r="N168" i="5"/>
  <c r="M168" i="5"/>
  <c r="L168" i="5"/>
  <c r="K168" i="5"/>
  <c r="I168" i="5"/>
  <c r="F168" i="5"/>
  <c r="D168" i="5"/>
  <c r="B168" i="5" a="1"/>
  <c r="B168" i="5"/>
  <c r="O167" i="5"/>
  <c r="N167" i="5"/>
  <c r="M167" i="5"/>
  <c r="L167" i="5"/>
  <c r="P167" i="5" s="1"/>
  <c r="K167" i="5"/>
  <c r="I167" i="5"/>
  <c r="F167" i="5"/>
  <c r="D167" i="5"/>
  <c r="B167" i="5" a="1"/>
  <c r="B167" i="5"/>
  <c r="O166" i="5"/>
  <c r="N166" i="5"/>
  <c r="M166" i="5"/>
  <c r="L166" i="5"/>
  <c r="K166" i="5"/>
  <c r="I166" i="5"/>
  <c r="F166" i="5"/>
  <c r="D166" i="5"/>
  <c r="B166" i="5" a="1"/>
  <c r="B166" i="5" s="1"/>
  <c r="O165" i="5"/>
  <c r="N165" i="5"/>
  <c r="M165" i="5"/>
  <c r="L165" i="5"/>
  <c r="K165" i="5"/>
  <c r="I165" i="5"/>
  <c r="F165" i="5"/>
  <c r="D165" i="5"/>
  <c r="B165" i="5" a="1"/>
  <c r="B165" i="5" s="1"/>
  <c r="O164" i="5"/>
  <c r="N164" i="5"/>
  <c r="M164" i="5"/>
  <c r="L164" i="5"/>
  <c r="K164" i="5"/>
  <c r="I164" i="5"/>
  <c r="F164" i="5"/>
  <c r="D164" i="5"/>
  <c r="B164" i="5" a="1"/>
  <c r="B164" i="5" s="1"/>
  <c r="O163" i="5"/>
  <c r="N163" i="5"/>
  <c r="P163" i="5" s="1"/>
  <c r="M163" i="5"/>
  <c r="L163" i="5"/>
  <c r="K163" i="5"/>
  <c r="I163" i="5"/>
  <c r="F163" i="5"/>
  <c r="D163" i="5"/>
  <c r="B163" i="5" a="1"/>
  <c r="B163" i="5" s="1"/>
  <c r="O162" i="5"/>
  <c r="P162" i="5" s="1"/>
  <c r="N162" i="5"/>
  <c r="M162" i="5"/>
  <c r="L162" i="5"/>
  <c r="K162" i="5"/>
  <c r="I162" i="5"/>
  <c r="F162" i="5"/>
  <c r="D162" i="5"/>
  <c r="B162" i="5" a="1"/>
  <c r="B162" i="5" s="1"/>
  <c r="P161" i="5"/>
  <c r="O161" i="5"/>
  <c r="N161" i="5"/>
  <c r="M161" i="5"/>
  <c r="L161" i="5"/>
  <c r="K161" i="5"/>
  <c r="I161" i="5"/>
  <c r="F161" i="5"/>
  <c r="D161" i="5"/>
  <c r="B161" i="5" a="1"/>
  <c r="B161" i="5"/>
  <c r="O160" i="5"/>
  <c r="P160" i="5" s="1"/>
  <c r="N160" i="5"/>
  <c r="M160" i="5"/>
  <c r="L160" i="5"/>
  <c r="K160" i="5"/>
  <c r="I160" i="5"/>
  <c r="F160" i="5"/>
  <c r="D160" i="5"/>
  <c r="B160" i="5" a="1"/>
  <c r="B160" i="5" s="1"/>
  <c r="O159" i="5"/>
  <c r="N159" i="5"/>
  <c r="M159" i="5"/>
  <c r="L159" i="5"/>
  <c r="P159" i="5" s="1"/>
  <c r="K159" i="5"/>
  <c r="I159" i="5"/>
  <c r="F159" i="5"/>
  <c r="D159" i="5"/>
  <c r="B159" i="5" a="1"/>
  <c r="B159" i="5"/>
  <c r="O158" i="5"/>
  <c r="P158" i="5" s="1"/>
  <c r="N158" i="5"/>
  <c r="M158" i="5"/>
  <c r="L158" i="5"/>
  <c r="K158" i="5"/>
  <c r="I158" i="5"/>
  <c r="F158" i="5"/>
  <c r="D158" i="5"/>
  <c r="B158" i="5" a="1"/>
  <c r="B158" i="5" s="1"/>
  <c r="O157" i="5"/>
  <c r="N157" i="5"/>
  <c r="M157" i="5"/>
  <c r="L157" i="5"/>
  <c r="P157" i="5" s="1"/>
  <c r="K157" i="5"/>
  <c r="I157" i="5"/>
  <c r="F157" i="5"/>
  <c r="D157" i="5"/>
  <c r="B157" i="5" a="1"/>
  <c r="B157" i="5"/>
  <c r="O156" i="5"/>
  <c r="P156" i="5" s="1"/>
  <c r="N156" i="5"/>
  <c r="M156" i="5"/>
  <c r="L156" i="5"/>
  <c r="K156" i="5"/>
  <c r="I156" i="5"/>
  <c r="F156" i="5"/>
  <c r="D156" i="5"/>
  <c r="B156" i="5" a="1"/>
  <c r="B156" i="5" s="1"/>
  <c r="O155" i="5"/>
  <c r="N155" i="5"/>
  <c r="P155" i="5" s="1"/>
  <c r="M155" i="5"/>
  <c r="L155" i="5"/>
  <c r="K155" i="5"/>
  <c r="I155" i="5"/>
  <c r="F155" i="5"/>
  <c r="D155" i="5"/>
  <c r="B155" i="5" a="1"/>
  <c r="B155" i="5"/>
  <c r="O154" i="5"/>
  <c r="N154" i="5"/>
  <c r="M154" i="5"/>
  <c r="L154" i="5"/>
  <c r="P154" i="5" s="1"/>
  <c r="K154" i="5"/>
  <c r="I154" i="5"/>
  <c r="F154" i="5"/>
  <c r="D154" i="5"/>
  <c r="B154" i="5" a="1"/>
  <c r="B154" i="5" s="1"/>
  <c r="O153" i="5"/>
  <c r="P153" i="5" s="1"/>
  <c r="N153" i="5"/>
  <c r="M153" i="5"/>
  <c r="L153" i="5"/>
  <c r="K153" i="5"/>
  <c r="I153" i="5"/>
  <c r="F153" i="5"/>
  <c r="D153" i="5"/>
  <c r="B153" i="5" a="1"/>
  <c r="B153" i="5"/>
  <c r="O152" i="5"/>
  <c r="N152" i="5"/>
  <c r="M152" i="5"/>
  <c r="L152" i="5"/>
  <c r="P152" i="5" s="1"/>
  <c r="K152" i="5"/>
  <c r="I152" i="5"/>
  <c r="F152" i="5"/>
  <c r="D152" i="5"/>
  <c r="B152" i="5" a="1"/>
  <c r="B152" i="5"/>
  <c r="O151" i="5"/>
  <c r="N151" i="5"/>
  <c r="M151" i="5"/>
  <c r="L151" i="5"/>
  <c r="K151" i="5"/>
  <c r="I151" i="5"/>
  <c r="F151" i="5"/>
  <c r="D151" i="5"/>
  <c r="B151" i="5" a="1"/>
  <c r="B151" i="5" s="1"/>
  <c r="O150" i="5"/>
  <c r="N150" i="5"/>
  <c r="M150" i="5"/>
  <c r="L150" i="5"/>
  <c r="P150" i="5" s="1"/>
  <c r="K150" i="5"/>
  <c r="I150" i="5"/>
  <c r="F150" i="5"/>
  <c r="D150" i="5"/>
  <c r="B150" i="5" a="1"/>
  <c r="B150" i="5" s="1"/>
  <c r="O149" i="5"/>
  <c r="N149" i="5"/>
  <c r="M149" i="5"/>
  <c r="L149" i="5"/>
  <c r="P149" i="5" s="1"/>
  <c r="K149" i="5"/>
  <c r="I149" i="5"/>
  <c r="F149" i="5"/>
  <c r="D149" i="5"/>
  <c r="B149" i="5" a="1"/>
  <c r="B149" i="5" s="1"/>
  <c r="O148" i="5"/>
  <c r="N148" i="5"/>
  <c r="P148" i="5" s="1"/>
  <c r="M148" i="5"/>
  <c r="L148" i="5"/>
  <c r="K148" i="5"/>
  <c r="I148" i="5"/>
  <c r="F148" i="5"/>
  <c r="D148" i="5"/>
  <c r="B148" i="5" a="1"/>
  <c r="B148" i="5" s="1"/>
  <c r="O147" i="5"/>
  <c r="P147" i="5" s="1"/>
  <c r="N147" i="5"/>
  <c r="M147" i="5"/>
  <c r="L147" i="5"/>
  <c r="K147" i="5"/>
  <c r="I147" i="5"/>
  <c r="F147" i="5"/>
  <c r="D147" i="5"/>
  <c r="B147" i="5" a="1"/>
  <c r="B147" i="5" s="1"/>
  <c r="P146" i="5"/>
  <c r="O146" i="5"/>
  <c r="N146" i="5"/>
  <c r="M146" i="5"/>
  <c r="L146" i="5"/>
  <c r="K146" i="5"/>
  <c r="I146" i="5"/>
  <c r="F146" i="5"/>
  <c r="D146" i="5"/>
  <c r="B146" i="5" a="1"/>
  <c r="B146" i="5"/>
  <c r="O145" i="5"/>
  <c r="P145" i="5" s="1"/>
  <c r="N145" i="5"/>
  <c r="M145" i="5"/>
  <c r="L145" i="5"/>
  <c r="K145" i="5"/>
  <c r="I145" i="5"/>
  <c r="F145" i="5"/>
  <c r="D145" i="5"/>
  <c r="B145" i="5" a="1"/>
  <c r="B145" i="5"/>
  <c r="O144" i="5"/>
  <c r="N144" i="5"/>
  <c r="M144" i="5"/>
  <c r="L144" i="5"/>
  <c r="P144" i="5" s="1"/>
  <c r="K144" i="5"/>
  <c r="I144" i="5"/>
  <c r="F144" i="5"/>
  <c r="D144" i="5"/>
  <c r="B144" i="5" a="1"/>
  <c r="B144" i="5"/>
  <c r="O143" i="5"/>
  <c r="P143" i="5" s="1"/>
  <c r="N143" i="5"/>
  <c r="M143" i="5"/>
  <c r="L143" i="5"/>
  <c r="K143" i="5"/>
  <c r="I143" i="5"/>
  <c r="F143" i="5"/>
  <c r="D143" i="5"/>
  <c r="B143" i="5" a="1"/>
  <c r="B143" i="5" s="1"/>
  <c r="O142" i="5"/>
  <c r="N142" i="5"/>
  <c r="M142" i="5"/>
  <c r="L142" i="5"/>
  <c r="P142" i="5" s="1"/>
  <c r="K142" i="5"/>
  <c r="I142" i="5"/>
  <c r="F142" i="5"/>
  <c r="D142" i="5"/>
  <c r="B142" i="5" a="1"/>
  <c r="B142" i="5"/>
  <c r="P141" i="5"/>
  <c r="O141" i="5"/>
  <c r="N141" i="5"/>
  <c r="M141" i="5"/>
  <c r="L141" i="5"/>
  <c r="K141" i="5"/>
  <c r="I141" i="5"/>
  <c r="F141" i="5"/>
  <c r="D141" i="5"/>
  <c r="B141" i="5" a="1"/>
  <c r="B141" i="5" s="1"/>
  <c r="O140" i="5"/>
  <c r="N140" i="5"/>
  <c r="M140" i="5"/>
  <c r="L140" i="5"/>
  <c r="K140" i="5"/>
  <c r="I140" i="5"/>
  <c r="F140" i="5"/>
  <c r="D140" i="5"/>
  <c r="B140" i="5" a="1"/>
  <c r="B140" i="5" s="1"/>
  <c r="O139" i="5"/>
  <c r="P139" i="5" s="1"/>
  <c r="N139" i="5"/>
  <c r="M139" i="5"/>
  <c r="L139" i="5"/>
  <c r="K139" i="5"/>
  <c r="I139" i="5"/>
  <c r="F139" i="5"/>
  <c r="D139" i="5"/>
  <c r="B139" i="5" a="1"/>
  <c r="B139" i="5"/>
  <c r="O138" i="5"/>
  <c r="P138" i="5" s="1"/>
  <c r="N138" i="5"/>
  <c r="M138" i="5"/>
  <c r="L138" i="5"/>
  <c r="K138" i="5"/>
  <c r="I138" i="5"/>
  <c r="F138" i="5"/>
  <c r="D138" i="5"/>
  <c r="B138" i="5" a="1"/>
  <c r="B138" i="5" s="1"/>
  <c r="P137" i="5"/>
  <c r="O137" i="5"/>
  <c r="N137" i="5"/>
  <c r="M137" i="5"/>
  <c r="L137" i="5"/>
  <c r="K137" i="5"/>
  <c r="I137" i="5"/>
  <c r="F137" i="5"/>
  <c r="D137" i="5"/>
  <c r="B137" i="5" a="1"/>
  <c r="B137" i="5"/>
  <c r="O136" i="5"/>
  <c r="N136" i="5"/>
  <c r="M136" i="5"/>
  <c r="L136" i="5"/>
  <c r="K136" i="5"/>
  <c r="I136" i="5"/>
  <c r="F136" i="5"/>
  <c r="D136" i="5"/>
  <c r="B136" i="5" a="1"/>
  <c r="B136" i="5" s="1"/>
  <c r="O135" i="5"/>
  <c r="N135" i="5"/>
  <c r="M135" i="5"/>
  <c r="L135" i="5"/>
  <c r="K135" i="5"/>
  <c r="I135" i="5"/>
  <c r="F135" i="5"/>
  <c r="D135" i="5"/>
  <c r="B135" i="5" a="1"/>
  <c r="B135" i="5" s="1"/>
  <c r="O134" i="5"/>
  <c r="N134" i="5"/>
  <c r="M134" i="5"/>
  <c r="L134" i="5"/>
  <c r="P134" i="5" s="1"/>
  <c r="K134" i="5"/>
  <c r="I134" i="5"/>
  <c r="F134" i="5"/>
  <c r="D134" i="5"/>
  <c r="B134" i="5" a="1"/>
  <c r="B134" i="5" s="1"/>
  <c r="O133" i="5"/>
  <c r="N133" i="5"/>
  <c r="P133" i="5" s="1"/>
  <c r="M133" i="5"/>
  <c r="L133" i="5"/>
  <c r="K133" i="5"/>
  <c r="I133" i="5"/>
  <c r="F133" i="5"/>
  <c r="D133" i="5"/>
  <c r="B133" i="5" a="1"/>
  <c r="B133" i="5" s="1"/>
  <c r="O132" i="5"/>
  <c r="P132" i="5" s="1"/>
  <c r="N132" i="5"/>
  <c r="M132" i="5"/>
  <c r="L132" i="5"/>
  <c r="K132" i="5"/>
  <c r="I132" i="5"/>
  <c r="F132" i="5"/>
  <c r="D132" i="5"/>
  <c r="B132" i="5" a="1"/>
  <c r="B132" i="5" s="1"/>
  <c r="O131" i="5"/>
  <c r="P131" i="5" s="1"/>
  <c r="N131" i="5"/>
  <c r="M131" i="5"/>
  <c r="L131" i="5"/>
  <c r="K131" i="5"/>
  <c r="I131" i="5"/>
  <c r="F131" i="5"/>
  <c r="D131" i="5"/>
  <c r="B131" i="5" a="1"/>
  <c r="B131" i="5"/>
  <c r="O130" i="5"/>
  <c r="N130" i="5"/>
  <c r="P130" i="5" s="1"/>
  <c r="M130" i="5"/>
  <c r="L130" i="5"/>
  <c r="K130" i="5"/>
  <c r="I130" i="5"/>
  <c r="F130" i="5"/>
  <c r="D130" i="5"/>
  <c r="B130" i="5" a="1"/>
  <c r="B130" i="5"/>
  <c r="O129" i="5"/>
  <c r="N129" i="5"/>
  <c r="M129" i="5"/>
  <c r="L129" i="5"/>
  <c r="P129" i="5" s="1"/>
  <c r="K129" i="5"/>
  <c r="I129" i="5"/>
  <c r="F129" i="5"/>
  <c r="D129" i="5"/>
  <c r="B129" i="5" a="1"/>
  <c r="B129" i="5" s="1"/>
  <c r="O128" i="5"/>
  <c r="N128" i="5"/>
  <c r="P128" i="5" s="1"/>
  <c r="M128" i="5"/>
  <c r="L128" i="5"/>
  <c r="K128" i="5"/>
  <c r="I128" i="5"/>
  <c r="F128" i="5"/>
  <c r="D128" i="5"/>
  <c r="B128" i="5" a="1"/>
  <c r="B128" i="5" s="1"/>
  <c r="O127" i="5"/>
  <c r="N127" i="5"/>
  <c r="M127" i="5"/>
  <c r="L127" i="5"/>
  <c r="P127" i="5" s="1"/>
  <c r="K127" i="5"/>
  <c r="I127" i="5"/>
  <c r="F127" i="5"/>
  <c r="D127" i="5"/>
  <c r="B127" i="5" a="1"/>
  <c r="B127" i="5" s="1"/>
  <c r="P126" i="5"/>
  <c r="O126" i="5"/>
  <c r="N126" i="5"/>
  <c r="M126" i="5"/>
  <c r="L126" i="5"/>
  <c r="K126" i="5"/>
  <c r="I126" i="5"/>
  <c r="F126" i="5"/>
  <c r="D126" i="5"/>
  <c r="B126" i="5" a="1"/>
  <c r="B126" i="5" s="1"/>
  <c r="O125" i="5"/>
  <c r="N125" i="5"/>
  <c r="M125" i="5"/>
  <c r="L125" i="5"/>
  <c r="K125" i="5"/>
  <c r="I125" i="5"/>
  <c r="F125" i="5"/>
  <c r="D125" i="5"/>
  <c r="B125" i="5" a="1"/>
  <c r="B125" i="5" s="1"/>
  <c r="O124" i="5"/>
  <c r="P124" i="5" s="1"/>
  <c r="N124" i="5"/>
  <c r="M124" i="5"/>
  <c r="L124" i="5"/>
  <c r="K124" i="5"/>
  <c r="I124" i="5"/>
  <c r="F124" i="5"/>
  <c r="D124" i="5"/>
  <c r="B124" i="5" a="1"/>
  <c r="B124" i="5"/>
  <c r="O123" i="5"/>
  <c r="P123" i="5" s="1"/>
  <c r="N123" i="5"/>
  <c r="M123" i="5"/>
  <c r="L123" i="5"/>
  <c r="K123" i="5"/>
  <c r="I123" i="5"/>
  <c r="F123" i="5"/>
  <c r="D123" i="5"/>
  <c r="B123" i="5" a="1"/>
  <c r="B123" i="5" s="1"/>
  <c r="P122" i="5"/>
  <c r="O122" i="5"/>
  <c r="N122" i="5"/>
  <c r="M122" i="5"/>
  <c r="L122" i="5"/>
  <c r="K122" i="5"/>
  <c r="I122" i="5"/>
  <c r="F122" i="5"/>
  <c r="D122" i="5"/>
  <c r="B122" i="5" a="1"/>
  <c r="B122" i="5"/>
  <c r="O121" i="5"/>
  <c r="N121" i="5"/>
  <c r="M121" i="5"/>
  <c r="L121" i="5"/>
  <c r="P121" i="5" s="1"/>
  <c r="K121" i="5"/>
  <c r="I121" i="5"/>
  <c r="F121" i="5"/>
  <c r="D121" i="5"/>
  <c r="B121" i="5" a="1"/>
  <c r="B121" i="5" s="1"/>
  <c r="O120" i="5"/>
  <c r="N120" i="5"/>
  <c r="M120" i="5"/>
  <c r="L120" i="5"/>
  <c r="K120" i="5"/>
  <c r="I120" i="5"/>
  <c r="F120" i="5"/>
  <c r="D120" i="5"/>
  <c r="B120" i="5" a="1"/>
  <c r="B120" i="5" s="1"/>
  <c r="O119" i="5"/>
  <c r="N119" i="5"/>
  <c r="M119" i="5"/>
  <c r="L119" i="5"/>
  <c r="K119" i="5"/>
  <c r="I119" i="5"/>
  <c r="F119" i="5"/>
  <c r="D119" i="5"/>
  <c r="B119" i="5" a="1"/>
  <c r="B119" i="5" s="1"/>
  <c r="O118" i="5"/>
  <c r="P118" i="5" s="1"/>
  <c r="N118" i="5"/>
  <c r="M118" i="5"/>
  <c r="L118" i="5"/>
  <c r="K118" i="5"/>
  <c r="I118" i="5"/>
  <c r="F118" i="5"/>
  <c r="D118" i="5"/>
  <c r="B118" i="5" a="1"/>
  <c r="B118" i="5" s="1"/>
  <c r="O117" i="5"/>
  <c r="N117" i="5"/>
  <c r="M117" i="5"/>
  <c r="L117" i="5"/>
  <c r="P117" i="5" s="1"/>
  <c r="K117" i="5"/>
  <c r="I117" i="5"/>
  <c r="F117" i="5"/>
  <c r="D117" i="5"/>
  <c r="B117" i="5" a="1"/>
  <c r="B117" i="5"/>
  <c r="O116" i="5"/>
  <c r="P116" i="5" s="1"/>
  <c r="N116" i="5"/>
  <c r="M116" i="5"/>
  <c r="L116" i="5"/>
  <c r="K116" i="5"/>
  <c r="I116" i="5"/>
  <c r="F116" i="5"/>
  <c r="D116" i="5"/>
  <c r="B116" i="5" a="1"/>
  <c r="B116" i="5"/>
  <c r="O115" i="5"/>
  <c r="N115" i="5"/>
  <c r="P115" i="5" s="1"/>
  <c r="M115" i="5"/>
  <c r="L115" i="5"/>
  <c r="K115" i="5"/>
  <c r="I115" i="5"/>
  <c r="F115" i="5"/>
  <c r="D115" i="5"/>
  <c r="B115" i="5" a="1"/>
  <c r="B115" i="5"/>
  <c r="O114" i="5"/>
  <c r="N114" i="5"/>
  <c r="M114" i="5"/>
  <c r="L114" i="5"/>
  <c r="P114" i="5" s="1"/>
  <c r="K114" i="5"/>
  <c r="I114" i="5"/>
  <c r="F114" i="5"/>
  <c r="D114" i="5"/>
  <c r="B114" i="5" a="1"/>
  <c r="B114" i="5" s="1"/>
  <c r="O113" i="5"/>
  <c r="N113" i="5"/>
  <c r="M113" i="5"/>
  <c r="L113" i="5"/>
  <c r="P113" i="5" s="1"/>
  <c r="K113" i="5"/>
  <c r="I113" i="5"/>
  <c r="F113" i="5"/>
  <c r="D113" i="5"/>
  <c r="B113" i="5" a="1"/>
  <c r="B113" i="5" s="1"/>
  <c r="O112" i="5"/>
  <c r="N112" i="5"/>
  <c r="M112" i="5"/>
  <c r="L112" i="5"/>
  <c r="P112" i="5" s="1"/>
  <c r="K112" i="5"/>
  <c r="I112" i="5"/>
  <c r="F112" i="5"/>
  <c r="D112" i="5"/>
  <c r="B112" i="5" a="1"/>
  <c r="B112" i="5" s="1"/>
  <c r="P111" i="5"/>
  <c r="O111" i="5"/>
  <c r="N111" i="5"/>
  <c r="M111" i="5"/>
  <c r="L111" i="5"/>
  <c r="K111" i="5"/>
  <c r="I111" i="5"/>
  <c r="F111" i="5"/>
  <c r="D111" i="5"/>
  <c r="B111" i="5" a="1"/>
  <c r="B111" i="5" s="1"/>
  <c r="O110" i="5"/>
  <c r="N110" i="5"/>
  <c r="M110" i="5"/>
  <c r="L110" i="5"/>
  <c r="K110" i="5"/>
  <c r="I110" i="5"/>
  <c r="F110" i="5"/>
  <c r="D110" i="5"/>
  <c r="B110" i="5" a="1"/>
  <c r="B110" i="5" s="1"/>
  <c r="O109" i="5"/>
  <c r="P109" i="5" s="1"/>
  <c r="N109" i="5"/>
  <c r="M109" i="5"/>
  <c r="L109" i="5"/>
  <c r="K109" i="5"/>
  <c r="I109" i="5"/>
  <c r="F109" i="5"/>
  <c r="D109" i="5"/>
  <c r="B109" i="5" a="1"/>
  <c r="B109" i="5"/>
  <c r="P108" i="5"/>
  <c r="O108" i="5"/>
  <c r="N108" i="5"/>
  <c r="M108" i="5"/>
  <c r="L108" i="5"/>
  <c r="K108" i="5"/>
  <c r="I108" i="5"/>
  <c r="F108" i="5"/>
  <c r="D108" i="5"/>
  <c r="B108" i="5" a="1"/>
  <c r="B108" i="5"/>
  <c r="O107" i="5"/>
  <c r="N107" i="5"/>
  <c r="M107" i="5"/>
  <c r="L107" i="5"/>
  <c r="P107" i="5" s="1"/>
  <c r="K107" i="5"/>
  <c r="I107" i="5"/>
  <c r="F107" i="5"/>
  <c r="D107" i="5"/>
  <c r="B107" i="5" a="1"/>
  <c r="B107" i="5" s="1"/>
  <c r="O106" i="5"/>
  <c r="N106" i="5"/>
  <c r="M106" i="5"/>
  <c r="L106" i="5"/>
  <c r="P106" i="5" s="1"/>
  <c r="K106" i="5"/>
  <c r="I106" i="5"/>
  <c r="F106" i="5"/>
  <c r="D106" i="5"/>
  <c r="B106" i="5" a="1"/>
  <c r="B106" i="5"/>
  <c r="O105" i="5"/>
  <c r="N105" i="5"/>
  <c r="M105" i="5"/>
  <c r="L105" i="5"/>
  <c r="P105" i="5" s="1"/>
  <c r="K105" i="5"/>
  <c r="I105" i="5"/>
  <c r="F105" i="5"/>
  <c r="D105" i="5"/>
  <c r="B105" i="5" a="1"/>
  <c r="B105" i="5" s="1"/>
  <c r="O104" i="5"/>
  <c r="N104" i="5"/>
  <c r="M104" i="5"/>
  <c r="L104" i="5"/>
  <c r="P104" i="5" s="1"/>
  <c r="K104" i="5"/>
  <c r="I104" i="5"/>
  <c r="J104" i="5" s="1"/>
  <c r="F104" i="5"/>
  <c r="D104" i="5"/>
  <c r="B104" i="5" a="1"/>
  <c r="B104" i="5" s="1"/>
  <c r="O103" i="5"/>
  <c r="N103" i="5"/>
  <c r="P103" i="5" s="1"/>
  <c r="M103" i="5"/>
  <c r="L103" i="5"/>
  <c r="K103" i="5"/>
  <c r="I103" i="5"/>
  <c r="F103" i="5"/>
  <c r="D103" i="5"/>
  <c r="B103" i="5" a="1"/>
  <c r="B103" i="5" s="1"/>
  <c r="O102" i="5"/>
  <c r="N102" i="5"/>
  <c r="M102" i="5"/>
  <c r="L102" i="5"/>
  <c r="P102" i="5" s="1"/>
  <c r="K102" i="5"/>
  <c r="I102" i="5"/>
  <c r="F102" i="5"/>
  <c r="D102" i="5"/>
  <c r="B102" i="5" a="1"/>
  <c r="B102" i="5"/>
  <c r="O101" i="5"/>
  <c r="P101" i="5" s="1"/>
  <c r="N101" i="5"/>
  <c r="M101" i="5"/>
  <c r="L101" i="5"/>
  <c r="K101" i="5"/>
  <c r="I101" i="5"/>
  <c r="F101" i="5"/>
  <c r="D101" i="5"/>
  <c r="B101" i="5" a="1"/>
  <c r="B101" i="5"/>
  <c r="O100" i="5"/>
  <c r="N100" i="5"/>
  <c r="M100" i="5"/>
  <c r="L100" i="5"/>
  <c r="P100" i="5" s="1"/>
  <c r="K100" i="5"/>
  <c r="I100" i="5"/>
  <c r="F100" i="5"/>
  <c r="D100" i="5"/>
  <c r="B100" i="5" a="1"/>
  <c r="B100" i="5"/>
  <c r="O99" i="5"/>
  <c r="N99" i="5"/>
  <c r="M99" i="5"/>
  <c r="L99" i="5"/>
  <c r="P99" i="5" s="1"/>
  <c r="K99" i="5"/>
  <c r="I99" i="5"/>
  <c r="F99" i="5"/>
  <c r="D99" i="5"/>
  <c r="B99" i="5" a="1"/>
  <c r="B99" i="5" s="1"/>
  <c r="O98" i="5"/>
  <c r="N98" i="5"/>
  <c r="M98" i="5"/>
  <c r="L98" i="5"/>
  <c r="P98" i="5" s="1"/>
  <c r="K98" i="5"/>
  <c r="I98" i="5"/>
  <c r="F98" i="5"/>
  <c r="D98" i="5"/>
  <c r="B98" i="5" a="1"/>
  <c r="B98" i="5" s="1"/>
  <c r="O97" i="5"/>
  <c r="N97" i="5"/>
  <c r="M97" i="5"/>
  <c r="L97" i="5"/>
  <c r="K97" i="5"/>
  <c r="I97" i="5"/>
  <c r="F97" i="5"/>
  <c r="D97" i="5"/>
  <c r="B97" i="5" a="1"/>
  <c r="B97" i="5"/>
  <c r="P96" i="5"/>
  <c r="O96" i="5"/>
  <c r="N96" i="5"/>
  <c r="M96" i="5"/>
  <c r="L96" i="5"/>
  <c r="K96" i="5"/>
  <c r="I96" i="5"/>
  <c r="F96" i="5"/>
  <c r="D96" i="5"/>
  <c r="B96" i="5" a="1"/>
  <c r="B96" i="5" s="1"/>
  <c r="O95" i="5"/>
  <c r="N95" i="5"/>
  <c r="M95" i="5"/>
  <c r="L95" i="5"/>
  <c r="K95" i="5"/>
  <c r="I95" i="5"/>
  <c r="F95" i="5"/>
  <c r="D95" i="5"/>
  <c r="B95" i="5" a="1"/>
  <c r="B95" i="5"/>
  <c r="O94" i="5"/>
  <c r="P94" i="5" s="1"/>
  <c r="N94" i="5"/>
  <c r="M94" i="5"/>
  <c r="L94" i="5"/>
  <c r="K94" i="5"/>
  <c r="I94" i="5"/>
  <c r="F94" i="5"/>
  <c r="D94" i="5"/>
  <c r="B94" i="5" a="1"/>
  <c r="B94" i="5"/>
  <c r="P93" i="5"/>
  <c r="O93" i="5"/>
  <c r="N93" i="5"/>
  <c r="M93" i="5"/>
  <c r="L93" i="5"/>
  <c r="K93" i="5"/>
  <c r="I93" i="5"/>
  <c r="F93" i="5"/>
  <c r="D93" i="5"/>
  <c r="B93" i="5" a="1"/>
  <c r="B93" i="5"/>
  <c r="O92" i="5"/>
  <c r="N92" i="5"/>
  <c r="M92" i="5"/>
  <c r="L92" i="5"/>
  <c r="P92" i="5" s="1"/>
  <c r="K92" i="5"/>
  <c r="I92" i="5"/>
  <c r="F92" i="5"/>
  <c r="D92" i="5"/>
  <c r="B92" i="5" a="1"/>
  <c r="B92" i="5" s="1"/>
  <c r="P91" i="5"/>
  <c r="O91" i="5"/>
  <c r="N91" i="5"/>
  <c r="M91" i="5"/>
  <c r="L91" i="5"/>
  <c r="K91" i="5"/>
  <c r="I91" i="5"/>
  <c r="F91" i="5"/>
  <c r="D91" i="5"/>
  <c r="B91" i="5" a="1"/>
  <c r="B91" i="5" s="1"/>
  <c r="O90" i="5"/>
  <c r="N90" i="5"/>
  <c r="M90" i="5"/>
  <c r="L90" i="5"/>
  <c r="P90" i="5" s="1"/>
  <c r="K90" i="5"/>
  <c r="I90" i="5"/>
  <c r="F90" i="5"/>
  <c r="D90" i="5"/>
  <c r="B90" i="5" a="1"/>
  <c r="B90" i="5" s="1"/>
  <c r="O89" i="5"/>
  <c r="N89" i="5"/>
  <c r="M89" i="5"/>
  <c r="L89" i="5"/>
  <c r="K89" i="5"/>
  <c r="I89" i="5"/>
  <c r="F89" i="5"/>
  <c r="D89" i="5"/>
  <c r="B89" i="5" a="1"/>
  <c r="B89" i="5" s="1"/>
  <c r="O88" i="5"/>
  <c r="P88" i="5" s="1"/>
  <c r="N88" i="5"/>
  <c r="M88" i="5"/>
  <c r="L88" i="5"/>
  <c r="K88" i="5"/>
  <c r="I88" i="5"/>
  <c r="F88" i="5"/>
  <c r="D88" i="5"/>
  <c r="B88" i="5" a="1"/>
  <c r="B88" i="5" s="1"/>
  <c r="O87" i="5"/>
  <c r="N87" i="5"/>
  <c r="M87" i="5"/>
  <c r="L87" i="5"/>
  <c r="K87" i="5"/>
  <c r="I87" i="5"/>
  <c r="F87" i="5"/>
  <c r="D87" i="5"/>
  <c r="B87" i="5" a="1"/>
  <c r="B87" i="5"/>
  <c r="O86" i="5"/>
  <c r="P86" i="5" s="1"/>
  <c r="N86" i="5"/>
  <c r="M86" i="5"/>
  <c r="L86" i="5"/>
  <c r="K86" i="5"/>
  <c r="I86" i="5"/>
  <c r="F86" i="5"/>
  <c r="D86" i="5"/>
  <c r="B86" i="5" a="1"/>
  <c r="B86" i="5"/>
  <c r="O85" i="5"/>
  <c r="P85" i="5" s="1"/>
  <c r="N85" i="5"/>
  <c r="M85" i="5"/>
  <c r="L85" i="5"/>
  <c r="K85" i="5"/>
  <c r="I85" i="5"/>
  <c r="F85" i="5"/>
  <c r="D85" i="5"/>
  <c r="B85" i="5" a="1"/>
  <c r="B85" i="5"/>
  <c r="O84" i="5"/>
  <c r="N84" i="5"/>
  <c r="M84" i="5"/>
  <c r="L84" i="5"/>
  <c r="P84" i="5" s="1"/>
  <c r="K84" i="5"/>
  <c r="I84" i="5"/>
  <c r="F84" i="5"/>
  <c r="D84" i="5"/>
  <c r="B84" i="5" a="1"/>
  <c r="B84" i="5"/>
  <c r="O83" i="5"/>
  <c r="P83" i="5" s="1"/>
  <c r="N83" i="5"/>
  <c r="M83" i="5"/>
  <c r="L83" i="5"/>
  <c r="K83" i="5"/>
  <c r="I83" i="5"/>
  <c r="F83" i="5"/>
  <c r="D83" i="5"/>
  <c r="B83" i="5" a="1"/>
  <c r="B83" i="5" s="1"/>
  <c r="O82" i="5"/>
  <c r="N82" i="5"/>
  <c r="M82" i="5"/>
  <c r="L82" i="5"/>
  <c r="K82" i="5"/>
  <c r="I82" i="5"/>
  <c r="F82" i="5"/>
  <c r="D82" i="5"/>
  <c r="B82" i="5" a="1"/>
  <c r="B82" i="5"/>
  <c r="O81" i="5"/>
  <c r="P81" i="5" s="1"/>
  <c r="N81" i="5"/>
  <c r="M81" i="5"/>
  <c r="L81" i="5"/>
  <c r="K81" i="5"/>
  <c r="I81" i="5"/>
  <c r="F81" i="5"/>
  <c r="D81" i="5"/>
  <c r="B81" i="5" a="1"/>
  <c r="B81" i="5" s="1"/>
  <c r="O80" i="5"/>
  <c r="N80" i="5"/>
  <c r="M80" i="5"/>
  <c r="L80" i="5"/>
  <c r="K80" i="5"/>
  <c r="I80" i="5"/>
  <c r="F80" i="5"/>
  <c r="D80" i="5"/>
  <c r="B80" i="5" a="1"/>
  <c r="B80" i="5"/>
  <c r="O79" i="5"/>
  <c r="P79" i="5" s="1"/>
  <c r="N79" i="5"/>
  <c r="M79" i="5"/>
  <c r="L79" i="5"/>
  <c r="K79" i="5"/>
  <c r="I79" i="5"/>
  <c r="F79" i="5"/>
  <c r="D79" i="5"/>
  <c r="B79" i="5" a="1"/>
  <c r="B79" i="5"/>
  <c r="P78" i="5"/>
  <c r="O78" i="5"/>
  <c r="N78" i="5"/>
  <c r="M78" i="5"/>
  <c r="L78" i="5"/>
  <c r="K78" i="5"/>
  <c r="I78" i="5"/>
  <c r="F78" i="5"/>
  <c r="D78" i="5"/>
  <c r="B78" i="5" a="1"/>
  <c r="B78" i="5"/>
  <c r="O77" i="5"/>
  <c r="N77" i="5"/>
  <c r="M77" i="5"/>
  <c r="L77" i="5"/>
  <c r="K77" i="5"/>
  <c r="I77" i="5"/>
  <c r="F77" i="5"/>
  <c r="D77" i="5"/>
  <c r="B77" i="5" a="1"/>
  <c r="B77" i="5" s="1"/>
  <c r="O76" i="5"/>
  <c r="N76" i="5"/>
  <c r="M76" i="5"/>
  <c r="L76" i="5"/>
  <c r="P76" i="5" s="1"/>
  <c r="K76" i="5"/>
  <c r="I76" i="5"/>
  <c r="F76" i="5"/>
  <c r="D76" i="5"/>
  <c r="B76" i="5" a="1"/>
  <c r="B76" i="5" s="1"/>
  <c r="O75" i="5"/>
  <c r="P75" i="5" s="1"/>
  <c r="N75" i="5"/>
  <c r="M75" i="5"/>
  <c r="L75" i="5"/>
  <c r="K75" i="5"/>
  <c r="I75" i="5"/>
  <c r="F75" i="5"/>
  <c r="D75" i="5"/>
  <c r="B75" i="5" a="1"/>
  <c r="B75" i="5" s="1"/>
  <c r="O74" i="5"/>
  <c r="P74" i="5" s="1"/>
  <c r="N74" i="5"/>
  <c r="M74" i="5"/>
  <c r="L74" i="5"/>
  <c r="K74" i="5"/>
  <c r="I74" i="5"/>
  <c r="F74" i="5"/>
  <c r="D74" i="5"/>
  <c r="B74" i="5" a="1"/>
  <c r="B74" i="5" s="1"/>
  <c r="O73" i="5"/>
  <c r="P73" i="5" s="1"/>
  <c r="N73" i="5"/>
  <c r="M73" i="5"/>
  <c r="L73" i="5"/>
  <c r="K73" i="5"/>
  <c r="I73" i="5"/>
  <c r="F73" i="5"/>
  <c r="D73" i="5"/>
  <c r="B73" i="5" a="1"/>
  <c r="B73" i="5"/>
  <c r="O72" i="5"/>
  <c r="N72" i="5"/>
  <c r="M72" i="5"/>
  <c r="L72" i="5"/>
  <c r="P72" i="5" s="1"/>
  <c r="K72" i="5"/>
  <c r="I72" i="5"/>
  <c r="F72" i="5"/>
  <c r="D72" i="5"/>
  <c r="B72" i="5" a="1"/>
  <c r="B72" i="5"/>
  <c r="O71" i="5"/>
  <c r="N71" i="5"/>
  <c r="M71" i="5"/>
  <c r="L71" i="5"/>
  <c r="K71" i="5"/>
  <c r="I71" i="5"/>
  <c r="F71" i="5"/>
  <c r="D71" i="5"/>
  <c r="B71" i="5" a="1"/>
  <c r="B71" i="5"/>
  <c r="O70" i="5"/>
  <c r="N70" i="5"/>
  <c r="M70" i="5"/>
  <c r="L70" i="5"/>
  <c r="P70" i="5" s="1"/>
  <c r="K70" i="5"/>
  <c r="I70" i="5"/>
  <c r="F70" i="5"/>
  <c r="D70" i="5"/>
  <c r="B70" i="5" a="1"/>
  <c r="B70" i="5" s="1"/>
  <c r="O69" i="5"/>
  <c r="N69" i="5"/>
  <c r="M69" i="5"/>
  <c r="L69" i="5"/>
  <c r="K69" i="5"/>
  <c r="I69" i="5"/>
  <c r="F69" i="5"/>
  <c r="D69" i="5"/>
  <c r="B69" i="5" a="1"/>
  <c r="B69" i="5"/>
  <c r="P68" i="5"/>
  <c r="O68" i="5"/>
  <c r="N68" i="5"/>
  <c r="M68" i="5"/>
  <c r="L68" i="5"/>
  <c r="K68" i="5"/>
  <c r="I68" i="5"/>
  <c r="F68" i="5"/>
  <c r="D68" i="5"/>
  <c r="B68" i="5" a="1"/>
  <c r="B68" i="5"/>
  <c r="O67" i="5"/>
  <c r="P67" i="5" s="1"/>
  <c r="N67" i="5"/>
  <c r="M67" i="5"/>
  <c r="L67" i="5"/>
  <c r="K67" i="5"/>
  <c r="I67" i="5"/>
  <c r="F67" i="5"/>
  <c r="D67" i="5"/>
  <c r="B67" i="5" a="1"/>
  <c r="B67" i="5" s="1"/>
  <c r="O66" i="5"/>
  <c r="P66" i="5" s="1"/>
  <c r="N66" i="5"/>
  <c r="M66" i="5"/>
  <c r="L66" i="5"/>
  <c r="K66" i="5"/>
  <c r="I66" i="5"/>
  <c r="F66" i="5"/>
  <c r="D66" i="5"/>
  <c r="B66" i="5" a="1"/>
  <c r="B66" i="5"/>
  <c r="O65" i="5"/>
  <c r="N65" i="5"/>
  <c r="M65" i="5"/>
  <c r="L65" i="5"/>
  <c r="P65" i="5" s="1"/>
  <c r="K65" i="5"/>
  <c r="I65" i="5"/>
  <c r="F65" i="5"/>
  <c r="D65" i="5"/>
  <c r="B65" i="5" a="1"/>
  <c r="B65" i="5"/>
  <c r="O64" i="5"/>
  <c r="N64" i="5"/>
  <c r="M64" i="5"/>
  <c r="L64" i="5"/>
  <c r="K64" i="5"/>
  <c r="I64" i="5"/>
  <c r="F64" i="5"/>
  <c r="D64" i="5"/>
  <c r="B64" i="5" a="1"/>
  <c r="B64" i="5"/>
  <c r="O63" i="5"/>
  <c r="N63" i="5"/>
  <c r="M63" i="5"/>
  <c r="L63" i="5"/>
  <c r="K63" i="5"/>
  <c r="I63" i="5"/>
  <c r="F63" i="5"/>
  <c r="D63" i="5"/>
  <c r="B63" i="5" a="1"/>
  <c r="B63" i="5"/>
  <c r="O62" i="5"/>
  <c r="P62" i="5" s="1"/>
  <c r="N62" i="5"/>
  <c r="M62" i="5"/>
  <c r="L62" i="5"/>
  <c r="K62" i="5"/>
  <c r="I62" i="5"/>
  <c r="F62" i="5"/>
  <c r="D62" i="5"/>
  <c r="B62" i="5" a="1"/>
  <c r="B62" i="5"/>
  <c r="O61" i="5"/>
  <c r="P61" i="5" s="1"/>
  <c r="N61" i="5"/>
  <c r="M61" i="5"/>
  <c r="L61" i="5"/>
  <c r="K61" i="5"/>
  <c r="I61" i="5"/>
  <c r="F61" i="5"/>
  <c r="D61" i="5"/>
  <c r="B61" i="5" a="1"/>
  <c r="B61" i="5"/>
  <c r="O60" i="5"/>
  <c r="N60" i="5"/>
  <c r="M60" i="5"/>
  <c r="L60" i="5"/>
  <c r="P60" i="5" s="1"/>
  <c r="K60" i="5"/>
  <c r="I60" i="5"/>
  <c r="F60" i="5"/>
  <c r="D60" i="5"/>
  <c r="B60" i="5" a="1"/>
  <c r="B60" i="5" s="1"/>
  <c r="P59" i="5"/>
  <c r="O59" i="5"/>
  <c r="N59" i="5"/>
  <c r="M59" i="5"/>
  <c r="L59" i="5"/>
  <c r="K59" i="5"/>
  <c r="I59" i="5"/>
  <c r="F59" i="5"/>
  <c r="D59" i="5"/>
  <c r="B59" i="5" a="1"/>
  <c r="B59" i="5" s="1"/>
  <c r="O58" i="5"/>
  <c r="N58" i="5"/>
  <c r="M58" i="5"/>
  <c r="L58" i="5"/>
  <c r="K58" i="5"/>
  <c r="I58" i="5"/>
  <c r="F58" i="5"/>
  <c r="D58" i="5"/>
  <c r="B58" i="5" a="1"/>
  <c r="B58" i="5"/>
  <c r="O57" i="5"/>
  <c r="P57" i="5" s="1"/>
  <c r="N57" i="5"/>
  <c r="M57" i="5"/>
  <c r="L57" i="5"/>
  <c r="K57" i="5"/>
  <c r="I57" i="5"/>
  <c r="F57" i="5"/>
  <c r="D57" i="5"/>
  <c r="B57" i="5" a="1"/>
  <c r="B57" i="5" s="1"/>
  <c r="O56" i="5"/>
  <c r="N56" i="5"/>
  <c r="M56" i="5"/>
  <c r="L56" i="5"/>
  <c r="K56" i="5"/>
  <c r="I56" i="5"/>
  <c r="F56" i="5"/>
  <c r="D56" i="5"/>
  <c r="B56" i="5" a="1"/>
  <c r="B56" i="5"/>
  <c r="O55" i="5"/>
  <c r="P55" i="5" s="1"/>
  <c r="N55" i="5"/>
  <c r="M55" i="5"/>
  <c r="L55" i="5"/>
  <c r="K55" i="5"/>
  <c r="I55" i="5"/>
  <c r="F55" i="5"/>
  <c r="D55" i="5"/>
  <c r="B55" i="5" a="1"/>
  <c r="B55" i="5"/>
  <c r="O54" i="5"/>
  <c r="N54" i="5"/>
  <c r="M54" i="5"/>
  <c r="L54" i="5"/>
  <c r="P54" i="5" s="1"/>
  <c r="K54" i="5"/>
  <c r="I54" i="5"/>
  <c r="F54" i="5"/>
  <c r="D54" i="5"/>
  <c r="B54" i="5" a="1"/>
  <c r="B54" i="5" s="1"/>
  <c r="P53" i="5"/>
  <c r="O53" i="5"/>
  <c r="N53" i="5"/>
  <c r="M53" i="5"/>
  <c r="L53" i="5"/>
  <c r="K53" i="5"/>
  <c r="I53" i="5"/>
  <c r="F53" i="5"/>
  <c r="D53" i="5"/>
  <c r="B53" i="5" a="1"/>
  <c r="B53" i="5" s="1"/>
  <c r="O52" i="5"/>
  <c r="N52" i="5"/>
  <c r="M52" i="5"/>
  <c r="L52" i="5"/>
  <c r="K52" i="5"/>
  <c r="I52" i="5"/>
  <c r="F52" i="5"/>
  <c r="D52" i="5"/>
  <c r="B52" i="5" a="1"/>
  <c r="B52" i="5" s="1"/>
  <c r="O51" i="5"/>
  <c r="P51" i="5" s="1"/>
  <c r="N51" i="5"/>
  <c r="M51" i="5"/>
  <c r="L51" i="5"/>
  <c r="K51" i="5"/>
  <c r="I51" i="5"/>
  <c r="F51" i="5"/>
  <c r="D51" i="5"/>
  <c r="B51" i="5" a="1"/>
  <c r="B51" i="5"/>
  <c r="O50" i="5"/>
  <c r="N50" i="5"/>
  <c r="P50" i="5" s="1"/>
  <c r="M50" i="5"/>
  <c r="L50" i="5"/>
  <c r="K50" i="5"/>
  <c r="I50" i="5"/>
  <c r="F50" i="5"/>
  <c r="D50" i="5"/>
  <c r="B50" i="5" a="1"/>
  <c r="B50" i="5"/>
  <c r="P49" i="5"/>
  <c r="O49" i="5"/>
  <c r="N49" i="5"/>
  <c r="M49" i="5"/>
  <c r="L49" i="5"/>
  <c r="K49" i="5"/>
  <c r="I49" i="5"/>
  <c r="F49" i="5"/>
  <c r="D49" i="5"/>
  <c r="B49" i="5" a="1"/>
  <c r="B49" i="5" s="1"/>
  <c r="O48" i="5"/>
  <c r="N48" i="5"/>
  <c r="M48" i="5"/>
  <c r="L48" i="5"/>
  <c r="P48" i="5" s="1"/>
  <c r="K48" i="5"/>
  <c r="I48" i="5"/>
  <c r="F48" i="5"/>
  <c r="D48" i="5"/>
  <c r="B48" i="5" a="1"/>
  <c r="B48" i="5" s="1"/>
  <c r="P47" i="5"/>
  <c r="O47" i="5"/>
  <c r="N47" i="5"/>
  <c r="M47" i="5"/>
  <c r="L47" i="5"/>
  <c r="K47" i="5"/>
  <c r="I47" i="5"/>
  <c r="F47" i="5"/>
  <c r="D47" i="5"/>
  <c r="B47" i="5" a="1"/>
  <c r="B47" i="5" s="1"/>
  <c r="O46" i="5"/>
  <c r="N46" i="5"/>
  <c r="M46" i="5"/>
  <c r="L46" i="5"/>
  <c r="P46" i="5" s="1"/>
  <c r="K46" i="5"/>
  <c r="I46" i="5"/>
  <c r="F46" i="5"/>
  <c r="D46" i="5"/>
  <c r="B46" i="5" a="1"/>
  <c r="B46" i="5" s="1"/>
  <c r="O45" i="5"/>
  <c r="N45" i="5"/>
  <c r="M45" i="5"/>
  <c r="L45" i="5"/>
  <c r="K45" i="5"/>
  <c r="I45" i="5"/>
  <c r="F45" i="5"/>
  <c r="D45" i="5"/>
  <c r="B45" i="5" a="1"/>
  <c r="B45" i="5" s="1"/>
  <c r="O44" i="5"/>
  <c r="N44" i="5"/>
  <c r="P44" i="5" s="1"/>
  <c r="M44" i="5"/>
  <c r="L44" i="5"/>
  <c r="K44" i="5"/>
  <c r="I44" i="5"/>
  <c r="F44" i="5"/>
  <c r="D44" i="5"/>
  <c r="B44" i="5" a="1"/>
  <c r="B44" i="5"/>
  <c r="O43" i="5"/>
  <c r="P43" i="5" s="1"/>
  <c r="N43" i="5"/>
  <c r="M43" i="5"/>
  <c r="L43" i="5"/>
  <c r="K43" i="5"/>
  <c r="I43" i="5"/>
  <c r="F43" i="5"/>
  <c r="D43" i="5"/>
  <c r="B43" i="5" a="1"/>
  <c r="B43" i="5" s="1"/>
  <c r="O42" i="5"/>
  <c r="N42" i="5"/>
  <c r="M42" i="5"/>
  <c r="L42" i="5"/>
  <c r="P42" i="5" s="1"/>
  <c r="K42" i="5"/>
  <c r="I42" i="5"/>
  <c r="F42" i="5"/>
  <c r="D42" i="5"/>
  <c r="B42" i="5" a="1"/>
  <c r="B42" i="5"/>
  <c r="O41" i="5"/>
  <c r="N41" i="5"/>
  <c r="M41" i="5"/>
  <c r="L41" i="5"/>
  <c r="P41" i="5" s="1"/>
  <c r="K41" i="5"/>
  <c r="I41" i="5"/>
  <c r="F41" i="5"/>
  <c r="D41" i="5"/>
  <c r="B41" i="5" a="1"/>
  <c r="B41" i="5"/>
  <c r="O40" i="5"/>
  <c r="N40" i="5"/>
  <c r="M40" i="5"/>
  <c r="L40" i="5"/>
  <c r="K40" i="5"/>
  <c r="I40" i="5"/>
  <c r="F40" i="5"/>
  <c r="D40" i="5"/>
  <c r="B40" i="5" a="1"/>
  <c r="B40" i="5"/>
  <c r="O39" i="5"/>
  <c r="N39" i="5"/>
  <c r="M39" i="5"/>
  <c r="L39" i="5"/>
  <c r="K39" i="5"/>
  <c r="I39" i="5"/>
  <c r="F39" i="5"/>
  <c r="D39" i="5"/>
  <c r="B39" i="5" a="1"/>
  <c r="B39" i="5"/>
  <c r="P38" i="5"/>
  <c r="O38" i="5"/>
  <c r="N38" i="5"/>
  <c r="M38" i="5"/>
  <c r="L38" i="5"/>
  <c r="K38" i="5"/>
  <c r="I38" i="5"/>
  <c r="F38" i="5"/>
  <c r="D38" i="5"/>
  <c r="B38" i="5" a="1"/>
  <c r="B38" i="5"/>
  <c r="O37" i="5"/>
  <c r="P37" i="5" s="1"/>
  <c r="N37" i="5"/>
  <c r="M37" i="5"/>
  <c r="L37" i="5"/>
  <c r="K37" i="5"/>
  <c r="I37" i="5"/>
  <c r="F37" i="5"/>
  <c r="D37" i="5"/>
  <c r="B37" i="5" a="1"/>
  <c r="B37" i="5" s="1"/>
  <c r="P36" i="5"/>
  <c r="O36" i="5"/>
  <c r="N36" i="5"/>
  <c r="M36" i="5"/>
  <c r="L36" i="5"/>
  <c r="K36" i="5"/>
  <c r="I36" i="5"/>
  <c r="F36" i="5"/>
  <c r="D36" i="5"/>
  <c r="B36" i="5" a="1"/>
  <c r="B36" i="5" s="1"/>
  <c r="P35" i="5"/>
  <c r="O35" i="5"/>
  <c r="N35" i="5"/>
  <c r="M35" i="5"/>
  <c r="L35" i="5"/>
  <c r="K35" i="5"/>
  <c r="I35" i="5"/>
  <c r="F35" i="5"/>
  <c r="D35" i="5"/>
  <c r="B35" i="5" a="1"/>
  <c r="B35" i="5" s="1"/>
  <c r="O34" i="5"/>
  <c r="N34" i="5"/>
  <c r="M34" i="5"/>
  <c r="L34" i="5"/>
  <c r="P34" i="5" s="1"/>
  <c r="K34" i="5"/>
  <c r="I34" i="5"/>
  <c r="F34" i="5"/>
  <c r="D34" i="5"/>
  <c r="B34" i="5" a="1"/>
  <c r="B34" i="5" s="1"/>
  <c r="P33" i="5"/>
  <c r="O33" i="5"/>
  <c r="N33" i="5"/>
  <c r="M33" i="5"/>
  <c r="L33" i="5"/>
  <c r="K33" i="5"/>
  <c r="I33" i="5"/>
  <c r="F33" i="5"/>
  <c r="D33" i="5"/>
  <c r="B33" i="5" a="1"/>
  <c r="B33" i="5" s="1"/>
  <c r="O32" i="5"/>
  <c r="N32" i="5"/>
  <c r="M32" i="5"/>
  <c r="L32" i="5"/>
  <c r="K32" i="5"/>
  <c r="I32" i="5"/>
  <c r="F32" i="5"/>
  <c r="D32" i="5"/>
  <c r="B32" i="5" a="1"/>
  <c r="B32" i="5" s="1"/>
  <c r="P31" i="5"/>
  <c r="O31" i="5"/>
  <c r="N31" i="5"/>
  <c r="M31" i="5"/>
  <c r="L31" i="5"/>
  <c r="K31" i="5"/>
  <c r="I31" i="5"/>
  <c r="F31" i="5"/>
  <c r="D31" i="5"/>
  <c r="B31" i="5" a="1"/>
  <c r="B31" i="5"/>
  <c r="O30" i="5"/>
  <c r="N30" i="5"/>
  <c r="M30" i="5"/>
  <c r="L30" i="5"/>
  <c r="P30" i="5" s="1"/>
  <c r="K30" i="5"/>
  <c r="I30" i="5"/>
  <c r="F30" i="5"/>
  <c r="D30" i="5"/>
  <c r="B30" i="5" a="1"/>
  <c r="B30" i="5" s="1"/>
  <c r="O29" i="5"/>
  <c r="N29" i="5"/>
  <c r="P29" i="5" s="1"/>
  <c r="M29" i="5"/>
  <c r="L29" i="5"/>
  <c r="K29" i="5"/>
  <c r="I29" i="5"/>
  <c r="F29" i="5"/>
  <c r="D29" i="5"/>
  <c r="B29" i="5" a="1"/>
  <c r="B29" i="5" s="1"/>
  <c r="O28" i="5"/>
  <c r="N28" i="5"/>
  <c r="M28" i="5"/>
  <c r="L28" i="5"/>
  <c r="P28" i="5" s="1"/>
  <c r="K28" i="5"/>
  <c r="I28" i="5"/>
  <c r="F28" i="5"/>
  <c r="D28" i="5"/>
  <c r="B28" i="5" a="1"/>
  <c r="B28" i="5" s="1"/>
  <c r="O27" i="5"/>
  <c r="N27" i="5"/>
  <c r="M27" i="5"/>
  <c r="L27" i="5"/>
  <c r="P27" i="5" s="1"/>
  <c r="K27" i="5"/>
  <c r="I27" i="5"/>
  <c r="F27" i="5"/>
  <c r="D27" i="5"/>
  <c r="B27" i="5" a="1"/>
  <c r="B27" i="5" s="1"/>
  <c r="O26" i="5"/>
  <c r="N26" i="5"/>
  <c r="M26" i="5"/>
  <c r="L26" i="5"/>
  <c r="P26" i="5" s="1"/>
  <c r="K26" i="5"/>
  <c r="I26" i="5"/>
  <c r="F26" i="5"/>
  <c r="D26" i="5"/>
  <c r="B26" i="5" a="1"/>
  <c r="B26" i="5" s="1"/>
  <c r="O25" i="5"/>
  <c r="P25" i="5" s="1"/>
  <c r="N25" i="5"/>
  <c r="M25" i="5"/>
  <c r="L25" i="5"/>
  <c r="K25" i="5"/>
  <c r="I25" i="5"/>
  <c r="F25" i="5"/>
  <c r="D25" i="5"/>
  <c r="B25" i="5" a="1"/>
  <c r="B25" i="5"/>
  <c r="O24" i="5"/>
  <c r="N24" i="5"/>
  <c r="M24" i="5"/>
  <c r="L24" i="5"/>
  <c r="P24" i="5" s="1"/>
  <c r="K24" i="5"/>
  <c r="I24" i="5"/>
  <c r="F24" i="5"/>
  <c r="D24" i="5"/>
  <c r="B24" i="5" a="1"/>
  <c r="B24" i="5" s="1"/>
  <c r="O23" i="5"/>
  <c r="N23" i="5"/>
  <c r="M23" i="5"/>
  <c r="L23" i="5"/>
  <c r="P23" i="5" s="1"/>
  <c r="K23" i="5"/>
  <c r="I23" i="5"/>
  <c r="F23" i="5"/>
  <c r="D23" i="5"/>
  <c r="B23" i="5" a="1"/>
  <c r="B23" i="5" s="1"/>
  <c r="O22" i="5"/>
  <c r="N22" i="5"/>
  <c r="M22" i="5"/>
  <c r="L22" i="5"/>
  <c r="P22" i="5" s="1"/>
  <c r="K22" i="5"/>
  <c r="I22" i="5"/>
  <c r="F22" i="5"/>
  <c r="D22" i="5"/>
  <c r="B22" i="5" a="1"/>
  <c r="B22" i="5" s="1"/>
  <c r="O21" i="5"/>
  <c r="N21" i="5"/>
  <c r="M21" i="5"/>
  <c r="L21" i="5"/>
  <c r="K21" i="5"/>
  <c r="I21" i="5"/>
  <c r="F21" i="5"/>
  <c r="D21" i="5"/>
  <c r="B21" i="5" a="1"/>
  <c r="B21" i="5" s="1"/>
  <c r="O20" i="5"/>
  <c r="P20" i="5" s="1"/>
  <c r="N20" i="5"/>
  <c r="M20" i="5"/>
  <c r="L20" i="5"/>
  <c r="K20" i="5"/>
  <c r="I20" i="5"/>
  <c r="F20" i="5"/>
  <c r="D20" i="5"/>
  <c r="B20" i="5" a="1"/>
  <c r="B20" i="5"/>
  <c r="O19" i="5"/>
  <c r="P19" i="5" s="1"/>
  <c r="N19" i="5"/>
  <c r="M19" i="5"/>
  <c r="L19" i="5"/>
  <c r="K19" i="5"/>
  <c r="I19" i="5"/>
  <c r="F19" i="5"/>
  <c r="D19" i="5"/>
  <c r="B19" i="5" a="1"/>
  <c r="B19" i="5" s="1"/>
  <c r="O18" i="5"/>
  <c r="N18" i="5"/>
  <c r="M18" i="5"/>
  <c r="L18" i="5"/>
  <c r="P18" i="5" s="1"/>
  <c r="K18" i="5"/>
  <c r="I18" i="5"/>
  <c r="F18" i="5"/>
  <c r="D18" i="5"/>
  <c r="B18" i="5" a="1"/>
  <c r="B18" i="5"/>
  <c r="O17" i="5"/>
  <c r="N17" i="5"/>
  <c r="M17" i="5"/>
  <c r="L17" i="5"/>
  <c r="P17" i="5" s="1"/>
  <c r="K17" i="5"/>
  <c r="I17" i="5"/>
  <c r="F17" i="5"/>
  <c r="D17" i="5"/>
  <c r="B17" i="5" a="1"/>
  <c r="B17" i="5"/>
  <c r="O16" i="5"/>
  <c r="N16" i="5"/>
  <c r="M16" i="5"/>
  <c r="L16" i="5"/>
  <c r="P16" i="5" s="1"/>
  <c r="K16" i="5"/>
  <c r="I16" i="5"/>
  <c r="F16" i="5"/>
  <c r="D16" i="5"/>
  <c r="B16" i="5" a="1"/>
  <c r="B16" i="5"/>
  <c r="O15" i="5"/>
  <c r="N15" i="5"/>
  <c r="M15" i="5"/>
  <c r="L15" i="5"/>
  <c r="P15" i="5" s="1"/>
  <c r="K15" i="5"/>
  <c r="I15" i="5"/>
  <c r="J15" i="5" s="1"/>
  <c r="F15" i="5"/>
  <c r="D15" i="5"/>
  <c r="B15" i="5" a="1"/>
  <c r="B15" i="5"/>
  <c r="O14" i="5"/>
  <c r="P14" i="5" s="1"/>
  <c r="N14" i="5"/>
  <c r="M14" i="5"/>
  <c r="L14" i="5"/>
  <c r="K14" i="5"/>
  <c r="I14" i="5"/>
  <c r="F14" i="5"/>
  <c r="D14" i="5"/>
  <c r="B14" i="5" a="1"/>
  <c r="B14" i="5" s="1"/>
  <c r="O13" i="5"/>
  <c r="N13" i="5"/>
  <c r="P13" i="5" s="1"/>
  <c r="M13" i="5"/>
  <c r="L13" i="5"/>
  <c r="K13" i="5"/>
  <c r="I13" i="5"/>
  <c r="F13" i="5"/>
  <c r="D13" i="5"/>
  <c r="B13" i="5" a="1"/>
  <c r="B13" i="5"/>
  <c r="O12" i="5"/>
  <c r="P12" i="5" s="1"/>
  <c r="N12" i="5"/>
  <c r="M12" i="5"/>
  <c r="L12" i="5"/>
  <c r="K12" i="5"/>
  <c r="I12" i="5"/>
  <c r="F12" i="5"/>
  <c r="D12" i="5"/>
  <c r="B12" i="5" a="1"/>
  <c r="B12" i="5"/>
  <c r="O11" i="5"/>
  <c r="N11" i="5"/>
  <c r="M11" i="5"/>
  <c r="L11" i="5"/>
  <c r="P11" i="5" s="1"/>
  <c r="K11" i="5"/>
  <c r="I11" i="5"/>
  <c r="F11" i="5"/>
  <c r="D11" i="5"/>
  <c r="B11" i="5" a="1"/>
  <c r="B11" i="5" s="1"/>
  <c r="O10" i="5"/>
  <c r="N10" i="5"/>
  <c r="M10" i="5"/>
  <c r="L10" i="5"/>
  <c r="K10" i="5"/>
  <c r="I10" i="5"/>
  <c r="F10" i="5"/>
  <c r="D10" i="5"/>
  <c r="B10" i="5" a="1"/>
  <c r="B10" i="5"/>
  <c r="O9" i="5"/>
  <c r="P9" i="5" s="1"/>
  <c r="N9" i="5"/>
  <c r="M9" i="5"/>
  <c r="L9" i="5"/>
  <c r="K9" i="5"/>
  <c r="I9" i="5"/>
  <c r="F9" i="5"/>
  <c r="D9" i="5"/>
  <c r="B9" i="5" a="1"/>
  <c r="B9" i="5"/>
  <c r="P8" i="5"/>
  <c r="O8" i="5"/>
  <c r="N8" i="5"/>
  <c r="M8" i="5"/>
  <c r="L8" i="5"/>
  <c r="K8" i="5"/>
  <c r="I8" i="5"/>
  <c r="F8" i="5"/>
  <c r="D8" i="5"/>
  <c r="B8" i="5" a="1"/>
  <c r="B8" i="5"/>
  <c r="O7" i="5"/>
  <c r="N7" i="5"/>
  <c r="M7" i="5"/>
  <c r="L7" i="5"/>
  <c r="P7" i="5" s="1"/>
  <c r="K7" i="5"/>
  <c r="I7" i="5"/>
  <c r="F7" i="5"/>
  <c r="D7" i="5"/>
  <c r="B7" i="5" a="1"/>
  <c r="B7" i="5" s="1"/>
  <c r="O6" i="5"/>
  <c r="N6" i="5"/>
  <c r="M6" i="5"/>
  <c r="L6" i="5"/>
  <c r="K6" i="5"/>
  <c r="I6" i="5"/>
  <c r="F6" i="5"/>
  <c r="D6" i="5"/>
  <c r="B6" i="5" a="1"/>
  <c r="B6" i="5" s="1"/>
  <c r="O5" i="5"/>
  <c r="N5" i="5"/>
  <c r="M5" i="5"/>
  <c r="L5" i="5"/>
  <c r="P5" i="5" s="1"/>
  <c r="K5" i="5"/>
  <c r="I5" i="5"/>
  <c r="F5" i="5"/>
  <c r="D5" i="5"/>
  <c r="B5" i="5" a="1"/>
  <c r="B5" i="5"/>
  <c r="O4" i="5"/>
  <c r="P4" i="5" s="1"/>
  <c r="N4" i="5"/>
  <c r="M4" i="5"/>
  <c r="L4" i="5"/>
  <c r="K4" i="5"/>
  <c r="I4" i="5"/>
  <c r="F4" i="5"/>
  <c r="D4" i="5"/>
  <c r="B4" i="5" a="1"/>
  <c r="B4" i="5"/>
  <c r="C12" i="3"/>
  <c r="C11" i="3"/>
  <c r="C6" i="16" l="1"/>
  <c r="F8" i="12"/>
  <c r="F34" i="12"/>
  <c r="F4" i="12"/>
  <c r="F5" i="12"/>
  <c r="F22" i="12"/>
  <c r="F7" i="12"/>
  <c r="F25" i="12"/>
  <c r="F24" i="12"/>
  <c r="F32" i="12"/>
  <c r="F28" i="12"/>
  <c r="F27" i="12"/>
  <c r="F26" i="12"/>
  <c r="F23" i="12"/>
  <c r="F31" i="12"/>
  <c r="F30" i="12"/>
  <c r="F29" i="12"/>
  <c r="F33" i="12"/>
  <c r="J130" i="5"/>
  <c r="J155" i="5"/>
  <c r="J43" i="5"/>
  <c r="J109" i="5"/>
  <c r="J37" i="5"/>
  <c r="J39" i="5"/>
  <c r="J117" i="5"/>
  <c r="J147" i="5"/>
  <c r="J200" i="5"/>
  <c r="J213" i="5"/>
  <c r="J48" i="5"/>
  <c r="J153" i="5"/>
  <c r="J41" i="5"/>
  <c r="J7" i="5"/>
  <c r="J156" i="5"/>
  <c r="J80" i="5"/>
  <c r="J96" i="5"/>
  <c r="J140" i="5"/>
  <c r="J33" i="5"/>
  <c r="J78" i="5"/>
  <c r="J145" i="5"/>
  <c r="J177" i="5"/>
  <c r="J205" i="5"/>
  <c r="J70" i="5"/>
  <c r="J66" i="5"/>
  <c r="J112" i="5"/>
  <c r="J62" i="5"/>
  <c r="J85" i="5"/>
  <c r="J119" i="5"/>
  <c r="J28" i="5"/>
  <c r="J42" i="5"/>
  <c r="J49" i="5"/>
  <c r="J87" i="5"/>
  <c r="J115" i="5"/>
  <c r="J136" i="5"/>
  <c r="J166" i="5"/>
  <c r="J207" i="5"/>
  <c r="J160" i="5"/>
  <c r="J162" i="5"/>
  <c r="J186" i="5"/>
  <c r="J170" i="5"/>
  <c r="J179" i="5"/>
  <c r="J19" i="5"/>
  <c r="J76" i="5"/>
  <c r="J106" i="5"/>
  <c r="J219" i="5"/>
  <c r="J61" i="5"/>
  <c r="J52" i="5"/>
  <c r="J86" i="5"/>
  <c r="J102" i="5"/>
  <c r="J126" i="5"/>
  <c r="J14" i="5"/>
  <c r="J191" i="5"/>
  <c r="J94" i="5"/>
  <c r="J74" i="5"/>
  <c r="J101" i="5"/>
  <c r="J108" i="5"/>
  <c r="J196" i="5"/>
  <c r="J192" i="5"/>
  <c r="J25" i="5"/>
  <c r="J68" i="5"/>
  <c r="J32" i="5"/>
  <c r="J151" i="5"/>
  <c r="J30" i="5"/>
  <c r="J35" i="5"/>
  <c r="J10" i="5"/>
  <c r="J138" i="5"/>
  <c r="J26" i="5"/>
  <c r="J67" i="5"/>
  <c r="J134" i="5"/>
  <c r="J194" i="5"/>
  <c r="J79" i="5"/>
  <c r="J91" i="5"/>
  <c r="J13" i="5"/>
  <c r="J121" i="5"/>
  <c r="J123" i="5"/>
  <c r="J149" i="5"/>
  <c r="J9" i="5"/>
  <c r="J89" i="5"/>
  <c r="J168" i="5"/>
  <c r="J21" i="5"/>
  <c r="J29" i="5"/>
  <c r="J31" i="5"/>
  <c r="J72" i="5"/>
  <c r="J127" i="5"/>
  <c r="J8" i="5"/>
  <c r="J24" i="5"/>
  <c r="J36" i="5"/>
  <c r="J56" i="5"/>
  <c r="J217" i="5"/>
  <c r="J206" i="5"/>
  <c r="J18" i="5"/>
  <c r="J73" i="5"/>
  <c r="J20" i="5"/>
  <c r="J175" i="5"/>
  <c r="J6" i="5"/>
  <c r="J100" i="5"/>
  <c r="J110" i="5"/>
  <c r="J169" i="5"/>
  <c r="J17" i="5"/>
  <c r="J38" i="5"/>
  <c r="J81" i="5"/>
  <c r="J111" i="5"/>
  <c r="J141" i="5"/>
  <c r="J171" i="5"/>
  <c r="J50" i="5"/>
  <c r="J199" i="5"/>
  <c r="J54" i="5"/>
  <c r="J63" i="5"/>
  <c r="J93" i="5"/>
  <c r="J125" i="5"/>
  <c r="J176" i="5"/>
  <c r="J190" i="5"/>
  <c r="J215" i="5"/>
  <c r="P45" i="5"/>
  <c r="J173" i="5"/>
  <c r="J142" i="5"/>
  <c r="J144" i="5"/>
  <c r="J188" i="5"/>
  <c r="J203" i="5"/>
  <c r="P82" i="5"/>
  <c r="J95" i="5"/>
  <c r="P140" i="5"/>
  <c r="J143" i="5"/>
  <c r="J178" i="5"/>
  <c r="P180" i="5"/>
  <c r="J209" i="5"/>
  <c r="P211" i="5"/>
  <c r="J146" i="5"/>
  <c r="J107" i="5"/>
  <c r="J122" i="5"/>
  <c r="J27" i="5"/>
  <c r="J53" i="5"/>
  <c r="P56" i="5"/>
  <c r="J120" i="5"/>
  <c r="J137" i="5"/>
  <c r="P151" i="5"/>
  <c r="P272" i="5"/>
  <c r="J148" i="5"/>
  <c r="B4" i="6" a="1"/>
  <c r="J88" i="5"/>
  <c r="J172" i="5"/>
  <c r="J174" i="5"/>
  <c r="P80" i="5"/>
  <c r="J201" i="5"/>
  <c r="J214" i="5"/>
  <c r="P246" i="5"/>
  <c r="J132" i="5"/>
  <c r="J187" i="5"/>
  <c r="P69" i="5"/>
  <c r="J4" i="5"/>
  <c r="J77" i="5"/>
  <c r="J97" i="5"/>
  <c r="J47" i="5"/>
  <c r="J59" i="5"/>
  <c r="J135" i="5"/>
  <c r="J158" i="5"/>
  <c r="J212" i="5"/>
  <c r="J40" i="5"/>
  <c r="P110" i="5"/>
  <c r="J195" i="5"/>
  <c r="P6" i="5"/>
  <c r="J12" i="5"/>
  <c r="P21" i="5"/>
  <c r="J83" i="5"/>
  <c r="P97" i="5"/>
  <c r="J152" i="5"/>
  <c r="P166" i="5"/>
  <c r="J193" i="5"/>
  <c r="P195" i="5"/>
  <c r="J218" i="5"/>
  <c r="J220" i="5"/>
  <c r="P244" i="5"/>
  <c r="P327" i="5"/>
  <c r="P352" i="5"/>
  <c r="J131" i="5"/>
  <c r="P10" i="5"/>
  <c r="J46" i="5"/>
  <c r="J23" i="5"/>
  <c r="J189" i="5"/>
  <c r="J45" i="5"/>
  <c r="J51" i="5"/>
  <c r="J55" i="5"/>
  <c r="J57" i="5"/>
  <c r="J65" i="5"/>
  <c r="J118" i="5"/>
  <c r="P120" i="5"/>
  <c r="J139" i="5"/>
  <c r="J164" i="5"/>
  <c r="J204" i="5"/>
  <c r="P230" i="5"/>
  <c r="P232" i="5"/>
  <c r="P350" i="5"/>
  <c r="J22" i="5"/>
  <c r="J161" i="5"/>
  <c r="J182" i="5"/>
  <c r="J11" i="5"/>
  <c r="J157" i="5"/>
  <c r="J211" i="5"/>
  <c r="J114" i="5"/>
  <c r="J124" i="5"/>
  <c r="P39" i="5"/>
  <c r="J71" i="5"/>
  <c r="P89" i="5"/>
  <c r="J116" i="5"/>
  <c r="J216" i="5"/>
  <c r="P234" i="5"/>
  <c r="P285" i="5"/>
  <c r="P303" i="5"/>
  <c r="P321" i="5"/>
  <c r="P358" i="5"/>
  <c r="P395" i="5"/>
  <c r="J34" i="5"/>
  <c r="J69" i="5"/>
  <c r="J75" i="5"/>
  <c r="P77" i="5"/>
  <c r="J198" i="5"/>
  <c r="J92" i="5"/>
  <c r="J5" i="5"/>
  <c r="P365" i="5"/>
  <c r="J60" i="5"/>
  <c r="J16" i="5"/>
  <c r="J150" i="5"/>
  <c r="P164" i="5"/>
  <c r="J181" i="5"/>
  <c r="J183" i="5"/>
  <c r="J185" i="5"/>
  <c r="P228" i="5"/>
  <c r="P63" i="5"/>
  <c r="P71" i="5"/>
  <c r="P87" i="5"/>
  <c r="P95" i="5"/>
  <c r="J98" i="5"/>
  <c r="J133" i="5"/>
  <c r="P135" i="5"/>
  <c r="J154" i="5"/>
  <c r="J167" i="5"/>
  <c r="J202" i="5"/>
  <c r="J210" i="5"/>
  <c r="P383" i="5"/>
  <c r="P393" i="5"/>
  <c r="J129" i="5"/>
  <c r="J208" i="5"/>
  <c r="J165" i="5"/>
  <c r="P40" i="5"/>
  <c r="J44" i="5"/>
  <c r="J58" i="5"/>
  <c r="J64" i="5"/>
  <c r="J105" i="5"/>
  <c r="J163" i="5"/>
  <c r="P165" i="5"/>
  <c r="J180" i="5"/>
  <c r="P202" i="5"/>
  <c r="P332" i="5"/>
  <c r="J90" i="5"/>
  <c r="P238" i="5"/>
  <c r="J84" i="5"/>
  <c r="J113" i="5"/>
  <c r="J82" i="5"/>
  <c r="J159" i="5"/>
  <c r="J184" i="5"/>
  <c r="P194" i="5"/>
  <c r="P239" i="5"/>
  <c r="P32" i="5"/>
  <c r="P52" i="5"/>
  <c r="P58" i="5"/>
  <c r="P64" i="5"/>
  <c r="J99" i="5"/>
  <c r="J103" i="5"/>
  <c r="P119" i="5"/>
  <c r="P125" i="5"/>
  <c r="J128" i="5"/>
  <c r="P136" i="5"/>
  <c r="J197" i="5"/>
  <c r="P394" i="5"/>
  <c r="P420" i="5"/>
  <c r="P251" i="5"/>
  <c r="P311" i="5"/>
  <c r="P342" i="5"/>
  <c r="P284" i="5"/>
  <c r="P344" i="5"/>
  <c r="P375" i="5"/>
  <c r="P240" i="5"/>
  <c r="P331" i="5"/>
  <c r="P399" i="5"/>
  <c r="P221" i="5"/>
  <c r="P372" i="5"/>
  <c r="P432" i="5"/>
  <c r="P223" i="5"/>
  <c r="P254" i="5"/>
  <c r="P405" i="5"/>
  <c r="P229" i="5"/>
  <c r="P322" i="5"/>
  <c r="P295" i="5"/>
  <c r="P355" i="5"/>
  <c r="P386" i="5"/>
  <c r="P328" i="5"/>
  <c r="P388" i="5"/>
  <c r="P419" i="5"/>
  <c r="P361" i="5"/>
  <c r="P421" i="5"/>
  <c r="D60" i="6" l="1" a="1"/>
  <c r="D60" i="6" s="1"/>
  <c r="D58" i="6" a="1"/>
  <c r="D58" i="6" s="1"/>
  <c r="D40" i="6" a="1"/>
  <c r="D40" i="6" s="1"/>
  <c r="D17" i="6" a="1"/>
  <c r="D17" i="6" s="1"/>
  <c r="B48" i="6"/>
  <c r="D48" i="6" s="1" a="1"/>
  <c r="D48" i="6" s="1"/>
  <c r="B26" i="6"/>
  <c r="B47" i="6"/>
  <c r="B25" i="6"/>
  <c r="B4" i="6"/>
  <c r="D14" i="6" a="1"/>
  <c r="D14" i="6" s="1"/>
  <c r="B43" i="6"/>
  <c r="D43" i="6" s="1" a="1"/>
  <c r="D43" i="6" s="1"/>
  <c r="B21" i="6"/>
  <c r="D47" i="6" a="1"/>
  <c r="D47" i="6" s="1"/>
  <c r="D9" i="6" a="1"/>
  <c r="D9" i="6" s="1"/>
  <c r="B42" i="6"/>
  <c r="D42" i="6" s="1" a="1"/>
  <c r="D42" i="6" s="1"/>
  <c r="B20" i="6"/>
  <c r="D20" i="6" s="1" a="1"/>
  <c r="D20" i="6" s="1"/>
  <c r="D57" i="6" a="1"/>
  <c r="D57" i="6" s="1"/>
  <c r="D34" i="6" a="1"/>
  <c r="D34" i="6" s="1"/>
  <c r="B40" i="6"/>
  <c r="B18" i="6"/>
  <c r="D18" i="6" s="1" a="1"/>
  <c r="D18" i="6" s="1"/>
  <c r="D39" i="6" a="1"/>
  <c r="D39" i="6" s="1"/>
  <c r="B61" i="6"/>
  <c r="B39" i="6"/>
  <c r="B17" i="6"/>
  <c r="D26" i="6" a="1"/>
  <c r="D26" i="6" s="1"/>
  <c r="B59" i="6"/>
  <c r="B37" i="6"/>
  <c r="B15" i="6"/>
  <c r="D53" i="6" a="1"/>
  <c r="D53" i="6" s="1"/>
  <c r="B34" i="6"/>
  <c r="B5" i="6"/>
  <c r="B33" i="6"/>
  <c r="D33" i="6" s="1" a="1"/>
  <c r="D33" i="6" s="1"/>
  <c r="D41" i="6" a="1"/>
  <c r="D41" i="6" s="1"/>
  <c r="D30" i="6" a="1"/>
  <c r="D30" i="6" s="1"/>
  <c r="D15" i="6" a="1"/>
  <c r="D15" i="6" s="1"/>
  <c r="B32" i="6"/>
  <c r="D32" i="6" s="1" a="1"/>
  <c r="D32" i="6" s="1"/>
  <c r="D56" i="6" a="1"/>
  <c r="D56" i="6" s="1"/>
  <c r="D11" i="6" a="1"/>
  <c r="D11" i="6" s="1"/>
  <c r="D4" i="6" a="1"/>
  <c r="D4" i="6" s="1"/>
  <c r="B31" i="6"/>
  <c r="B60" i="6"/>
  <c r="B30" i="6"/>
  <c r="D59" i="6" a="1"/>
  <c r="D59" i="6" s="1"/>
  <c r="B57" i="6"/>
  <c r="B28" i="6"/>
  <c r="B56" i="6"/>
  <c r="B27" i="6"/>
  <c r="D27" i="6" s="1" a="1"/>
  <c r="D27" i="6" s="1"/>
  <c r="B55" i="6"/>
  <c r="D55" i="6" s="1" a="1"/>
  <c r="D55" i="6" s="1"/>
  <c r="B24" i="6"/>
  <c r="D24" i="6" s="1" a="1"/>
  <c r="D24" i="6" s="1"/>
  <c r="D10" i="6" a="1"/>
  <c r="D10" i="6" s="1"/>
  <c r="B52" i="6"/>
  <c r="D52" i="6" s="1" a="1"/>
  <c r="D52" i="6" s="1"/>
  <c r="B19" i="6"/>
  <c r="D19" i="6" s="1" a="1"/>
  <c r="D19" i="6" s="1"/>
  <c r="D46" i="6" a="1"/>
  <c r="D46" i="6" s="1"/>
  <c r="D35" i="6" a="1"/>
  <c r="D35" i="6" s="1"/>
  <c r="B44" i="6"/>
  <c r="D44" i="6" s="1" a="1"/>
  <c r="D44" i="6" s="1"/>
  <c r="B10" i="6"/>
  <c r="D61" i="6" a="1"/>
  <c r="D61" i="6" s="1"/>
  <c r="B41" i="6"/>
  <c r="B9" i="6"/>
  <c r="D25" i="6" a="1"/>
  <c r="D25" i="6" s="1"/>
  <c r="B54" i="6"/>
  <c r="B53" i="6"/>
  <c r="B35" i="6"/>
  <c r="B51" i="6"/>
  <c r="D37" i="6" a="1"/>
  <c r="D37" i="6" s="1"/>
  <c r="B29" i="6"/>
  <c r="D29" i="6" s="1" a="1"/>
  <c r="D29" i="6" s="1"/>
  <c r="D21" i="6" a="1"/>
  <c r="D21" i="6" s="1"/>
  <c r="B23" i="6"/>
  <c r="D23" i="6" s="1" a="1"/>
  <c r="D23" i="6" s="1"/>
  <c r="D51" i="6" a="1"/>
  <c r="D51" i="6" s="1"/>
  <c r="B22" i="6"/>
  <c r="D22" i="6" s="1" a="1"/>
  <c r="D22" i="6" s="1"/>
  <c r="B36" i="6"/>
  <c r="D36" i="6" s="1" a="1"/>
  <c r="D36" i="6" s="1"/>
  <c r="D28" i="6" a="1"/>
  <c r="D28" i="6" s="1"/>
  <c r="B16" i="6"/>
  <c r="D16" i="6" s="1" a="1"/>
  <c r="D16" i="6" s="1"/>
  <c r="D13" i="6" a="1"/>
  <c r="D13" i="6" s="1"/>
  <c r="B14" i="6"/>
  <c r="B58" i="6"/>
  <c r="B46" i="6"/>
  <c r="B13" i="6"/>
  <c r="B12" i="6"/>
  <c r="D12" i="6" s="1" a="1"/>
  <c r="D12" i="6" s="1"/>
  <c r="B11" i="6"/>
  <c r="B49" i="6"/>
  <c r="D49" i="6" s="1" a="1"/>
  <c r="D49" i="6" s="1"/>
  <c r="B8" i="6"/>
  <c r="D8" i="6" s="1" a="1"/>
  <c r="D8" i="6" s="1"/>
  <c r="B6" i="6"/>
  <c r="D6" i="6" s="1" a="1"/>
  <c r="D6" i="6" s="1"/>
  <c r="D54" i="6" a="1"/>
  <c r="D54" i="6" s="1"/>
  <c r="B50" i="6"/>
  <c r="D50" i="6" s="1" a="1"/>
  <c r="D50" i="6" s="1"/>
  <c r="D5" i="6" a="1"/>
  <c r="D5" i="6" s="1"/>
  <c r="B7" i="6"/>
  <c r="D7" i="6" s="1" a="1"/>
  <c r="D7" i="6" s="1"/>
  <c r="D31" i="6" a="1"/>
  <c r="D31" i="6" s="1"/>
  <c r="B45" i="6"/>
  <c r="D45" i="6" s="1" a="1"/>
  <c r="D45" i="6" s="1"/>
  <c r="B38" i="6"/>
  <c r="D38" i="6" s="1" a="1"/>
  <c r="D38" i="6" s="1"/>
  <c r="E55" i="6" l="1"/>
  <c r="H55" i="6" a="1"/>
  <c r="H55" i="6" s="1"/>
  <c r="F55" i="6"/>
  <c r="I55" i="6" a="1"/>
  <c r="I55" i="6" s="1"/>
  <c r="H19" i="6" a="1"/>
  <c r="H19" i="6" s="1"/>
  <c r="E19" i="6"/>
  <c r="I19" i="6" a="1"/>
  <c r="I19" i="6" s="1"/>
  <c r="F19" i="6"/>
  <c r="H24" i="6" a="1"/>
  <c r="H24" i="6" s="1"/>
  <c r="E24" i="6"/>
  <c r="I24" i="6" a="1"/>
  <c r="I24" i="6" s="1"/>
  <c r="F24" i="6"/>
  <c r="F27" i="6"/>
  <c r="E27" i="6"/>
  <c r="G27" i="6" s="1"/>
  <c r="I27" i="6" a="1"/>
  <c r="I27" i="6" s="1"/>
  <c r="H27" i="6" a="1"/>
  <c r="H27" i="6" s="1"/>
  <c r="I29" i="6" a="1"/>
  <c r="I29" i="6" s="1"/>
  <c r="F29" i="6"/>
  <c r="E29" i="6"/>
  <c r="G29" i="6" s="1"/>
  <c r="H29" i="6" a="1"/>
  <c r="H29" i="6" s="1"/>
  <c r="E12" i="6"/>
  <c r="G12" i="6" s="1"/>
  <c r="H12" i="6" a="1"/>
  <c r="H12" i="6" s="1"/>
  <c r="I12" i="6" a="1"/>
  <c r="I12" i="6" s="1"/>
  <c r="F12" i="6"/>
  <c r="E16" i="6"/>
  <c r="H16" i="6" a="1"/>
  <c r="H16" i="6" s="1"/>
  <c r="I16" i="6" a="1"/>
  <c r="I16" i="6" s="1"/>
  <c r="F16" i="6"/>
  <c r="E45" i="6"/>
  <c r="F45" i="6"/>
  <c r="H45" i="6" a="1"/>
  <c r="H45" i="6" s="1"/>
  <c r="I45" i="6" a="1"/>
  <c r="I45" i="6" s="1"/>
  <c r="F50" i="6"/>
  <c r="E50" i="6"/>
  <c r="I50" i="6" a="1"/>
  <c r="I50" i="6" s="1"/>
  <c r="H50" i="6" a="1"/>
  <c r="H50" i="6" s="1"/>
  <c r="I52" i="6" a="1"/>
  <c r="I52" i="6" s="1"/>
  <c r="F52" i="6"/>
  <c r="E52" i="6"/>
  <c r="G52" i="6" s="1"/>
  <c r="H52" i="6" a="1"/>
  <c r="H52" i="6" s="1"/>
  <c r="H6" i="6" a="1"/>
  <c r="H6" i="6" s="1"/>
  <c r="F6" i="6"/>
  <c r="E6" i="6"/>
  <c r="G6" i="6" s="1"/>
  <c r="I6" i="6" a="1"/>
  <c r="I6" i="6" s="1"/>
  <c r="H44" i="6" a="1"/>
  <c r="H44" i="6" s="1"/>
  <c r="F44" i="6"/>
  <c r="E44" i="6"/>
  <c r="I44" i="6" a="1"/>
  <c r="I44" i="6" s="1"/>
  <c r="I36" i="6" a="1"/>
  <c r="I36" i="6" s="1"/>
  <c r="H36" i="6" a="1"/>
  <c r="H36" i="6" s="1"/>
  <c r="F36" i="6"/>
  <c r="E36" i="6"/>
  <c r="I23" i="6" a="1"/>
  <c r="I23" i="6" s="1"/>
  <c r="F23" i="6"/>
  <c r="E23" i="6"/>
  <c r="H23" i="6" a="1"/>
  <c r="H23" i="6" s="1"/>
  <c r="H18" i="6" a="1"/>
  <c r="H18" i="6" s="1"/>
  <c r="F18" i="6"/>
  <c r="I18" i="6" a="1"/>
  <c r="I18" i="6" s="1"/>
  <c r="E18" i="6"/>
  <c r="I8" i="6" a="1"/>
  <c r="I8" i="6" s="1"/>
  <c r="H8" i="6" a="1"/>
  <c r="H8" i="6" s="1"/>
  <c r="F8" i="6"/>
  <c r="E8" i="6"/>
  <c r="I20" i="6" a="1"/>
  <c r="I20" i="6" s="1"/>
  <c r="H20" i="6" a="1"/>
  <c r="H20" i="6" s="1"/>
  <c r="F20" i="6"/>
  <c r="E20" i="6"/>
  <c r="I43" i="6" a="1"/>
  <c r="I43" i="6" s="1"/>
  <c r="H43" i="6" a="1"/>
  <c r="H43" i="6" s="1"/>
  <c r="F43" i="6"/>
  <c r="E43" i="6"/>
  <c r="G43" i="6" s="1"/>
  <c r="E22" i="6"/>
  <c r="H22" i="6" a="1"/>
  <c r="H22" i="6" s="1"/>
  <c r="F22" i="6"/>
  <c r="I22" i="6" a="1"/>
  <c r="I22" i="6" s="1"/>
  <c r="I38" i="6" a="1"/>
  <c r="I38" i="6" s="1"/>
  <c r="E38" i="6"/>
  <c r="F38" i="6"/>
  <c r="H38" i="6" a="1"/>
  <c r="H38" i="6" s="1"/>
  <c r="H42" i="6" a="1"/>
  <c r="H42" i="6" s="1"/>
  <c r="F42" i="6"/>
  <c r="I42" i="6" a="1"/>
  <c r="I42" i="6" s="1"/>
  <c r="E42" i="6"/>
  <c r="G42" i="6" s="1"/>
  <c r="E33" i="6"/>
  <c r="I33" i="6" a="1"/>
  <c r="I33" i="6" s="1"/>
  <c r="H33" i="6" a="1"/>
  <c r="H33" i="6" s="1"/>
  <c r="F33" i="6"/>
  <c r="I48" i="6" a="1"/>
  <c r="I48" i="6" s="1"/>
  <c r="H48" i="6" a="1"/>
  <c r="H48" i="6" s="1"/>
  <c r="E48" i="6"/>
  <c r="F48" i="6"/>
  <c r="F7" i="6"/>
  <c r="E7" i="6"/>
  <c r="G7" i="6" s="1"/>
  <c r="I7" i="6" a="1"/>
  <c r="I7" i="6" s="1"/>
  <c r="H7" i="6" a="1"/>
  <c r="H7" i="6" s="1"/>
  <c r="H49" i="6" a="1"/>
  <c r="H49" i="6" s="1"/>
  <c r="F49" i="6"/>
  <c r="I49" i="6" a="1"/>
  <c r="I49" i="6" s="1"/>
  <c r="E49" i="6"/>
  <c r="F32" i="6"/>
  <c r="I32" i="6" a="1"/>
  <c r="I32" i="6" s="1"/>
  <c r="E32" i="6"/>
  <c r="H32" i="6" a="1"/>
  <c r="H32" i="6" s="1"/>
  <c r="E39" i="6"/>
  <c r="I39" i="6" a="1"/>
  <c r="I39" i="6" s="1"/>
  <c r="H39" i="6" a="1"/>
  <c r="H39" i="6" s="1"/>
  <c r="F39" i="6"/>
  <c r="F56" i="6"/>
  <c r="E56" i="6"/>
  <c r="I56" i="6" a="1"/>
  <c r="I56" i="6" s="1"/>
  <c r="H56" i="6" a="1"/>
  <c r="H56" i="6" s="1"/>
  <c r="H60" i="6" a="1"/>
  <c r="H60" i="6" s="1"/>
  <c r="F60" i="6"/>
  <c r="E60" i="6"/>
  <c r="I60" i="6" a="1"/>
  <c r="I60" i="6" s="1"/>
  <c r="I37" i="6" a="1"/>
  <c r="I37" i="6" s="1"/>
  <c r="H37" i="6" a="1"/>
  <c r="H37" i="6" s="1"/>
  <c r="F37" i="6"/>
  <c r="E37" i="6"/>
  <c r="I4" i="6" a="1"/>
  <c r="I4" i="6" s="1"/>
  <c r="F4" i="6"/>
  <c r="E4" i="6"/>
  <c r="H4" i="6" a="1"/>
  <c r="H4" i="6" s="1"/>
  <c r="H11" i="6" a="1"/>
  <c r="H11" i="6" s="1"/>
  <c r="F11" i="6"/>
  <c r="E11" i="6"/>
  <c r="G11" i="6" s="1"/>
  <c r="I11" i="6" a="1"/>
  <c r="I11" i="6" s="1"/>
  <c r="I17" i="6" a="1"/>
  <c r="I17" i="6" s="1"/>
  <c r="H17" i="6" a="1"/>
  <c r="H17" i="6" s="1"/>
  <c r="F17" i="6"/>
  <c r="E17" i="6"/>
  <c r="I31" i="6" a="1"/>
  <c r="I31" i="6" s="1"/>
  <c r="E31" i="6"/>
  <c r="F31" i="6"/>
  <c r="H31" i="6" a="1"/>
  <c r="H31" i="6" s="1"/>
  <c r="I40" i="6" a="1"/>
  <c r="I40" i="6" s="1"/>
  <c r="H40" i="6" a="1"/>
  <c r="H40" i="6" s="1"/>
  <c r="F40" i="6"/>
  <c r="E40" i="6"/>
  <c r="G40" i="6" s="1"/>
  <c r="I10" i="6" a="1"/>
  <c r="I10" i="6" s="1"/>
  <c r="H10" i="6" a="1"/>
  <c r="H10" i="6" s="1"/>
  <c r="F10" i="6"/>
  <c r="E10" i="6"/>
  <c r="H41" i="6" a="1"/>
  <c r="H41" i="6" s="1"/>
  <c r="F41" i="6"/>
  <c r="E41" i="6"/>
  <c r="I41" i="6" a="1"/>
  <c r="I41" i="6" s="1"/>
  <c r="H21" i="6" a="1"/>
  <c r="H21" i="6" s="1"/>
  <c r="F21" i="6"/>
  <c r="E21" i="6"/>
  <c r="G21" i="6" s="1"/>
  <c r="I21" i="6" a="1"/>
  <c r="I21" i="6" s="1"/>
  <c r="F28" i="6"/>
  <c r="I28" i="6" a="1"/>
  <c r="I28" i="6" s="1"/>
  <c r="H28" i="6" a="1"/>
  <c r="H28" i="6" s="1"/>
  <c r="E28" i="6"/>
  <c r="F30" i="6"/>
  <c r="E30" i="6"/>
  <c r="G30" i="6" s="1"/>
  <c r="I30" i="6" a="1"/>
  <c r="I30" i="6" s="1"/>
  <c r="H30" i="6" a="1"/>
  <c r="H30" i="6" s="1"/>
  <c r="I46" i="6" a="1"/>
  <c r="I46" i="6" s="1"/>
  <c r="F46" i="6"/>
  <c r="H46" i="6" a="1"/>
  <c r="H46" i="6" s="1"/>
  <c r="E46" i="6"/>
  <c r="I58" i="6" a="1"/>
  <c r="I58" i="6" s="1"/>
  <c r="H58" i="6" a="1"/>
  <c r="H58" i="6" s="1"/>
  <c r="F58" i="6"/>
  <c r="E58" i="6"/>
  <c r="I15" i="6" a="1"/>
  <c r="I15" i="6" s="1"/>
  <c r="F15" i="6"/>
  <c r="E15" i="6"/>
  <c r="H15" i="6" a="1"/>
  <c r="H15" i="6" s="1"/>
  <c r="I51" i="6" a="1"/>
  <c r="I51" i="6" s="1"/>
  <c r="H51" i="6" a="1"/>
  <c r="H51" i="6" s="1"/>
  <c r="F51" i="6"/>
  <c r="E51" i="6"/>
  <c r="G51" i="6" s="1"/>
  <c r="H9" i="6" a="1"/>
  <c r="H9" i="6" s="1"/>
  <c r="E9" i="6"/>
  <c r="I9" i="6" a="1"/>
  <c r="I9" i="6" s="1"/>
  <c r="F9" i="6"/>
  <c r="I47" i="6" a="1"/>
  <c r="I47" i="6" s="1"/>
  <c r="H47" i="6" a="1"/>
  <c r="H47" i="6" s="1"/>
  <c r="E47" i="6"/>
  <c r="F47" i="6"/>
  <c r="I25" i="6" a="1"/>
  <c r="I25" i="6" s="1"/>
  <c r="H25" i="6" a="1"/>
  <c r="H25" i="6" s="1"/>
  <c r="F25" i="6"/>
  <c r="E25" i="6"/>
  <c r="I59" i="6" a="1"/>
  <c r="I59" i="6" s="1"/>
  <c r="H59" i="6" a="1"/>
  <c r="H59" i="6" s="1"/>
  <c r="F59" i="6"/>
  <c r="E59" i="6"/>
  <c r="H26" i="6" a="1"/>
  <c r="H26" i="6" s="1"/>
  <c r="F26" i="6"/>
  <c r="E26" i="6"/>
  <c r="I26" i="6" a="1"/>
  <c r="I26" i="6" s="1"/>
  <c r="H35" i="6" a="1"/>
  <c r="H35" i="6" s="1"/>
  <c r="I35" i="6" a="1"/>
  <c r="I35" i="6" s="1"/>
  <c r="F35" i="6"/>
  <c r="E35" i="6"/>
  <c r="H57" i="6" a="1"/>
  <c r="H57" i="6" s="1"/>
  <c r="F57" i="6"/>
  <c r="E57" i="6"/>
  <c r="I57" i="6" a="1"/>
  <c r="I57" i="6" s="1"/>
  <c r="H13" i="6" a="1"/>
  <c r="H13" i="6" s="1"/>
  <c r="F13" i="6"/>
  <c r="I13" i="6" a="1"/>
  <c r="I13" i="6" s="1"/>
  <c r="E13" i="6"/>
  <c r="I34" i="6" a="1"/>
  <c r="I34" i="6" s="1"/>
  <c r="F34" i="6"/>
  <c r="H34" i="6" a="1"/>
  <c r="H34" i="6" s="1"/>
  <c r="E34" i="6"/>
  <c r="F5" i="6"/>
  <c r="I5" i="6" a="1"/>
  <c r="I5" i="6" s="1"/>
  <c r="H5" i="6" a="1"/>
  <c r="H5" i="6" s="1"/>
  <c r="E5" i="6"/>
  <c r="H53" i="6" a="1"/>
  <c r="H53" i="6" s="1"/>
  <c r="E53" i="6"/>
  <c r="F53" i="6"/>
  <c r="I53" i="6" a="1"/>
  <c r="I53" i="6" s="1"/>
  <c r="H14" i="6" a="1"/>
  <c r="H14" i="6" s="1"/>
  <c r="I14" i="6" a="1"/>
  <c r="I14" i="6" s="1"/>
  <c r="F14" i="6"/>
  <c r="E14" i="6"/>
  <c r="I61" i="6" a="1"/>
  <c r="I61" i="6" s="1"/>
  <c r="E61" i="6"/>
  <c r="H61" i="6" a="1"/>
  <c r="H61" i="6" s="1"/>
  <c r="F61" i="6"/>
  <c r="I54" i="6" a="1"/>
  <c r="I54" i="6" s="1"/>
  <c r="E54" i="6"/>
  <c r="H54" i="6" a="1"/>
  <c r="H54" i="6" s="1"/>
  <c r="F54" i="6"/>
  <c r="G59" i="6" l="1"/>
  <c r="G49" i="6"/>
  <c r="G13" i="6"/>
  <c r="G37" i="6"/>
  <c r="G36" i="6"/>
  <c r="G48" i="6"/>
  <c r="AG24" i="8" s="1"/>
  <c r="G44" i="6"/>
  <c r="G4" i="6"/>
  <c r="Y4" i="8"/>
  <c r="O5" i="8"/>
  <c r="E6" i="8"/>
  <c r="AA6" i="8"/>
  <c r="Q7" i="8"/>
  <c r="G8" i="8"/>
  <c r="AC8" i="8"/>
  <c r="S9" i="8"/>
  <c r="I10" i="8"/>
  <c r="AE10" i="8"/>
  <c r="U11" i="8"/>
  <c r="K12" i="8"/>
  <c r="AG12" i="8"/>
  <c r="W13" i="8"/>
  <c r="M14" i="8"/>
  <c r="Y15" i="8"/>
  <c r="O16" i="8"/>
  <c r="E17" i="8"/>
  <c r="Q18" i="8"/>
  <c r="G19" i="8"/>
  <c r="AC19" i="8"/>
  <c r="S20" i="8"/>
  <c r="I21" i="8"/>
  <c r="AE21" i="8"/>
  <c r="U22" i="8"/>
  <c r="K23" i="8"/>
  <c r="W24" i="8"/>
  <c r="M25" i="8"/>
  <c r="Y26" i="8"/>
  <c r="O27" i="8"/>
  <c r="E28" i="8"/>
  <c r="AA28" i="8"/>
  <c r="Q29" i="8"/>
  <c r="G30" i="8"/>
  <c r="AC30" i="8"/>
  <c r="S31" i="8"/>
  <c r="I32" i="8"/>
  <c r="AE32" i="8"/>
  <c r="U33" i="8"/>
  <c r="K34" i="8"/>
  <c r="AG34" i="8"/>
  <c r="O17" i="8"/>
  <c r="O28" i="8"/>
  <c r="J11" i="8"/>
  <c r="AH13" i="8"/>
  <c r="H20" i="8"/>
  <c r="Z27" i="8"/>
  <c r="V34" i="8"/>
  <c r="L11" i="8"/>
  <c r="N13" i="8"/>
  <c r="R17" i="8"/>
  <c r="D25" i="8"/>
  <c r="V32" i="8"/>
  <c r="D4" i="8"/>
  <c r="Z4" i="8"/>
  <c r="P5" i="8"/>
  <c r="F6" i="8"/>
  <c r="AB6" i="8"/>
  <c r="R7" i="8"/>
  <c r="H8" i="8"/>
  <c r="AD8" i="8"/>
  <c r="T9" i="8"/>
  <c r="J10" i="8"/>
  <c r="AF10" i="8"/>
  <c r="V11" i="8"/>
  <c r="L12" i="8"/>
  <c r="AH12" i="8"/>
  <c r="X13" i="8"/>
  <c r="N14" i="8"/>
  <c r="D15" i="8"/>
  <c r="Z15" i="8"/>
  <c r="P16" i="8"/>
  <c r="F17" i="8"/>
  <c r="AB17" i="8"/>
  <c r="R18" i="8"/>
  <c r="H19" i="8"/>
  <c r="AD19" i="8"/>
  <c r="T20" i="8"/>
  <c r="J21" i="8"/>
  <c r="AF21" i="8"/>
  <c r="V22" i="8"/>
  <c r="L23" i="8"/>
  <c r="AH23" i="8"/>
  <c r="X24" i="8"/>
  <c r="N25" i="8"/>
  <c r="D26" i="8"/>
  <c r="Z26" i="8"/>
  <c r="P27" i="8"/>
  <c r="F28" i="8"/>
  <c r="AB28" i="8"/>
  <c r="R29" i="8"/>
  <c r="H30" i="8"/>
  <c r="AD30" i="8"/>
  <c r="T31" i="8"/>
  <c r="J32" i="8"/>
  <c r="AF32" i="8"/>
  <c r="V33" i="8"/>
  <c r="L34" i="8"/>
  <c r="AH34" i="8"/>
  <c r="AE11" i="8"/>
  <c r="S32" i="8"/>
  <c r="AD9" i="8"/>
  <c r="F18" i="8"/>
  <c r="AH24" i="8"/>
  <c r="AD31" i="8"/>
  <c r="V10" i="8"/>
  <c r="AF20" i="8"/>
  <c r="R28" i="8"/>
  <c r="E4" i="8"/>
  <c r="AA4" i="8"/>
  <c r="Q5" i="8"/>
  <c r="G6" i="8"/>
  <c r="AC6" i="8"/>
  <c r="S7" i="8"/>
  <c r="I8" i="8"/>
  <c r="AE8" i="8"/>
  <c r="U9" i="8"/>
  <c r="K10" i="8"/>
  <c r="AG10" i="8"/>
  <c r="W11" i="8"/>
  <c r="M12" i="8"/>
  <c r="Y13" i="8"/>
  <c r="O14" i="8"/>
  <c r="E15" i="8"/>
  <c r="AA15" i="8"/>
  <c r="Q16" i="8"/>
  <c r="G17" i="8"/>
  <c r="AC17" i="8"/>
  <c r="S18" i="8"/>
  <c r="I19" i="8"/>
  <c r="AE19" i="8"/>
  <c r="U20" i="8"/>
  <c r="K21" i="8"/>
  <c r="AG21" i="8"/>
  <c r="W22" i="8"/>
  <c r="M23" i="8"/>
  <c r="Y24" i="8"/>
  <c r="O25" i="8"/>
  <c r="E26" i="8"/>
  <c r="AA26" i="8"/>
  <c r="Q27" i="8"/>
  <c r="G28" i="8"/>
  <c r="AC28" i="8"/>
  <c r="S29" i="8"/>
  <c r="I30" i="8"/>
  <c r="AE30" i="8"/>
  <c r="U31" i="8"/>
  <c r="K32" i="8"/>
  <c r="AG32" i="8"/>
  <c r="W33" i="8"/>
  <c r="M34" i="8"/>
  <c r="U12" i="8"/>
  <c r="AC20" i="8"/>
  <c r="M26" i="8"/>
  <c r="AE33" i="8"/>
  <c r="D5" i="8"/>
  <c r="AF11" i="8"/>
  <c r="D16" i="8"/>
  <c r="AF22" i="8"/>
  <c r="AB29" i="8"/>
  <c r="AD7" i="8"/>
  <c r="T19" i="8"/>
  <c r="AB27" i="8"/>
  <c r="F4" i="8"/>
  <c r="AB4" i="8"/>
  <c r="R5" i="8"/>
  <c r="H6" i="8"/>
  <c r="AD6" i="8"/>
  <c r="T7" i="8"/>
  <c r="J8" i="8"/>
  <c r="AF8" i="8"/>
  <c r="V9" i="8"/>
  <c r="AH10" i="8"/>
  <c r="N12" i="8"/>
  <c r="D13" i="8"/>
  <c r="Z13" i="8"/>
  <c r="P14" i="8"/>
  <c r="F15" i="8"/>
  <c r="AB15" i="8"/>
  <c r="R16" i="8"/>
  <c r="H17" i="8"/>
  <c r="AD17" i="8"/>
  <c r="T18" i="8"/>
  <c r="J19" i="8"/>
  <c r="V20" i="8"/>
  <c r="L21" i="8"/>
  <c r="AH21" i="8"/>
  <c r="X22" i="8"/>
  <c r="N23" i="8"/>
  <c r="D24" i="8"/>
  <c r="Z24" i="8"/>
  <c r="P25" i="8"/>
  <c r="F26" i="8"/>
  <c r="AB26" i="8"/>
  <c r="R27" i="8"/>
  <c r="H28" i="8"/>
  <c r="T29" i="8"/>
  <c r="J30" i="8"/>
  <c r="AF30" i="8"/>
  <c r="V31" i="8"/>
  <c r="L32" i="8"/>
  <c r="X33" i="8"/>
  <c r="N34" i="8"/>
  <c r="Q34" i="8"/>
  <c r="AE22" i="8"/>
  <c r="Q30" i="8"/>
  <c r="F7" i="8"/>
  <c r="P17" i="8"/>
  <c r="L24" i="8"/>
  <c r="H31" i="8"/>
  <c r="H7" i="8"/>
  <c r="AD18" i="8"/>
  <c r="P26" i="8"/>
  <c r="L33" i="8"/>
  <c r="G4" i="8"/>
  <c r="AC4" i="8"/>
  <c r="S5" i="8"/>
  <c r="I6" i="8"/>
  <c r="AE6" i="8"/>
  <c r="U7" i="8"/>
  <c r="K8" i="8"/>
  <c r="AG8" i="8"/>
  <c r="W9" i="8"/>
  <c r="M10" i="8"/>
  <c r="Y11" i="8"/>
  <c r="O12" i="8"/>
  <c r="E13" i="8"/>
  <c r="AA13" i="8"/>
  <c r="Q14" i="8"/>
  <c r="G15" i="8"/>
  <c r="AC15" i="8"/>
  <c r="S16" i="8"/>
  <c r="I17" i="8"/>
  <c r="AE17" i="8"/>
  <c r="U18" i="8"/>
  <c r="K19" i="8"/>
  <c r="AG19" i="8"/>
  <c r="W20" i="8"/>
  <c r="M21" i="8"/>
  <c r="Y22" i="8"/>
  <c r="O23" i="8"/>
  <c r="E24" i="8"/>
  <c r="AA24" i="8"/>
  <c r="Q25" i="8"/>
  <c r="G26" i="8"/>
  <c r="AC26" i="8"/>
  <c r="S27" i="8"/>
  <c r="I28" i="8"/>
  <c r="AE28" i="8"/>
  <c r="U29" i="8"/>
  <c r="K30" i="8"/>
  <c r="AG30" i="8"/>
  <c r="W31" i="8"/>
  <c r="M32" i="8"/>
  <c r="Y33" i="8"/>
  <c r="O34" i="8"/>
  <c r="AG13" i="8"/>
  <c r="AA29" i="8"/>
  <c r="N4" i="8"/>
  <c r="Z16" i="8"/>
  <c r="V23" i="8"/>
  <c r="R30" i="8"/>
  <c r="R6" i="8"/>
  <c r="N24" i="8"/>
  <c r="H4" i="8"/>
  <c r="AD4" i="8"/>
  <c r="T5" i="8"/>
  <c r="J6" i="8"/>
  <c r="AF6" i="8"/>
  <c r="V7" i="8"/>
  <c r="L8" i="8"/>
  <c r="AH8" i="8"/>
  <c r="X9" i="8"/>
  <c r="N10" i="8"/>
  <c r="D11" i="8"/>
  <c r="Z11" i="8"/>
  <c r="P12" i="8"/>
  <c r="F13" i="8"/>
  <c r="R14" i="8"/>
  <c r="H15" i="8"/>
  <c r="AD15" i="8"/>
  <c r="T16" i="8"/>
  <c r="J17" i="8"/>
  <c r="AF17" i="8"/>
  <c r="V18" i="8"/>
  <c r="L19" i="8"/>
  <c r="AH19" i="8"/>
  <c r="X20" i="8"/>
  <c r="N21" i="8"/>
  <c r="D22" i="8"/>
  <c r="Z22" i="8"/>
  <c r="P23" i="8"/>
  <c r="F24" i="8"/>
  <c r="AB24" i="8"/>
  <c r="R25" i="8"/>
  <c r="H26" i="8"/>
  <c r="AD26" i="8"/>
  <c r="T27" i="8"/>
  <c r="J28" i="8"/>
  <c r="AF28" i="8"/>
  <c r="V29" i="8"/>
  <c r="L30" i="8"/>
  <c r="X31" i="8"/>
  <c r="N32" i="8"/>
  <c r="D33" i="8"/>
  <c r="Z33" i="8"/>
  <c r="P34" i="8"/>
  <c r="M15" i="8"/>
  <c r="E29" i="8"/>
  <c r="Z5" i="8"/>
  <c r="V12" i="8"/>
  <c r="AB18" i="8"/>
  <c r="X25" i="8"/>
  <c r="AF33" i="8"/>
  <c r="F5" i="8"/>
  <c r="Z14" i="8"/>
  <c r="AH22" i="8"/>
  <c r="J31" i="8"/>
  <c r="I4" i="8"/>
  <c r="AE4" i="8"/>
  <c r="U5" i="8"/>
  <c r="K6" i="8"/>
  <c r="AG6" i="8"/>
  <c r="W7" i="8"/>
  <c r="M8" i="8"/>
  <c r="Y9" i="8"/>
  <c r="O10" i="8"/>
  <c r="E11" i="8"/>
  <c r="AA11" i="8"/>
  <c r="Q12" i="8"/>
  <c r="G13" i="8"/>
  <c r="AC13" i="8"/>
  <c r="S14" i="8"/>
  <c r="I15" i="8"/>
  <c r="AE15" i="8"/>
  <c r="U16" i="8"/>
  <c r="K17" i="8"/>
  <c r="AG17" i="8"/>
  <c r="W18" i="8"/>
  <c r="M19" i="8"/>
  <c r="Y20" i="8"/>
  <c r="O21" i="8"/>
  <c r="E22" i="8"/>
  <c r="AA22" i="8"/>
  <c r="Q23" i="8"/>
  <c r="G24" i="8"/>
  <c r="AC24" i="8"/>
  <c r="S25" i="8"/>
  <c r="I26" i="8"/>
  <c r="AE26" i="8"/>
  <c r="U27" i="8"/>
  <c r="K28" i="8"/>
  <c r="AG28" i="8"/>
  <c r="W29" i="8"/>
  <c r="M30" i="8"/>
  <c r="Y31" i="8"/>
  <c r="O32" i="8"/>
  <c r="E33" i="8"/>
  <c r="AA33" i="8"/>
  <c r="Y16" i="8"/>
  <c r="K24" i="8"/>
  <c r="G31" i="8"/>
  <c r="H9" i="8"/>
  <c r="R19" i="8"/>
  <c r="N26" i="8"/>
  <c r="T32" i="8"/>
  <c r="P4" i="8"/>
  <c r="AH11" i="8"/>
  <c r="F16" i="8"/>
  <c r="L22" i="8"/>
  <c r="T30" i="8"/>
  <c r="J4" i="8"/>
  <c r="AF4" i="8"/>
  <c r="V5" i="8"/>
  <c r="L6" i="8"/>
  <c r="AH6" i="8"/>
  <c r="X7" i="8"/>
  <c r="N8" i="8"/>
  <c r="D9" i="8"/>
  <c r="Z9" i="8"/>
  <c r="P10" i="8"/>
  <c r="F11" i="8"/>
  <c r="AB11" i="8"/>
  <c r="R12" i="8"/>
  <c r="H13" i="8"/>
  <c r="AD13" i="8"/>
  <c r="T14" i="8"/>
  <c r="J15" i="8"/>
  <c r="AF15" i="8"/>
  <c r="L17" i="8"/>
  <c r="AH17" i="8"/>
  <c r="X18" i="8"/>
  <c r="N19" i="8"/>
  <c r="D20" i="8"/>
  <c r="Z20" i="8"/>
  <c r="P21" i="8"/>
  <c r="F22" i="8"/>
  <c r="AB22" i="8"/>
  <c r="R23" i="8"/>
  <c r="H24" i="8"/>
  <c r="AD24" i="8"/>
  <c r="T25" i="8"/>
  <c r="J26" i="8"/>
  <c r="AF26" i="8"/>
  <c r="V27" i="8"/>
  <c r="L28" i="8"/>
  <c r="AH28" i="8"/>
  <c r="X29" i="8"/>
  <c r="N30" i="8"/>
  <c r="D31" i="8"/>
  <c r="Z31" i="8"/>
  <c r="P32" i="8"/>
  <c r="F33" i="8"/>
  <c r="AB33" i="8"/>
  <c r="R34" i="8"/>
  <c r="K13" i="8"/>
  <c r="S21" i="8"/>
  <c r="W25" i="8"/>
  <c r="I33" i="8"/>
  <c r="T10" i="8"/>
  <c r="N15" i="8"/>
  <c r="T21" i="8"/>
  <c r="P28" i="8"/>
  <c r="J33" i="8"/>
  <c r="T8" i="8"/>
  <c r="X12" i="8"/>
  <c r="D14" i="8"/>
  <c r="J20" i="8"/>
  <c r="F27" i="8"/>
  <c r="X34" i="8"/>
  <c r="K4" i="8"/>
  <c r="AG4" i="8"/>
  <c r="W5" i="8"/>
  <c r="M6" i="8"/>
  <c r="Y7" i="8"/>
  <c r="O8" i="8"/>
  <c r="E9" i="8"/>
  <c r="AA9" i="8"/>
  <c r="Q10" i="8"/>
  <c r="G11" i="8"/>
  <c r="AC11" i="8"/>
  <c r="S12" i="8"/>
  <c r="I13" i="8"/>
  <c r="AE13" i="8"/>
  <c r="U14" i="8"/>
  <c r="K15" i="8"/>
  <c r="AG15" i="8"/>
  <c r="W16" i="8"/>
  <c r="M17" i="8"/>
  <c r="Y18" i="8"/>
  <c r="O19" i="8"/>
  <c r="E20" i="8"/>
  <c r="AA20" i="8"/>
  <c r="Q21" i="8"/>
  <c r="G22" i="8"/>
  <c r="AC22" i="8"/>
  <c r="S23" i="8"/>
  <c r="I24" i="8"/>
  <c r="AE24" i="8"/>
  <c r="U25" i="8"/>
  <c r="K26" i="8"/>
  <c r="W27" i="8"/>
  <c r="M28" i="8"/>
  <c r="Y29" i="8"/>
  <c r="O30" i="8"/>
  <c r="E31" i="8"/>
  <c r="AA31" i="8"/>
  <c r="Q32" i="8"/>
  <c r="G33" i="8"/>
  <c r="AC33" i="8"/>
  <c r="S34" i="8"/>
  <c r="U23" i="8"/>
  <c r="Y27" i="8"/>
  <c r="U34" i="8"/>
  <c r="R8" i="8"/>
  <c r="L13" i="8"/>
  <c r="AD20" i="8"/>
  <c r="D27" i="8"/>
  <c r="J9" i="8"/>
  <c r="X23" i="8"/>
  <c r="AD29" i="8"/>
  <c r="L4" i="8"/>
  <c r="AH4" i="8"/>
  <c r="X5" i="8"/>
  <c r="N6" i="8"/>
  <c r="D7" i="8"/>
  <c r="Z7" i="8"/>
  <c r="P8" i="8"/>
  <c r="F9" i="8"/>
  <c r="AB9" i="8"/>
  <c r="R10" i="8"/>
  <c r="H11" i="8"/>
  <c r="AD11" i="8"/>
  <c r="T12" i="8"/>
  <c r="J13" i="8"/>
  <c r="AF13" i="8"/>
  <c r="V14" i="8"/>
  <c r="L15" i="8"/>
  <c r="AH15" i="8"/>
  <c r="X16" i="8"/>
  <c r="N17" i="8"/>
  <c r="D18" i="8"/>
  <c r="Z18" i="8"/>
  <c r="P19" i="8"/>
  <c r="F20" i="8"/>
  <c r="AB20" i="8"/>
  <c r="R21" i="8"/>
  <c r="H22" i="8"/>
  <c r="AD22" i="8"/>
  <c r="T23" i="8"/>
  <c r="J24" i="8"/>
  <c r="V25" i="8"/>
  <c r="L26" i="8"/>
  <c r="AH26" i="8"/>
  <c r="X27" i="8"/>
  <c r="N28" i="8"/>
  <c r="D29" i="8"/>
  <c r="Z29" i="8"/>
  <c r="P30" i="8"/>
  <c r="F31" i="8"/>
  <c r="AB31" i="8"/>
  <c r="R32" i="8"/>
  <c r="H33" i="8"/>
  <c r="AD33" i="8"/>
  <c r="T34" i="8"/>
  <c r="M4" i="8"/>
  <c r="Y5" i="8"/>
  <c r="O6" i="8"/>
  <c r="E7" i="8"/>
  <c r="AA7" i="8"/>
  <c r="Q8" i="8"/>
  <c r="G9" i="8"/>
  <c r="AC9" i="8"/>
  <c r="S10" i="8"/>
  <c r="I11" i="8"/>
  <c r="E18" i="8"/>
  <c r="AA18" i="8"/>
  <c r="Q19" i="8"/>
  <c r="G20" i="8"/>
  <c r="I22" i="8"/>
  <c r="AC31" i="8"/>
  <c r="AB7" i="8"/>
  <c r="X14" i="8"/>
  <c r="J22" i="8"/>
  <c r="F29" i="8"/>
  <c r="AB5" i="8"/>
  <c r="P15" i="8"/>
  <c r="V21" i="8"/>
  <c r="H29" i="8"/>
  <c r="O4" i="8"/>
  <c r="E5" i="8"/>
  <c r="AA5" i="8"/>
  <c r="Q6" i="8"/>
  <c r="G7" i="8"/>
  <c r="AC7" i="8"/>
  <c r="S8" i="8"/>
  <c r="I9" i="8"/>
  <c r="AE9" i="8"/>
  <c r="U10" i="8"/>
  <c r="K11" i="8"/>
  <c r="AG11" i="8"/>
  <c r="W12" i="8"/>
  <c r="M13" i="8"/>
  <c r="Y14" i="8"/>
  <c r="O15" i="8"/>
  <c r="E16" i="8"/>
  <c r="AA16" i="8"/>
  <c r="Q17" i="8"/>
  <c r="G18" i="8"/>
  <c r="AC18" i="8"/>
  <c r="S19" i="8"/>
  <c r="I20" i="8"/>
  <c r="AE20" i="8"/>
  <c r="U21" i="8"/>
  <c r="K22" i="8"/>
  <c r="W23" i="8"/>
  <c r="M24" i="8"/>
  <c r="Y25" i="8"/>
  <c r="O26" i="8"/>
  <c r="E27" i="8"/>
  <c r="AA27" i="8"/>
  <c r="Q28" i="8"/>
  <c r="G29" i="8"/>
  <c r="AC29" i="8"/>
  <c r="S30" i="8"/>
  <c r="I31" i="8"/>
  <c r="AE31" i="8"/>
  <c r="U32" i="8"/>
  <c r="K33" i="8"/>
  <c r="AG33" i="8"/>
  <c r="W34" i="8"/>
  <c r="AF9" i="8"/>
  <c r="H18" i="8"/>
  <c r="Z25" i="8"/>
  <c r="AF31" i="8"/>
  <c r="AG5" i="8"/>
  <c r="AF7" i="8"/>
  <c r="Q9" i="8"/>
  <c r="P11" i="8"/>
  <c r="O13" i="8"/>
  <c r="AF14" i="8"/>
  <c r="AD16" i="8"/>
  <c r="O18" i="8"/>
  <c r="N20" i="8"/>
  <c r="M22" i="8"/>
  <c r="AE23" i="8"/>
  <c r="AC25" i="8"/>
  <c r="M27" i="8"/>
  <c r="L29" i="8"/>
  <c r="K31" i="8"/>
  <c r="AC32" i="8"/>
  <c r="AB34" i="8"/>
  <c r="W10" i="8"/>
  <c r="V19" i="8"/>
  <c r="Z8" i="8"/>
  <c r="E32" i="8"/>
  <c r="U30" i="8"/>
  <c r="AA10" i="8"/>
  <c r="V30" i="8"/>
  <c r="J23" i="8"/>
  <c r="M5" i="8"/>
  <c r="J18" i="8"/>
  <c r="AA23" i="8"/>
  <c r="M11" i="8"/>
  <c r="Y34" i="8"/>
  <c r="L20" i="8"/>
  <c r="AA32" i="8"/>
  <c r="Q4" i="8"/>
  <c r="AH5" i="8"/>
  <c r="AG7" i="8"/>
  <c r="R9" i="8"/>
  <c r="Q11" i="8"/>
  <c r="P13" i="8"/>
  <c r="AE16" i="8"/>
  <c r="P18" i="8"/>
  <c r="O20" i="8"/>
  <c r="N22" i="8"/>
  <c r="AF23" i="8"/>
  <c r="AD25" i="8"/>
  <c r="N27" i="8"/>
  <c r="M29" i="8"/>
  <c r="L31" i="8"/>
  <c r="AD32" i="8"/>
  <c r="AC34" i="8"/>
  <c r="V17" i="8"/>
  <c r="H5" i="8"/>
  <c r="T28" i="8"/>
  <c r="X17" i="8"/>
  <c r="U28" i="8"/>
  <c r="X19" i="8"/>
  <c r="K5" i="8"/>
  <c r="G32" i="8"/>
  <c r="K14" i="8"/>
  <c r="W30" i="8"/>
  <c r="L14" i="8"/>
  <c r="Y23" i="8"/>
  <c r="AD10" i="8"/>
  <c r="Z23" i="8"/>
  <c r="AE12" i="8"/>
  <c r="I29" i="8"/>
  <c r="O9" i="8"/>
  <c r="K27" i="8"/>
  <c r="AC16" i="8"/>
  <c r="AB32" i="8"/>
  <c r="R4" i="8"/>
  <c r="AH7" i="8"/>
  <c r="AG9" i="8"/>
  <c r="R11" i="8"/>
  <c r="Q13" i="8"/>
  <c r="AH14" i="8"/>
  <c r="AF16" i="8"/>
  <c r="P20" i="8"/>
  <c r="O22" i="8"/>
  <c r="AC27" i="8"/>
  <c r="N29" i="8"/>
  <c r="M31" i="8"/>
  <c r="AD34" i="8"/>
  <c r="F21" i="8"/>
  <c r="Y8" i="8"/>
  <c r="W19" i="8"/>
  <c r="Y17" i="8"/>
  <c r="W26" i="8"/>
  <c r="J14" i="8"/>
  <c r="K9" i="8"/>
  <c r="Y28" i="8"/>
  <c r="AC12" i="8"/>
  <c r="Y30" i="8"/>
  <c r="M9" i="8"/>
  <c r="J34" i="8"/>
  <c r="K20" i="8"/>
  <c r="AA30" i="8"/>
  <c r="AF12" i="8"/>
  <c r="AE14" i="8"/>
  <c r="S4" i="8"/>
  <c r="D6" i="8"/>
  <c r="AH9" i="8"/>
  <c r="S11" i="8"/>
  <c r="R13" i="8"/>
  <c r="AG16" i="8"/>
  <c r="AF18" i="8"/>
  <c r="Q20" i="8"/>
  <c r="P22" i="8"/>
  <c r="O24" i="8"/>
  <c r="AF25" i="8"/>
  <c r="O29" i="8"/>
  <c r="N31" i="8"/>
  <c r="M33" i="8"/>
  <c r="AE34" i="8"/>
  <c r="H12" i="8"/>
  <c r="G21" i="8"/>
  <c r="H21" i="8"/>
  <c r="W21" i="8"/>
  <c r="X21" i="8"/>
  <c r="Z21" i="8"/>
  <c r="I34" i="8"/>
  <c r="AC21" i="8"/>
  <c r="AD21" i="8"/>
  <c r="T4" i="8"/>
  <c r="S6" i="8"/>
  <c r="D8" i="8"/>
  <c r="T11" i="8"/>
  <c r="Q15" i="8"/>
  <c r="AH16" i="8"/>
  <c r="AG18" i="8"/>
  <c r="R20" i="8"/>
  <c r="Q22" i="8"/>
  <c r="P24" i="8"/>
  <c r="AG25" i="8"/>
  <c r="P29" i="8"/>
  <c r="O31" i="8"/>
  <c r="N33" i="8"/>
  <c r="AF34" i="8"/>
  <c r="U19" i="8"/>
  <c r="T33" i="8"/>
  <c r="W17" i="8"/>
  <c r="Y10" i="8"/>
  <c r="Y12" i="8"/>
  <c r="F32" i="8"/>
  <c r="AB8" i="8"/>
  <c r="W28" i="8"/>
  <c r="I16" i="8"/>
  <c r="L7" i="8"/>
  <c r="W32" i="8"/>
  <c r="AB19" i="8"/>
  <c r="K18" i="8"/>
  <c r="N9" i="8"/>
  <c r="Z32" i="8"/>
  <c r="M18" i="8"/>
  <c r="J29" i="8"/>
  <c r="P9" i="8"/>
  <c r="U4" i="8"/>
  <c r="T6" i="8"/>
  <c r="E8" i="8"/>
  <c r="D10" i="8"/>
  <c r="R15" i="8"/>
  <c r="AH18" i="8"/>
  <c r="AG20" i="8"/>
  <c r="R22" i="8"/>
  <c r="Q24" i="8"/>
  <c r="AH25" i="8"/>
  <c r="AF27" i="8"/>
  <c r="AE29" i="8"/>
  <c r="P31" i="8"/>
  <c r="O33" i="8"/>
  <c r="F14" i="8"/>
  <c r="X15" i="8"/>
  <c r="E30" i="8"/>
  <c r="H14" i="8"/>
  <c r="AA8" i="8"/>
  <c r="E34" i="8"/>
  <c r="Y19" i="8"/>
  <c r="F34" i="8"/>
  <c r="Z19" i="8"/>
  <c r="G34" i="8"/>
  <c r="I18" i="8"/>
  <c r="H34" i="8"/>
  <c r="K16" i="8"/>
  <c r="Z28" i="8"/>
  <c r="L16" i="8"/>
  <c r="Y32" i="8"/>
  <c r="L18" i="8"/>
  <c r="N16" i="8"/>
  <c r="M20" i="8"/>
  <c r="U6" i="8"/>
  <c r="F8" i="8"/>
  <c r="E10" i="8"/>
  <c r="D12" i="8"/>
  <c r="U13" i="8"/>
  <c r="S15" i="8"/>
  <c r="D17" i="8"/>
  <c r="AH20" i="8"/>
  <c r="S22" i="8"/>
  <c r="R24" i="8"/>
  <c r="AG27" i="8"/>
  <c r="AF29" i="8"/>
  <c r="Q31" i="8"/>
  <c r="P33" i="8"/>
  <c r="W15" i="8"/>
  <c r="Z6" i="8"/>
  <c r="D32" i="8"/>
  <c r="E25" i="8"/>
  <c r="F30" i="8"/>
  <c r="I14" i="8"/>
  <c r="V28" i="8"/>
  <c r="J7" i="8"/>
  <c r="G25" i="8"/>
  <c r="AA12" i="8"/>
  <c r="H32" i="8"/>
  <c r="AB12" i="8"/>
  <c r="I25" i="8"/>
  <c r="L9" i="8"/>
  <c r="H27" i="8"/>
  <c r="AB14" i="8"/>
  <c r="Z30" i="8"/>
  <c r="AC14" i="8"/>
  <c r="J27" i="8"/>
  <c r="N11" i="8"/>
  <c r="Z34" i="8"/>
  <c r="N18" i="8"/>
  <c r="K29" i="8"/>
  <c r="W4" i="8"/>
  <c r="V6" i="8"/>
  <c r="U8" i="8"/>
  <c r="F10" i="8"/>
  <c r="E12" i="8"/>
  <c r="V13" i="8"/>
  <c r="T15" i="8"/>
  <c r="S17" i="8"/>
  <c r="D19" i="8"/>
  <c r="T22" i="8"/>
  <c r="S24" i="8"/>
  <c r="Q26" i="8"/>
  <c r="AH27" i="8"/>
  <c r="R31" i="8"/>
  <c r="Q33" i="8"/>
  <c r="X8" i="8"/>
  <c r="E23" i="8"/>
  <c r="S28" i="8"/>
  <c r="G14" i="8"/>
  <c r="F23" i="8"/>
  <c r="I5" i="8"/>
  <c r="V26" i="8"/>
  <c r="I7" i="8"/>
  <c r="F25" i="8"/>
  <c r="Z12" i="8"/>
  <c r="I23" i="8"/>
  <c r="AB10" i="8"/>
  <c r="AA19" i="8"/>
  <c r="AA21" i="8"/>
  <c r="N7" i="8"/>
  <c r="K25" i="8"/>
  <c r="O7" i="8"/>
  <c r="AB23" i="8"/>
  <c r="AE5" i="8"/>
  <c r="AC23" i="8"/>
  <c r="AE7" i="8"/>
  <c r="AB25" i="8"/>
  <c r="X4" i="8"/>
  <c r="W6" i="8"/>
  <c r="V8" i="8"/>
  <c r="G10" i="8"/>
  <c r="F12" i="8"/>
  <c r="U15" i="8"/>
  <c r="E19" i="8"/>
  <c r="D21" i="8"/>
  <c r="T24" i="8"/>
  <c r="R26" i="8"/>
  <c r="AH29" i="8"/>
  <c r="AG31" i="8"/>
  <c r="R33" i="8"/>
  <c r="Y6" i="8"/>
  <c r="T26" i="8"/>
  <c r="X10" i="8"/>
  <c r="J12" i="8"/>
  <c r="G16" i="8"/>
  <c r="Z17" i="8"/>
  <c r="K7" i="8"/>
  <c r="X28" i="8"/>
  <c r="AC10" i="8"/>
  <c r="X30" i="8"/>
  <c r="AA14" i="8"/>
  <c r="X32" i="8"/>
  <c r="AB21" i="8"/>
  <c r="M16" i="8"/>
  <c r="AD14" i="8"/>
  <c r="AB30" i="8"/>
  <c r="AD23" i="8"/>
  <c r="AA34" i="8"/>
  <c r="X6" i="8"/>
  <c r="W8" i="8"/>
  <c r="H10" i="8"/>
  <c r="G12" i="8"/>
  <c r="E14" i="8"/>
  <c r="V15" i="8"/>
  <c r="U17" i="8"/>
  <c r="F19" i="8"/>
  <c r="E21" i="8"/>
  <c r="D23" i="8"/>
  <c r="U24" i="8"/>
  <c r="S26" i="8"/>
  <c r="D28" i="8"/>
  <c r="AH31" i="8"/>
  <c r="S33" i="8"/>
  <c r="G5" i="8"/>
  <c r="V24" i="8"/>
  <c r="D30" i="8"/>
  <c r="I12" i="8"/>
  <c r="U26" i="8"/>
  <c r="G23" i="8"/>
  <c r="D34" i="8"/>
  <c r="J5" i="8"/>
  <c r="H23" i="8"/>
  <c r="H16" i="8"/>
  <c r="X26" i="8"/>
  <c r="Y21" i="8"/>
  <c r="H25" i="8"/>
  <c r="J16" i="8"/>
  <c r="G27" i="8"/>
  <c r="M7" i="8"/>
  <c r="J25" i="8"/>
  <c r="AC5" i="8"/>
  <c r="I27" i="8"/>
  <c r="AD5" i="8"/>
  <c r="L25" i="8"/>
  <c r="P7" i="8"/>
  <c r="AA25" i="8"/>
  <c r="AF5" i="8"/>
  <c r="L27" i="8"/>
  <c r="G31" i="6"/>
  <c r="G10" i="6"/>
  <c r="P6" i="8" s="1"/>
  <c r="G8" i="6"/>
  <c r="L5" i="8" s="1"/>
  <c r="G14" i="6"/>
  <c r="G28" i="6"/>
  <c r="G61" i="6"/>
  <c r="AH33" i="8" s="1"/>
  <c r="G18" i="6"/>
  <c r="O11" i="8" s="1"/>
  <c r="G25" i="6"/>
  <c r="AG14" i="8" s="1"/>
  <c r="G32" i="6"/>
  <c r="V16" i="8" s="1"/>
  <c r="G39" i="6"/>
  <c r="AE18" i="8" s="1"/>
  <c r="G9" i="6"/>
  <c r="N5" i="8" s="1"/>
  <c r="G33" i="6"/>
  <c r="G50" i="6"/>
  <c r="AE25" i="8" s="1"/>
  <c r="G15" i="6"/>
  <c r="Z10" i="8" s="1"/>
  <c r="G57" i="6"/>
  <c r="AG29" i="8" s="1"/>
  <c r="G45" i="6"/>
  <c r="AG22" i="8" s="1"/>
  <c r="G16" i="6"/>
  <c r="L10" i="8" s="1"/>
  <c r="G47" i="6"/>
  <c r="AF24" i="8" s="1"/>
  <c r="G23" i="6"/>
  <c r="T13" i="8" s="1"/>
  <c r="G53" i="6"/>
  <c r="AG26" i="8" s="1"/>
  <c r="G58" i="6"/>
  <c r="AH30" i="8" s="1"/>
  <c r="G60" i="6"/>
  <c r="AH32" i="8" s="1"/>
  <c r="G24" i="6"/>
  <c r="AB13" i="8" s="1"/>
  <c r="G38" i="6"/>
  <c r="AA17" i="8" s="1"/>
  <c r="G35" i="6"/>
  <c r="T17" i="8" s="1"/>
  <c r="G22" i="6"/>
  <c r="S13" i="8" s="1"/>
  <c r="G54" i="6"/>
  <c r="AE27" i="8" s="1"/>
  <c r="G5" i="6"/>
  <c r="V4" i="8" s="1"/>
  <c r="G46" i="6"/>
  <c r="AG23" i="8" s="1"/>
  <c r="G19" i="6"/>
  <c r="G17" i="6"/>
  <c r="X11" i="8" s="1"/>
  <c r="G41" i="6"/>
  <c r="AF19" i="8" s="1"/>
  <c r="G56" i="6"/>
  <c r="AD28" i="8" s="1"/>
  <c r="G20" i="6"/>
  <c r="AD12" i="8" s="1"/>
  <c r="G34" i="6"/>
  <c r="AB16" i="8" s="1"/>
  <c r="G26" i="6"/>
  <c r="W14" i="8" s="1"/>
  <c r="G55" i="6"/>
  <c r="AD27" i="8" s="1"/>
  <c r="AG14" i="9" l="1"/>
  <c r="AG14" i="10"/>
  <c r="AA17" i="10"/>
  <c r="AA17" i="9"/>
  <c r="AG24" i="10"/>
  <c r="AG24" i="9"/>
  <c r="AG22" i="10"/>
  <c r="AG22" i="9"/>
  <c r="Z10" i="9"/>
  <c r="Z10" i="10"/>
  <c r="V4" i="10"/>
  <c r="V4" i="9"/>
  <c r="T17" i="10"/>
  <c r="T17" i="9"/>
  <c r="AF24" i="10"/>
  <c r="AF24" i="9"/>
  <c r="AE25" i="10"/>
  <c r="AE25" i="9"/>
  <c r="AD12" i="9"/>
  <c r="AD12" i="10"/>
  <c r="N5" i="10"/>
  <c r="N5" i="9"/>
  <c r="I5" i="9"/>
  <c r="I5" i="10"/>
  <c r="Y34" i="9"/>
  <c r="Y34" i="10"/>
  <c r="N26" i="10"/>
  <c r="N26" i="9"/>
  <c r="H6" i="10"/>
  <c r="H6" i="9"/>
  <c r="G5" i="9"/>
  <c r="G5" i="10"/>
  <c r="Y30" i="10"/>
  <c r="Y30" i="9"/>
  <c r="E20" i="10"/>
  <c r="E20" i="9"/>
  <c r="M32" i="10"/>
  <c r="M32" i="9"/>
  <c r="P5" i="10"/>
  <c r="P5" i="9"/>
  <c r="T6" i="9"/>
  <c r="T6" i="10"/>
  <c r="Q19" i="10"/>
  <c r="Q19" i="9"/>
  <c r="I4" i="9"/>
  <c r="I4" i="10"/>
  <c r="Q29" i="10"/>
  <c r="Q29" i="9"/>
  <c r="Z19" i="10"/>
  <c r="Z19" i="9"/>
  <c r="AE9" i="9"/>
  <c r="AE9" i="10"/>
  <c r="G31" i="10"/>
  <c r="G31" i="9"/>
  <c r="F4" i="10"/>
  <c r="F4" i="9"/>
  <c r="X4" i="10"/>
  <c r="X4" i="9"/>
  <c r="M5" i="10"/>
  <c r="M5" i="9"/>
  <c r="V27" i="10"/>
  <c r="V27" i="9"/>
  <c r="F7" i="9"/>
  <c r="F7" i="10"/>
  <c r="V32" i="9"/>
  <c r="V32" i="10"/>
  <c r="X8" i="9"/>
  <c r="X8" i="10"/>
  <c r="J23" i="10"/>
  <c r="J23" i="9"/>
  <c r="X12" i="10"/>
  <c r="X12" i="9"/>
  <c r="U29" i="10"/>
  <c r="U29" i="9"/>
  <c r="AF32" i="10"/>
  <c r="AF32" i="9"/>
  <c r="Q33" i="10"/>
  <c r="Q33" i="9"/>
  <c r="N27" i="10"/>
  <c r="N27" i="9"/>
  <c r="AG15" i="10"/>
  <c r="AG15" i="9"/>
  <c r="AE28" i="10"/>
  <c r="AE28" i="9"/>
  <c r="W14" i="10"/>
  <c r="W14" i="9"/>
  <c r="D23" i="10"/>
  <c r="D23" i="9"/>
  <c r="R31" i="10"/>
  <c r="R31" i="9"/>
  <c r="AA8" i="10"/>
  <c r="AA8" i="9"/>
  <c r="O24" i="10"/>
  <c r="O24" i="9"/>
  <c r="AD25" i="10"/>
  <c r="AD25" i="9"/>
  <c r="K15" i="10"/>
  <c r="K15" i="9"/>
  <c r="Z9" i="10"/>
  <c r="Z9" i="9"/>
  <c r="AF33" i="10"/>
  <c r="AF33" i="9"/>
  <c r="I28" i="10"/>
  <c r="I28" i="9"/>
  <c r="AD17" i="10"/>
  <c r="AD17" i="9"/>
  <c r="AE8" i="10"/>
  <c r="AE8" i="9"/>
  <c r="N13" i="10"/>
  <c r="N13" i="9"/>
  <c r="N18" i="9"/>
  <c r="N18" i="10"/>
  <c r="Q28" i="10"/>
  <c r="Q28" i="9"/>
  <c r="N30" i="10"/>
  <c r="N30" i="9"/>
  <c r="O14" i="9"/>
  <c r="O14" i="10"/>
  <c r="F23" i="10"/>
  <c r="F23" i="9"/>
  <c r="M11" i="10"/>
  <c r="M11" i="9"/>
  <c r="X29" i="10"/>
  <c r="X29" i="9"/>
  <c r="X22" i="10"/>
  <c r="X22" i="9"/>
  <c r="P7" i="10"/>
  <c r="P7" i="9"/>
  <c r="AE34" i="10"/>
  <c r="AE34" i="9"/>
  <c r="N28" i="10"/>
  <c r="N28" i="9"/>
  <c r="AD26" i="10"/>
  <c r="AD26" i="9"/>
  <c r="Z4" i="10"/>
  <c r="Z4" i="9"/>
  <c r="AG27" i="9"/>
  <c r="AG27" i="10"/>
  <c r="X27" i="10"/>
  <c r="X27" i="9"/>
  <c r="H26" i="10"/>
  <c r="H26" i="9"/>
  <c r="H19" i="10"/>
  <c r="H19" i="9"/>
  <c r="AC14" i="10"/>
  <c r="AC14" i="9"/>
  <c r="O13" i="10"/>
  <c r="O13" i="9"/>
  <c r="AB11" i="10"/>
  <c r="AB11" i="9"/>
  <c r="V20" i="10"/>
  <c r="V20" i="9"/>
  <c r="AE10" i="10"/>
  <c r="AE10" i="9"/>
  <c r="P24" i="9"/>
  <c r="P24" i="10"/>
  <c r="S8" i="9"/>
  <c r="S8" i="10"/>
  <c r="F11" i="10"/>
  <c r="F11" i="9"/>
  <c r="T19" i="10"/>
  <c r="T19" i="9"/>
  <c r="I10" i="10"/>
  <c r="I10" i="9"/>
  <c r="AH20" i="10"/>
  <c r="AH20" i="9"/>
  <c r="W23" i="10"/>
  <c r="W23" i="9"/>
  <c r="T8" i="9"/>
  <c r="T8" i="10"/>
  <c r="E13" i="10"/>
  <c r="E13" i="9"/>
  <c r="T18" i="10"/>
  <c r="T18" i="9"/>
  <c r="E26" i="10"/>
  <c r="E26" i="9"/>
  <c r="U9" i="10"/>
  <c r="U9" i="9"/>
  <c r="J32" i="10"/>
  <c r="J32" i="9"/>
  <c r="F17" i="10"/>
  <c r="F17" i="9"/>
  <c r="R17" i="10"/>
  <c r="R17" i="9"/>
  <c r="Y26" i="10"/>
  <c r="Y26" i="9"/>
  <c r="S9" i="10"/>
  <c r="S9" i="9"/>
  <c r="J25" i="10"/>
  <c r="J25" i="9"/>
  <c r="AC23" i="10"/>
  <c r="AC23" i="9"/>
  <c r="D17" i="10"/>
  <c r="D17" i="9"/>
  <c r="R20" i="10"/>
  <c r="R20" i="9"/>
  <c r="I29" i="10"/>
  <c r="I29" i="9"/>
  <c r="AA10" i="10"/>
  <c r="AA10" i="9"/>
  <c r="G7" i="9"/>
  <c r="G7" i="10"/>
  <c r="AB9" i="10"/>
  <c r="AB9" i="9"/>
  <c r="J33" i="10"/>
  <c r="J33" i="9"/>
  <c r="E33" i="10"/>
  <c r="E33" i="9"/>
  <c r="P23" i="10"/>
  <c r="P23" i="9"/>
  <c r="O12" i="10"/>
  <c r="O12" i="9"/>
  <c r="AB29" i="10"/>
  <c r="AB29" i="9"/>
  <c r="P16" i="9"/>
  <c r="P16" i="10"/>
  <c r="AB16" i="10"/>
  <c r="AB16" i="9"/>
  <c r="M7" i="9"/>
  <c r="M7" i="10"/>
  <c r="E21" i="10"/>
  <c r="E21" i="9"/>
  <c r="G16" i="10"/>
  <c r="G16" i="9"/>
  <c r="AE5" i="9"/>
  <c r="AE5" i="10"/>
  <c r="AH27" i="10"/>
  <c r="AH27" i="9"/>
  <c r="L9" i="9"/>
  <c r="L9" i="10"/>
  <c r="S15" i="10"/>
  <c r="S15" i="9"/>
  <c r="H14" i="9"/>
  <c r="H14" i="10"/>
  <c r="N9" i="9"/>
  <c r="N9" i="10"/>
  <c r="AG18" i="10"/>
  <c r="AG18" i="9"/>
  <c r="P22" i="9"/>
  <c r="P22" i="10"/>
  <c r="W19" i="10"/>
  <c r="W19" i="9"/>
  <c r="AE12" i="9"/>
  <c r="AE12" i="10"/>
  <c r="AF23" i="10"/>
  <c r="AF23" i="9"/>
  <c r="U30" i="10"/>
  <c r="U30" i="9"/>
  <c r="AG5" i="10"/>
  <c r="AG5" i="9"/>
  <c r="K22" i="10"/>
  <c r="K22" i="9"/>
  <c r="Q6" i="9"/>
  <c r="Q6" i="10"/>
  <c r="G9" i="9"/>
  <c r="G9" i="10"/>
  <c r="J24" i="10"/>
  <c r="J24" i="9"/>
  <c r="F9" i="9"/>
  <c r="F9" i="10"/>
  <c r="AA31" i="10"/>
  <c r="AA31" i="9"/>
  <c r="U14" i="10"/>
  <c r="U14" i="9"/>
  <c r="P28" i="10"/>
  <c r="P28" i="9"/>
  <c r="AD24" i="10"/>
  <c r="AD24" i="9"/>
  <c r="D9" i="10"/>
  <c r="D9" i="9"/>
  <c r="O32" i="10"/>
  <c r="O32" i="9"/>
  <c r="AE15" i="9"/>
  <c r="AE15" i="10"/>
  <c r="X25" i="10"/>
  <c r="X25" i="9"/>
  <c r="Z22" i="10"/>
  <c r="Z22" i="9"/>
  <c r="AF6" i="10"/>
  <c r="AF6" i="9"/>
  <c r="S27" i="10"/>
  <c r="S27" i="9"/>
  <c r="Y11" i="10"/>
  <c r="Y11" i="9"/>
  <c r="N34" i="10"/>
  <c r="N34" i="9"/>
  <c r="H17" i="9"/>
  <c r="H17" i="10"/>
  <c r="AF22" i="10"/>
  <c r="AF22" i="9"/>
  <c r="Y24" i="9"/>
  <c r="Y24" i="10"/>
  <c r="I8" i="10"/>
  <c r="I8" i="9"/>
  <c r="AD30" i="10"/>
  <c r="AD30" i="9"/>
  <c r="Z15" i="9"/>
  <c r="Z15" i="10"/>
  <c r="L11" i="10"/>
  <c r="L11" i="9"/>
  <c r="W24" i="9"/>
  <c r="W24" i="10"/>
  <c r="G8" i="10"/>
  <c r="G8" i="9"/>
  <c r="D10" i="9"/>
  <c r="D10" i="10"/>
  <c r="I22" i="10"/>
  <c r="I22" i="9"/>
  <c r="U5" i="9"/>
  <c r="U5" i="10"/>
  <c r="J21" i="9"/>
  <c r="J21" i="10"/>
  <c r="Z34" i="9"/>
  <c r="Z34" i="10"/>
  <c r="O18" i="9"/>
  <c r="O18" i="10"/>
  <c r="AD13" i="10"/>
  <c r="AD13" i="9"/>
  <c r="R5" i="10"/>
  <c r="R5" i="9"/>
  <c r="S33" i="10"/>
  <c r="S33" i="9"/>
  <c r="AC12" i="9"/>
  <c r="AC12" i="10"/>
  <c r="O19" i="10"/>
  <c r="O19" i="9"/>
  <c r="D11" i="10"/>
  <c r="D11" i="9"/>
  <c r="AH34" i="10"/>
  <c r="AH34" i="9"/>
  <c r="J27" i="10"/>
  <c r="J27" i="9"/>
  <c r="AF14" i="9"/>
  <c r="AF14" i="10"/>
  <c r="R12" i="10"/>
  <c r="R12" i="9"/>
  <c r="L21" i="10"/>
  <c r="L21" i="9"/>
  <c r="AC10" i="10"/>
  <c r="AC10" i="9"/>
  <c r="K9" i="9"/>
  <c r="K9" i="10"/>
  <c r="M17" i="9"/>
  <c r="M17" i="10"/>
  <c r="Q14" i="9"/>
  <c r="Q14" i="10"/>
  <c r="R18" i="10"/>
  <c r="R18" i="9"/>
  <c r="AB25" i="10"/>
  <c r="AB25" i="9"/>
  <c r="M29" i="10"/>
  <c r="M29" i="9"/>
  <c r="AC33" i="10"/>
  <c r="AC33" i="9"/>
  <c r="AH8" i="10"/>
  <c r="AH8" i="9"/>
  <c r="K10" i="10"/>
  <c r="K10" i="9"/>
  <c r="AE7" i="9"/>
  <c r="AE7" i="10"/>
  <c r="O9" i="9"/>
  <c r="O9" i="10"/>
  <c r="G33" i="10"/>
  <c r="G33" i="9"/>
  <c r="K17" i="9"/>
  <c r="K17" i="10"/>
  <c r="AE22" i="10"/>
  <c r="AE22" i="9"/>
  <c r="AD7" i="9"/>
  <c r="AD7" i="10"/>
  <c r="Z17" i="10"/>
  <c r="Z17" i="9"/>
  <c r="H27" i="10"/>
  <c r="H27" i="9"/>
  <c r="Z32" i="10"/>
  <c r="Z32" i="9"/>
  <c r="Y17" i="10"/>
  <c r="Y17" i="9"/>
  <c r="AF7" i="9"/>
  <c r="AF7" i="10"/>
  <c r="AC9" i="10"/>
  <c r="AC9" i="9"/>
  <c r="Q32" i="10"/>
  <c r="Q32" i="9"/>
  <c r="T25" i="10"/>
  <c r="T25" i="9"/>
  <c r="U16" i="10"/>
  <c r="U16" i="9"/>
  <c r="V7" i="10"/>
  <c r="V7" i="9"/>
  <c r="Q34" i="10"/>
  <c r="Q34" i="9"/>
  <c r="O25" i="10"/>
  <c r="O25" i="9"/>
  <c r="T31" i="10"/>
  <c r="T31" i="9"/>
  <c r="M25" i="10"/>
  <c r="M25" i="9"/>
  <c r="AC8" i="10"/>
  <c r="AC8" i="9"/>
  <c r="G27" i="10"/>
  <c r="G27" i="9"/>
  <c r="F19" i="10"/>
  <c r="F19" i="9"/>
  <c r="J12" i="10"/>
  <c r="J12" i="9"/>
  <c r="AB23" i="10"/>
  <c r="AB23" i="9"/>
  <c r="Q26" i="10"/>
  <c r="Q26" i="9"/>
  <c r="I25" i="10"/>
  <c r="I25" i="9"/>
  <c r="U13" i="10"/>
  <c r="U13" i="9"/>
  <c r="E30" i="10"/>
  <c r="E30" i="9"/>
  <c r="K18" i="10"/>
  <c r="K18" i="9"/>
  <c r="AH16" i="10"/>
  <c r="AH16" i="9"/>
  <c r="Q20" i="10"/>
  <c r="Q20" i="9"/>
  <c r="Y8" i="10"/>
  <c r="Y8" i="9"/>
  <c r="N22" i="9"/>
  <c r="N22" i="10"/>
  <c r="AF31" i="10"/>
  <c r="AF31" i="9"/>
  <c r="U21" i="10"/>
  <c r="U21" i="9"/>
  <c r="AA5" i="9"/>
  <c r="AA5" i="10"/>
  <c r="Q8" i="10"/>
  <c r="Q8" i="9"/>
  <c r="T23" i="10"/>
  <c r="T23" i="9"/>
  <c r="P8" i="10"/>
  <c r="P8" i="9"/>
  <c r="E31" i="10"/>
  <c r="E31" i="9"/>
  <c r="AE13" i="10"/>
  <c r="AE13" i="9"/>
  <c r="T21" i="10"/>
  <c r="T21" i="9"/>
  <c r="H24" i="9"/>
  <c r="H24" i="10"/>
  <c r="N8" i="10"/>
  <c r="N8" i="9"/>
  <c r="Y31" i="10"/>
  <c r="Y31" i="9"/>
  <c r="I15" i="10"/>
  <c r="I15" i="9"/>
  <c r="AB18" i="10"/>
  <c r="AB18" i="9"/>
  <c r="D22" i="10"/>
  <c r="D22" i="9"/>
  <c r="J6" i="10"/>
  <c r="J6" i="9"/>
  <c r="AC26" i="10"/>
  <c r="AC26" i="9"/>
  <c r="M10" i="10"/>
  <c r="M10" i="9"/>
  <c r="X33" i="10"/>
  <c r="X33" i="9"/>
  <c r="R16" i="10"/>
  <c r="R16" i="9"/>
  <c r="D16" i="10"/>
  <c r="D16" i="9"/>
  <c r="M23" i="10"/>
  <c r="M23" i="9"/>
  <c r="S7" i="10"/>
  <c r="S7" i="9"/>
  <c r="H30" i="9"/>
  <c r="H30" i="10"/>
  <c r="D15" i="10"/>
  <c r="D15" i="9"/>
  <c r="V34" i="10"/>
  <c r="V34" i="9"/>
  <c r="K23" i="10"/>
  <c r="K23" i="9"/>
  <c r="Q7" i="10"/>
  <c r="Q7" i="9"/>
  <c r="AF5" i="9"/>
  <c r="AF5" i="10"/>
  <c r="M9" i="9"/>
  <c r="M9" i="10"/>
  <c r="AA20" i="10"/>
  <c r="AA20" i="9"/>
  <c r="H7" i="9"/>
  <c r="H7" i="10"/>
  <c r="AE18" i="10"/>
  <c r="AE18" i="9"/>
  <c r="H32" i="10"/>
  <c r="H32" i="9"/>
  <c r="AD34" i="10"/>
  <c r="AD34" i="9"/>
  <c r="I20" i="10"/>
  <c r="I20" i="9"/>
  <c r="S12" i="10"/>
  <c r="S12" i="9"/>
  <c r="W29" i="10"/>
  <c r="W29" i="9"/>
  <c r="X20" i="10"/>
  <c r="X20" i="9"/>
  <c r="D5" i="9"/>
  <c r="D5" i="10"/>
  <c r="V16" i="10"/>
  <c r="V16" i="9"/>
  <c r="E14" i="10"/>
  <c r="E14" i="9"/>
  <c r="N7" i="9"/>
  <c r="N7" i="10"/>
  <c r="AA12" i="9"/>
  <c r="AA12" i="10"/>
  <c r="O33" i="10"/>
  <c r="O33" i="9"/>
  <c r="L7" i="10"/>
  <c r="L7" i="9"/>
  <c r="R13" i="9"/>
  <c r="R13" i="10"/>
  <c r="M31" i="10"/>
  <c r="M31" i="9"/>
  <c r="Y23" i="10"/>
  <c r="Y23" i="9"/>
  <c r="AE16" i="10"/>
  <c r="AE16" i="9"/>
  <c r="V19" i="10"/>
  <c r="V19" i="9"/>
  <c r="AF9" i="9"/>
  <c r="AF9" i="10"/>
  <c r="S19" i="10"/>
  <c r="S19" i="9"/>
  <c r="H29" i="10"/>
  <c r="H29" i="9"/>
  <c r="O6" i="9"/>
  <c r="O6" i="10"/>
  <c r="R21" i="10"/>
  <c r="R21" i="9"/>
  <c r="N6" i="9"/>
  <c r="N6" i="10"/>
  <c r="M28" i="10"/>
  <c r="M28" i="9"/>
  <c r="AC11" i="10"/>
  <c r="AC11" i="9"/>
  <c r="I33" i="10"/>
  <c r="I33" i="9"/>
  <c r="F22" i="10"/>
  <c r="F22" i="9"/>
  <c r="L6" i="10"/>
  <c r="L6" i="9"/>
  <c r="AG28" i="10"/>
  <c r="AG28" i="9"/>
  <c r="G13" i="10"/>
  <c r="G13" i="9"/>
  <c r="E29" i="10"/>
  <c r="E29" i="9"/>
  <c r="AH19" i="10"/>
  <c r="AH19" i="9"/>
  <c r="H4" i="9"/>
  <c r="H4" i="10"/>
  <c r="AA24" i="10"/>
  <c r="AA24" i="9"/>
  <c r="K8" i="10"/>
  <c r="K8" i="9"/>
  <c r="AF30" i="10"/>
  <c r="AF30" i="9"/>
  <c r="P14" i="9"/>
  <c r="P14" i="10"/>
  <c r="AE33" i="10"/>
  <c r="AE33" i="9"/>
  <c r="K21" i="10"/>
  <c r="K21" i="9"/>
  <c r="Q5" i="10"/>
  <c r="Q5" i="9"/>
  <c r="F28" i="10"/>
  <c r="F28" i="9"/>
  <c r="AH12" i="9"/>
  <c r="AH12" i="10"/>
  <c r="AH13" i="10"/>
  <c r="AH13" i="9"/>
  <c r="I21" i="9"/>
  <c r="I21" i="10"/>
  <c r="O5" i="10"/>
  <c r="O5" i="9"/>
  <c r="V24" i="9"/>
  <c r="V24" i="10"/>
  <c r="AG9" i="9"/>
  <c r="AG9" i="10"/>
  <c r="K4" i="9"/>
  <c r="K4" i="10"/>
  <c r="I17" i="9"/>
  <c r="I17" i="10"/>
  <c r="W13" i="10"/>
  <c r="W13" i="9"/>
  <c r="Q31" i="10"/>
  <c r="Q31" i="9"/>
  <c r="AA27" i="10"/>
  <c r="AA27" i="9"/>
  <c r="O21" i="10"/>
  <c r="O21" i="9"/>
  <c r="U4" i="10"/>
  <c r="U4" i="9"/>
  <c r="O26" i="9"/>
  <c r="O26" i="10"/>
  <c r="M19" i="10"/>
  <c r="M19" i="9"/>
  <c r="G28" i="10"/>
  <c r="G28" i="9"/>
  <c r="D28" i="10"/>
  <c r="D28" i="9"/>
  <c r="AC16" i="10"/>
  <c r="AC16" i="9"/>
  <c r="S34" i="10"/>
  <c r="S34" i="9"/>
  <c r="AH22" i="10"/>
  <c r="AH22" i="9"/>
  <c r="Q27" i="10"/>
  <c r="Q27" i="9"/>
  <c r="I27" i="10"/>
  <c r="I27" i="9"/>
  <c r="Y19" i="10"/>
  <c r="Y19" i="9"/>
  <c r="I11" i="10"/>
  <c r="I11" i="9"/>
  <c r="AD28" i="9"/>
  <c r="AD28" i="10"/>
  <c r="AF19" i="10"/>
  <c r="AF19" i="9"/>
  <c r="T22" i="10"/>
  <c r="T22" i="9"/>
  <c r="AG16" i="10"/>
  <c r="AG16" i="9"/>
  <c r="O4" i="9"/>
  <c r="O4" i="10"/>
  <c r="T10" i="10"/>
  <c r="T10" i="9"/>
  <c r="AC13" i="10"/>
  <c r="AC13" i="9"/>
  <c r="Q25" i="10"/>
  <c r="Q25" i="9"/>
  <c r="AG21" i="10"/>
  <c r="AG21" i="9"/>
  <c r="X11" i="10"/>
  <c r="X11" i="9"/>
  <c r="Y21" i="10"/>
  <c r="Y21" i="9"/>
  <c r="Y6" i="10"/>
  <c r="Y6" i="9"/>
  <c r="D19" i="10"/>
  <c r="D19" i="9"/>
  <c r="F8" i="10"/>
  <c r="F8" i="9"/>
  <c r="D8" i="9"/>
  <c r="D8" i="10"/>
  <c r="X26" i="10"/>
  <c r="X26" i="9"/>
  <c r="G12" i="10"/>
  <c r="G12" i="9"/>
  <c r="R33" i="10"/>
  <c r="R33" i="9"/>
  <c r="AA21" i="10"/>
  <c r="AA21" i="9"/>
  <c r="S17" i="10"/>
  <c r="S17" i="9"/>
  <c r="G25" i="10"/>
  <c r="G25" i="9"/>
  <c r="U6" i="9"/>
  <c r="U6" i="10"/>
  <c r="P31" i="10"/>
  <c r="P31" i="9"/>
  <c r="I16" i="10"/>
  <c r="I16" i="9"/>
  <c r="S6" i="9"/>
  <c r="S6" i="10"/>
  <c r="S11" i="10"/>
  <c r="S11" i="9"/>
  <c r="N29" i="10"/>
  <c r="N29" i="9"/>
  <c r="L14" i="9"/>
  <c r="L14" i="10"/>
  <c r="W10" i="9"/>
  <c r="W10" i="10"/>
  <c r="W34" i="10"/>
  <c r="W34" i="9"/>
  <c r="AC18" i="10"/>
  <c r="AC18" i="9"/>
  <c r="V21" i="10"/>
  <c r="V21" i="9"/>
  <c r="Y5" i="9"/>
  <c r="Y5" i="10"/>
  <c r="AB20" i="10"/>
  <c r="AB20" i="9"/>
  <c r="X5" i="9"/>
  <c r="X5" i="10"/>
  <c r="W27" i="10"/>
  <c r="W27" i="9"/>
  <c r="G11" i="10"/>
  <c r="G11" i="9"/>
  <c r="W25" i="10"/>
  <c r="W25" i="9"/>
  <c r="P21" i="9"/>
  <c r="P21" i="10"/>
  <c r="V5" i="9"/>
  <c r="V5" i="10"/>
  <c r="K28" i="10"/>
  <c r="K28" i="9"/>
  <c r="Q12" i="10"/>
  <c r="Q12" i="9"/>
  <c r="M15" i="10"/>
  <c r="M15" i="9"/>
  <c r="L19" i="9"/>
  <c r="L19" i="10"/>
  <c r="N24" i="10"/>
  <c r="N24" i="9"/>
  <c r="E24" i="10"/>
  <c r="E24" i="9"/>
  <c r="U7" i="10"/>
  <c r="U7" i="9"/>
  <c r="J30" i="9"/>
  <c r="J30" i="10"/>
  <c r="Z13" i="10"/>
  <c r="Z13" i="9"/>
  <c r="M26" i="10"/>
  <c r="M26" i="9"/>
  <c r="U20" i="10"/>
  <c r="U20" i="9"/>
  <c r="AA4" i="10"/>
  <c r="AA4" i="9"/>
  <c r="P27" i="10"/>
  <c r="P27" i="9"/>
  <c r="L12" i="10"/>
  <c r="L12" i="9"/>
  <c r="J11" i="10"/>
  <c r="J11" i="9"/>
  <c r="S20" i="10"/>
  <c r="S20" i="9"/>
  <c r="Y4" i="10"/>
  <c r="Y4" i="9"/>
  <c r="AB21" i="10"/>
  <c r="AB21" i="9"/>
  <c r="N20" i="10"/>
  <c r="N20" i="9"/>
  <c r="T13" i="10"/>
  <c r="T13" i="9"/>
  <c r="O31" i="10"/>
  <c r="O31" i="9"/>
  <c r="Y27" i="9"/>
  <c r="Y27" i="10"/>
  <c r="W31" i="10"/>
  <c r="W31" i="9"/>
  <c r="AD19" i="10"/>
  <c r="AD19" i="9"/>
  <c r="S28" i="10"/>
  <c r="S28" i="9"/>
  <c r="J18" i="10"/>
  <c r="J18" i="9"/>
  <c r="L28" i="10"/>
  <c r="L28" i="9"/>
  <c r="J29" i="10"/>
  <c r="J29" i="9"/>
  <c r="M24" i="10"/>
  <c r="M24" i="9"/>
  <c r="Y16" i="10"/>
  <c r="Y16" i="9"/>
  <c r="J19" i="10"/>
  <c r="J19" i="9"/>
  <c r="O27" i="10"/>
  <c r="O27" i="9"/>
  <c r="AB14" i="10"/>
  <c r="AB14" i="9"/>
  <c r="V30" i="10"/>
  <c r="V30" i="9"/>
  <c r="J26" i="10"/>
  <c r="J26" i="9"/>
  <c r="X10" i="9"/>
  <c r="X10" i="10"/>
  <c r="Q15" i="10"/>
  <c r="Q15" i="9"/>
  <c r="AE20" i="10"/>
  <c r="AE20" i="9"/>
  <c r="N15" i="10"/>
  <c r="N15" i="9"/>
  <c r="V12" i="10"/>
  <c r="V12" i="9"/>
  <c r="L32" i="10"/>
  <c r="L32" i="9"/>
  <c r="N14" i="9"/>
  <c r="N14" i="10"/>
  <c r="H25" i="10"/>
  <c r="H25" i="9"/>
  <c r="W32" i="10"/>
  <c r="W32" i="9"/>
  <c r="Z8" i="10"/>
  <c r="Z8" i="9"/>
  <c r="E7" i="9"/>
  <c r="E7" i="10"/>
  <c r="AB22" i="10"/>
  <c r="AB22" i="9"/>
  <c r="Z5" i="9"/>
  <c r="Z5" i="10"/>
  <c r="AG8" i="10"/>
  <c r="AG8" i="9"/>
  <c r="F15" i="10"/>
  <c r="F15" i="9"/>
  <c r="AB28" i="9"/>
  <c r="AB28" i="10"/>
  <c r="H20" i="10"/>
  <c r="H20" i="9"/>
  <c r="E6" i="10"/>
  <c r="E6" i="9"/>
  <c r="AG23" i="10"/>
  <c r="AG23" i="9"/>
  <c r="O11" i="9"/>
  <c r="O11" i="10"/>
  <c r="H16" i="10"/>
  <c r="H16" i="9"/>
  <c r="H10" i="9"/>
  <c r="H10" i="10"/>
  <c r="AG31" i="10"/>
  <c r="AG31" i="9"/>
  <c r="T15" i="10"/>
  <c r="T15" i="9"/>
  <c r="J7" i="10"/>
  <c r="J7" i="9"/>
  <c r="AE29" i="10"/>
  <c r="AE29" i="9"/>
  <c r="W28" i="10"/>
  <c r="W28" i="9"/>
  <c r="T4" i="10"/>
  <c r="T4" i="9"/>
  <c r="AH9" i="9"/>
  <c r="AH9" i="10"/>
  <c r="AC27" i="10"/>
  <c r="AC27" i="9"/>
  <c r="W30" i="10"/>
  <c r="W30" i="9"/>
  <c r="P13" i="9"/>
  <c r="P13" i="10"/>
  <c r="AB34" i="10"/>
  <c r="AB34" i="9"/>
  <c r="AG33" i="10"/>
  <c r="AG33" i="9"/>
  <c r="G18" i="10"/>
  <c r="G18" i="9"/>
  <c r="P15" i="10"/>
  <c r="P15" i="9"/>
  <c r="M4" i="9"/>
  <c r="M4" i="10"/>
  <c r="F20" i="10"/>
  <c r="F20" i="9"/>
  <c r="AH4" i="9"/>
  <c r="AH4" i="10"/>
  <c r="K26" i="9"/>
  <c r="K26" i="10"/>
  <c r="Q10" i="10"/>
  <c r="Q10" i="9"/>
  <c r="S21" i="10"/>
  <c r="S21" i="9"/>
  <c r="Z20" i="10"/>
  <c r="Z20" i="9"/>
  <c r="AF4" i="10"/>
  <c r="AF4" i="9"/>
  <c r="U27" i="10"/>
  <c r="U27" i="9"/>
  <c r="AA11" i="10"/>
  <c r="AA11" i="9"/>
  <c r="P34" i="10"/>
  <c r="P34" i="9"/>
  <c r="V18" i="10"/>
  <c r="V18" i="9"/>
  <c r="R6" i="9"/>
  <c r="R6" i="10"/>
  <c r="O23" i="10"/>
  <c r="O23" i="9"/>
  <c r="AE6" i="10"/>
  <c r="AE6" i="9"/>
  <c r="T29" i="10"/>
  <c r="T29" i="9"/>
  <c r="D13" i="9"/>
  <c r="D13" i="10"/>
  <c r="AC20" i="10"/>
  <c r="AC20" i="9"/>
  <c r="AE19" i="10"/>
  <c r="AE19" i="9"/>
  <c r="E4" i="10"/>
  <c r="E4" i="9"/>
  <c r="Z26" i="10"/>
  <c r="Z26" i="9"/>
  <c r="V11" i="10"/>
  <c r="V11" i="9"/>
  <c r="O28" i="9"/>
  <c r="O28" i="10"/>
  <c r="AC19" i="10"/>
  <c r="AC19" i="9"/>
  <c r="AF34" i="10"/>
  <c r="AF34" i="9"/>
  <c r="Z29" i="10"/>
  <c r="Z29" i="9"/>
  <c r="J28" i="10"/>
  <c r="J28" i="9"/>
  <c r="S32" i="9"/>
  <c r="S32" i="10"/>
  <c r="G10" i="9"/>
  <c r="G10" i="10"/>
  <c r="V17" i="10"/>
  <c r="V17" i="9"/>
  <c r="X34" i="10"/>
  <c r="X34" i="9"/>
  <c r="H31" i="10"/>
  <c r="H31" i="9"/>
  <c r="AG12" i="9"/>
  <c r="AG12" i="10"/>
  <c r="G34" i="10"/>
  <c r="G34" i="9"/>
  <c r="U10" i="10"/>
  <c r="U10" i="9"/>
  <c r="H9" i="9"/>
  <c r="H9" i="10"/>
  <c r="AC28" i="9"/>
  <c r="AC28" i="10"/>
  <c r="W6" i="9"/>
  <c r="W6" i="10"/>
  <c r="AB32" i="10"/>
  <c r="AB32" i="9"/>
  <c r="Y18" i="10"/>
  <c r="Y18" i="9"/>
  <c r="G15" i="10"/>
  <c r="G15" i="9"/>
  <c r="D4" i="10"/>
  <c r="D4" i="9"/>
  <c r="R24" i="10"/>
  <c r="R24" i="9"/>
  <c r="Y25" i="10"/>
  <c r="Y25" i="9"/>
  <c r="R25" i="10"/>
  <c r="R25" i="9"/>
  <c r="AD27" i="10"/>
  <c r="AD27" i="9"/>
  <c r="E34" i="10"/>
  <c r="E34" i="9"/>
  <c r="Q9" i="10"/>
  <c r="Q9" i="9"/>
  <c r="AA33" i="10"/>
  <c r="AA33" i="9"/>
  <c r="O7" i="10"/>
  <c r="O7" i="9"/>
  <c r="AF18" i="10"/>
  <c r="AF18" i="9"/>
  <c r="E5" i="9"/>
  <c r="E5" i="10"/>
  <c r="R23" i="10"/>
  <c r="R23" i="9"/>
  <c r="T5" i="10"/>
  <c r="T5" i="9"/>
  <c r="W22" i="10"/>
  <c r="W22" i="9"/>
  <c r="Z27" i="10"/>
  <c r="Z27" i="9"/>
  <c r="K25" i="10"/>
  <c r="K25" i="9"/>
  <c r="T11" i="10"/>
  <c r="T11" i="9"/>
  <c r="H18" i="10"/>
  <c r="H18" i="9"/>
  <c r="Y29" i="10"/>
  <c r="Y29" i="9"/>
  <c r="AH6" i="10"/>
  <c r="AH6" i="9"/>
  <c r="AD4" i="9"/>
  <c r="AD4" i="10"/>
  <c r="V31" i="10"/>
  <c r="V31" i="9"/>
  <c r="G6" i="10"/>
  <c r="G6" i="9"/>
  <c r="X13" i="10"/>
  <c r="X13" i="9"/>
  <c r="AE21" i="10"/>
  <c r="AE21" i="9"/>
  <c r="AH33" i="10"/>
  <c r="AH33" i="9"/>
  <c r="H23" i="10"/>
  <c r="H23" i="9"/>
  <c r="W8" i="9"/>
  <c r="W8" i="10"/>
  <c r="AH29" i="10"/>
  <c r="AH29" i="9"/>
  <c r="AA19" i="10"/>
  <c r="AA19" i="9"/>
  <c r="V13" i="10"/>
  <c r="V13" i="9"/>
  <c r="V28" i="10"/>
  <c r="V28" i="9"/>
  <c r="M20" i="10"/>
  <c r="M20" i="9"/>
  <c r="AF27" i="10"/>
  <c r="AF27" i="9"/>
  <c r="AB8" i="10"/>
  <c r="AB8" i="9"/>
  <c r="AD21" i="10"/>
  <c r="AD21" i="9"/>
  <c r="D6" i="10"/>
  <c r="D6" i="9"/>
  <c r="K14" i="9"/>
  <c r="K14" i="10"/>
  <c r="Q11" i="9"/>
  <c r="Q11" i="10"/>
  <c r="AC32" i="10"/>
  <c r="AC32" i="9"/>
  <c r="K33" i="10"/>
  <c r="K33" i="9"/>
  <c r="Q17" i="10"/>
  <c r="Q17" i="9"/>
  <c r="AB5" i="9"/>
  <c r="AB5" i="10"/>
  <c r="T34" i="10"/>
  <c r="T34" i="9"/>
  <c r="P19" i="10"/>
  <c r="P19" i="9"/>
  <c r="L4" i="9"/>
  <c r="L4" i="10"/>
  <c r="U25" i="9"/>
  <c r="U25" i="10"/>
  <c r="AA9" i="10"/>
  <c r="AA9" i="9"/>
  <c r="K13" i="10"/>
  <c r="K13" i="9"/>
  <c r="D20" i="10"/>
  <c r="D20" i="9"/>
  <c r="J4" i="10"/>
  <c r="J4" i="9"/>
  <c r="AE26" i="10"/>
  <c r="AE26" i="9"/>
  <c r="E11" i="10"/>
  <c r="E11" i="9"/>
  <c r="Z33" i="10"/>
  <c r="Z33" i="9"/>
  <c r="AF17" i="10"/>
  <c r="AF17" i="9"/>
  <c r="R30" i="10"/>
  <c r="R30" i="9"/>
  <c r="Y22" i="10"/>
  <c r="Y22" i="9"/>
  <c r="I6" i="10"/>
  <c r="I6" i="9"/>
  <c r="H28" i="10"/>
  <c r="H28" i="9"/>
  <c r="N12" i="10"/>
  <c r="N12" i="9"/>
  <c r="U12" i="10"/>
  <c r="U12" i="9"/>
  <c r="I19" i="9"/>
  <c r="I19" i="10"/>
  <c r="R28" i="10"/>
  <c r="R28" i="9"/>
  <c r="D26" i="10"/>
  <c r="D26" i="9"/>
  <c r="AF10" i="10"/>
  <c r="AF10" i="9"/>
  <c r="O17" i="9"/>
  <c r="O17" i="10"/>
  <c r="G19" i="10"/>
  <c r="G19" i="9"/>
  <c r="F12" i="9"/>
  <c r="F12" i="10"/>
  <c r="H5" i="9"/>
  <c r="H5" i="10"/>
  <c r="T14" i="9"/>
  <c r="T14" i="10"/>
  <c r="I30" i="9"/>
  <c r="I30" i="10"/>
  <c r="X32" i="10"/>
  <c r="X32" i="9"/>
  <c r="AH7" i="10"/>
  <c r="AH7" i="9"/>
  <c r="U34" i="10"/>
  <c r="U34" i="9"/>
  <c r="S16" i="10"/>
  <c r="S16" i="9"/>
  <c r="G30" i="10"/>
  <c r="G30" i="9"/>
  <c r="AF29" i="10"/>
  <c r="AF29" i="9"/>
  <c r="E27" i="10"/>
  <c r="E27" i="9"/>
  <c r="Y20" i="10"/>
  <c r="Y20" i="9"/>
  <c r="M12" i="10"/>
  <c r="M12" i="9"/>
  <c r="X30" i="10"/>
  <c r="X30" i="9"/>
  <c r="AD32" i="10"/>
  <c r="AD32" i="9"/>
  <c r="J20" i="10"/>
  <c r="J20" i="9"/>
  <c r="P17" i="10"/>
  <c r="P17" i="9"/>
  <c r="AA28" i="9"/>
  <c r="AA28" i="10"/>
  <c r="F34" i="10"/>
  <c r="F34" i="9"/>
  <c r="I9" i="9"/>
  <c r="I9" i="10"/>
  <c r="X9" i="10"/>
  <c r="X9" i="9"/>
  <c r="AG29" i="10"/>
  <c r="AG29" i="9"/>
  <c r="M18" i="9"/>
  <c r="M18" i="10"/>
  <c r="S10" i="9"/>
  <c r="S10" i="10"/>
  <c r="F5" i="9"/>
  <c r="F5" i="10"/>
  <c r="S24" i="9"/>
  <c r="S24" i="10"/>
  <c r="O20" i="10"/>
  <c r="O20" i="9"/>
  <c r="Z7" i="10"/>
  <c r="Z7" i="9"/>
  <c r="AE27" i="10"/>
  <c r="AE27" i="9"/>
  <c r="R26" i="10"/>
  <c r="R26" i="9"/>
  <c r="AH25" i="10"/>
  <c r="AH25" i="9"/>
  <c r="G32" i="10"/>
  <c r="G32" i="9"/>
  <c r="F29" i="10"/>
  <c r="F29" i="9"/>
  <c r="E9" i="10"/>
  <c r="E9" i="9"/>
  <c r="T30" i="10"/>
  <c r="T30" i="9"/>
  <c r="J17" i="9"/>
  <c r="J17" i="10"/>
  <c r="S5" i="10"/>
  <c r="S5" i="9"/>
  <c r="S18" i="10"/>
  <c r="S18" i="9"/>
  <c r="J10" i="10"/>
  <c r="J10" i="9"/>
  <c r="S13" i="9"/>
  <c r="S13" i="10"/>
  <c r="D34" i="10"/>
  <c r="D34" i="9"/>
  <c r="AA34" i="10"/>
  <c r="AA34" i="9"/>
  <c r="T24" i="10"/>
  <c r="T24" i="9"/>
  <c r="I23" i="10"/>
  <c r="I23" i="9"/>
  <c r="F10" i="9"/>
  <c r="F10" i="10"/>
  <c r="F30" i="10"/>
  <c r="F30" i="9"/>
  <c r="L18" i="9"/>
  <c r="L18" i="10"/>
  <c r="Q24" i="10"/>
  <c r="Q24" i="9"/>
  <c r="Y12" i="10"/>
  <c r="Y12" i="9"/>
  <c r="I34" i="10"/>
  <c r="I34" i="9"/>
  <c r="AE14" i="9"/>
  <c r="AE14" i="10"/>
  <c r="P20" i="10"/>
  <c r="P20" i="9"/>
  <c r="K5" i="10"/>
  <c r="K5" i="9"/>
  <c r="AG7" i="9"/>
  <c r="AG7" i="10"/>
  <c r="L29" i="10"/>
  <c r="L29" i="9"/>
  <c r="AE31" i="10"/>
  <c r="AE31" i="9"/>
  <c r="E16" i="10"/>
  <c r="E16" i="9"/>
  <c r="J22" i="10"/>
  <c r="J22" i="9"/>
  <c r="H33" i="10"/>
  <c r="H33" i="9"/>
  <c r="D18" i="10"/>
  <c r="D18" i="9"/>
  <c r="X23" i="10"/>
  <c r="X23" i="9"/>
  <c r="I24" i="10"/>
  <c r="I24" i="9"/>
  <c r="O8" i="9"/>
  <c r="O8" i="10"/>
  <c r="AB33" i="10"/>
  <c r="AB33" i="9"/>
  <c r="X18" i="10"/>
  <c r="X18" i="9"/>
  <c r="L22" i="10"/>
  <c r="L22" i="9"/>
  <c r="S25" i="10"/>
  <c r="S25" i="9"/>
  <c r="Y9" i="10"/>
  <c r="Y9" i="9"/>
  <c r="N32" i="10"/>
  <c r="N32" i="9"/>
  <c r="T16" i="10"/>
  <c r="T16" i="9"/>
  <c r="Z16" i="10"/>
  <c r="Z16" i="9"/>
  <c r="W20" i="10"/>
  <c r="W20" i="9"/>
  <c r="AC4" i="9"/>
  <c r="AC4" i="10"/>
  <c r="AB26" i="10"/>
  <c r="AB26" i="9"/>
  <c r="V9" i="10"/>
  <c r="V9" i="9"/>
  <c r="W33" i="9"/>
  <c r="W33" i="10"/>
  <c r="AC17" i="10"/>
  <c r="AC17" i="9"/>
  <c r="V10" i="10"/>
  <c r="V10" i="9"/>
  <c r="X24" i="9"/>
  <c r="X24" i="10"/>
  <c r="T9" i="10"/>
  <c r="T9" i="9"/>
  <c r="K34" i="10"/>
  <c r="K34" i="9"/>
  <c r="H34" i="10"/>
  <c r="H34" i="9"/>
  <c r="R8" i="10"/>
  <c r="R8" i="9"/>
  <c r="Y33" i="10"/>
  <c r="Y33" i="9"/>
  <c r="F6" i="10"/>
  <c r="F6" i="9"/>
  <c r="E8" i="9"/>
  <c r="E8" i="10"/>
  <c r="K11" i="10"/>
  <c r="K11" i="9"/>
  <c r="R19" i="10"/>
  <c r="R19" i="9"/>
  <c r="Y13" i="10"/>
  <c r="Y13" i="9"/>
  <c r="V8" i="9"/>
  <c r="V8" i="10"/>
  <c r="AA23" i="10"/>
  <c r="AA23" i="9"/>
  <c r="H13" i="10"/>
  <c r="H13" i="9"/>
  <c r="AB4" i="10"/>
  <c r="AB4" i="9"/>
  <c r="AH31" i="10"/>
  <c r="AH31" i="9"/>
  <c r="M33" i="9"/>
  <c r="M33" i="10"/>
  <c r="T12" i="10"/>
  <c r="T12" i="9"/>
  <c r="N10" i="10"/>
  <c r="N10" i="9"/>
  <c r="L34" i="10"/>
  <c r="L34" i="9"/>
  <c r="E23" i="10"/>
  <c r="E23" i="9"/>
  <c r="L31" i="10"/>
  <c r="L31" i="9"/>
  <c r="D14" i="10"/>
  <c r="D14" i="9"/>
  <c r="K30" i="9"/>
  <c r="K30" i="10"/>
  <c r="V33" i="10"/>
  <c r="V33" i="9"/>
  <c r="X28" i="9"/>
  <c r="X28" i="10"/>
  <c r="O29" i="10"/>
  <c r="O29" i="9"/>
  <c r="P11" i="9"/>
  <c r="P11" i="10"/>
  <c r="AF26" i="10"/>
  <c r="AF26" i="9"/>
  <c r="AA13" i="10"/>
  <c r="AA13" i="9"/>
  <c r="D25" i="10"/>
  <c r="D25" i="9"/>
  <c r="K7" i="9"/>
  <c r="K7" i="10"/>
  <c r="W26" i="9"/>
  <c r="W26" i="10"/>
  <c r="AC7" i="9"/>
  <c r="AC7" i="10"/>
  <c r="P10" i="10"/>
  <c r="P10" i="9"/>
  <c r="J16" i="10"/>
  <c r="J16" i="9"/>
  <c r="X15" i="9"/>
  <c r="X15" i="10"/>
  <c r="Z25" i="10"/>
  <c r="Z25" i="9"/>
  <c r="O30" i="10"/>
  <c r="O30" i="9"/>
  <c r="S14" i="10"/>
  <c r="S14" i="9"/>
  <c r="AB15" i="9"/>
  <c r="AB15" i="10"/>
  <c r="R29" i="10"/>
  <c r="R29" i="9"/>
  <c r="AB10" i="10"/>
  <c r="AB10" i="9"/>
  <c r="AC21" i="10"/>
  <c r="AC21" i="9"/>
  <c r="K31" i="10"/>
  <c r="K31" i="9"/>
  <c r="AD33" i="10"/>
  <c r="AD33" i="9"/>
  <c r="R34" i="10"/>
  <c r="R34" i="9"/>
  <c r="I26" i="10"/>
  <c r="I26" i="9"/>
  <c r="D33" i="10"/>
  <c r="D33" i="9"/>
  <c r="M21" i="9"/>
  <c r="M21" i="10"/>
  <c r="AH10" i="10"/>
  <c r="AH10" i="9"/>
  <c r="N25" i="10"/>
  <c r="N25" i="9"/>
  <c r="AG34" i="10"/>
  <c r="AG34" i="9"/>
  <c r="G23" i="10"/>
  <c r="G23" i="9"/>
  <c r="Z12" i="9"/>
  <c r="Z12" i="10"/>
  <c r="E25" i="10"/>
  <c r="E25" i="9"/>
  <c r="Y32" i="10"/>
  <c r="Y32" i="9"/>
  <c r="R22" i="9"/>
  <c r="R22" i="10"/>
  <c r="Y10" i="9"/>
  <c r="Y10" i="10"/>
  <c r="Z21" i="10"/>
  <c r="Z21" i="9"/>
  <c r="AF12" i="9"/>
  <c r="AF12" i="10"/>
  <c r="AF16" i="10"/>
  <c r="AF16" i="9"/>
  <c r="X19" i="10"/>
  <c r="X19" i="9"/>
  <c r="AH5" i="10"/>
  <c r="AH5" i="9"/>
  <c r="M27" i="10"/>
  <c r="M27" i="9"/>
  <c r="I31" i="10"/>
  <c r="I31" i="9"/>
  <c r="O15" i="10"/>
  <c r="O15" i="9"/>
  <c r="X14" i="10"/>
  <c r="X14" i="9"/>
  <c r="R32" i="10"/>
  <c r="R32" i="9"/>
  <c r="N17" i="10"/>
  <c r="N17" i="9"/>
  <c r="J9" i="9"/>
  <c r="J9" i="10"/>
  <c r="S23" i="10"/>
  <c r="S23" i="9"/>
  <c r="Y7" i="9"/>
  <c r="Y7" i="10"/>
  <c r="F33" i="10"/>
  <c r="F33" i="9"/>
  <c r="AH17" i="10"/>
  <c r="AH17" i="9"/>
  <c r="F16" i="10"/>
  <c r="F16" i="9"/>
  <c r="AC24" i="10"/>
  <c r="AC24" i="9"/>
  <c r="M8" i="10"/>
  <c r="M8" i="9"/>
  <c r="X31" i="10"/>
  <c r="X31" i="9"/>
  <c r="AD15" i="9"/>
  <c r="AD15" i="10"/>
  <c r="N4" i="9"/>
  <c r="N4" i="10"/>
  <c r="AG19" i="10"/>
  <c r="AG19" i="9"/>
  <c r="G4" i="9"/>
  <c r="G4" i="10"/>
  <c r="F26" i="10"/>
  <c r="F26" i="9"/>
  <c r="AF8" i="10"/>
  <c r="AF8" i="9"/>
  <c r="AG32" i="10"/>
  <c r="AG32" i="9"/>
  <c r="G17" i="9"/>
  <c r="G17" i="10"/>
  <c r="AD31" i="10"/>
  <c r="AD31" i="9"/>
  <c r="AH23" i="10"/>
  <c r="AH23" i="9"/>
  <c r="AD8" i="10"/>
  <c r="AD8" i="9"/>
  <c r="U33" i="10"/>
  <c r="U33" i="9"/>
  <c r="E17" i="10"/>
  <c r="E17" i="9"/>
  <c r="P33" i="10"/>
  <c r="P33" i="9"/>
  <c r="V14" i="10"/>
  <c r="V14" i="9"/>
  <c r="P12" i="10"/>
  <c r="P12" i="9"/>
  <c r="AC30" i="10"/>
  <c r="AC30" i="9"/>
  <c r="I18" i="10"/>
  <c r="I18" i="9"/>
  <c r="G20" i="10"/>
  <c r="G20" i="9"/>
  <c r="AE4" i="10"/>
  <c r="AE4" i="9"/>
  <c r="S29" i="10"/>
  <c r="S29" i="9"/>
  <c r="AA14" i="10"/>
  <c r="AA14" i="9"/>
  <c r="AD16" i="10"/>
  <c r="AD16" i="9"/>
  <c r="AH28" i="10"/>
  <c r="AH28" i="9"/>
  <c r="AH21" i="10"/>
  <c r="AH21" i="9"/>
  <c r="L25" i="10"/>
  <c r="L25" i="9"/>
  <c r="Y28" i="10"/>
  <c r="Y28" i="9"/>
  <c r="U23" i="10"/>
  <c r="U23" i="9"/>
  <c r="AG30" i="10"/>
  <c r="AG30" i="9"/>
  <c r="U11" i="10"/>
  <c r="U11" i="9"/>
  <c r="P9" i="10"/>
  <c r="P9" i="9"/>
  <c r="E18" i="10"/>
  <c r="E18" i="9"/>
  <c r="W18" i="10"/>
  <c r="W18" i="9"/>
  <c r="L26" i="9"/>
  <c r="L26" i="10"/>
  <c r="Z14" i="10"/>
  <c r="Z14" i="9"/>
  <c r="U17" i="10"/>
  <c r="U17" i="9"/>
  <c r="AB19" i="10"/>
  <c r="AB19" i="9"/>
  <c r="E32" i="10"/>
  <c r="E32" i="9"/>
  <c r="I13" i="10"/>
  <c r="I13" i="9"/>
  <c r="N21" i="10"/>
  <c r="N21" i="9"/>
  <c r="AF11" i="9"/>
  <c r="AF11" i="10"/>
  <c r="U22" i="9"/>
  <c r="U22" i="10"/>
  <c r="T26" i="9"/>
  <c r="T26" i="10"/>
  <c r="E10" i="9"/>
  <c r="E10" i="10"/>
  <c r="P18" i="9"/>
  <c r="P18" i="10"/>
  <c r="H22" i="10"/>
  <c r="H22" i="9"/>
  <c r="J5" i="9"/>
  <c r="J5" i="10"/>
  <c r="E12" i="9"/>
  <c r="E12" i="10"/>
  <c r="S4" i="9"/>
  <c r="S4" i="10"/>
  <c r="U32" i="9"/>
  <c r="U32" i="10"/>
  <c r="AE24" i="10"/>
  <c r="AE24" i="9"/>
  <c r="AD23" i="10"/>
  <c r="AD23" i="9"/>
  <c r="U8" i="9"/>
  <c r="U8" i="10"/>
  <c r="P6" i="9"/>
  <c r="P6" i="10"/>
  <c r="U26" i="10"/>
  <c r="U26" i="9"/>
  <c r="AB30" i="10"/>
  <c r="AB30" i="9"/>
  <c r="E19" i="10"/>
  <c r="E19" i="9"/>
  <c r="F25" i="10"/>
  <c r="F25" i="9"/>
  <c r="V6" i="9"/>
  <c r="V6" i="10"/>
  <c r="D32" i="10"/>
  <c r="D32" i="9"/>
  <c r="L16" i="10"/>
  <c r="L16" i="9"/>
  <c r="AG20" i="10"/>
  <c r="AG20" i="9"/>
  <c r="W17" i="10"/>
  <c r="W17" i="9"/>
  <c r="X21" i="10"/>
  <c r="X21" i="9"/>
  <c r="AA30" i="10"/>
  <c r="AA30" i="9"/>
  <c r="AH14" i="9"/>
  <c r="AH14" i="10"/>
  <c r="U28" i="10"/>
  <c r="U28" i="9"/>
  <c r="Q4" i="9"/>
  <c r="Q4" i="10"/>
  <c r="AC25" i="9"/>
  <c r="AC25" i="10"/>
  <c r="S30" i="10"/>
  <c r="S30" i="9"/>
  <c r="Y14" i="10"/>
  <c r="Y14" i="9"/>
  <c r="AB7" i="9"/>
  <c r="AB7" i="10"/>
  <c r="AB31" i="10"/>
  <c r="AB31" i="9"/>
  <c r="X16" i="10"/>
  <c r="X16" i="9"/>
  <c r="D27" i="10"/>
  <c r="D27" i="9"/>
  <c r="AC22" i="10"/>
  <c r="AC22" i="9"/>
  <c r="M6" i="9"/>
  <c r="M6" i="10"/>
  <c r="P32" i="10"/>
  <c r="P32" i="9"/>
  <c r="L17" i="9"/>
  <c r="L17" i="10"/>
  <c r="AH11" i="9"/>
  <c r="AH11" i="10"/>
  <c r="G24" i="10"/>
  <c r="G24" i="9"/>
  <c r="W7" i="10"/>
  <c r="W7" i="9"/>
  <c r="L30" i="9"/>
  <c r="L30" i="10"/>
  <c r="H15" i="10"/>
  <c r="H15" i="9"/>
  <c r="AA29" i="10"/>
  <c r="AA29" i="9"/>
  <c r="K19" i="10"/>
  <c r="K19" i="9"/>
  <c r="L33" i="9"/>
  <c r="L33" i="10"/>
  <c r="P25" i="10"/>
  <c r="P25" i="9"/>
  <c r="J8" i="10"/>
  <c r="J8" i="9"/>
  <c r="K32" i="10"/>
  <c r="K32" i="9"/>
  <c r="Q16" i="9"/>
  <c r="Q16" i="10"/>
  <c r="AH24" i="10"/>
  <c r="AH24" i="9"/>
  <c r="L23" i="10"/>
  <c r="L23" i="9"/>
  <c r="H8" i="10"/>
  <c r="H8" i="9"/>
  <c r="AE32" i="10"/>
  <c r="AE32" i="9"/>
  <c r="O16" i="9"/>
  <c r="O16" i="10"/>
  <c r="AG26" i="10"/>
  <c r="AG26" i="9"/>
  <c r="N33" i="10"/>
  <c r="N33" i="9"/>
  <c r="D29" i="10"/>
  <c r="D29" i="9"/>
  <c r="T27" i="10"/>
  <c r="T27" i="9"/>
  <c r="AE11" i="10"/>
  <c r="AE11" i="9"/>
  <c r="N11" i="9"/>
  <c r="N11" i="10"/>
  <c r="AC34" i="10"/>
  <c r="AC34" i="9"/>
  <c r="F27" i="10"/>
  <c r="F27" i="9"/>
  <c r="AC15" i="9"/>
  <c r="AC15" i="10"/>
  <c r="K12" i="10"/>
  <c r="K12" i="9"/>
  <c r="P29" i="10"/>
  <c r="P29" i="9"/>
  <c r="AA18" i="10"/>
  <c r="AA18" i="9"/>
  <c r="J31" i="10"/>
  <c r="J31" i="9"/>
  <c r="W11" i="10"/>
  <c r="W11" i="9"/>
  <c r="AD5" i="9"/>
  <c r="AD5" i="10"/>
  <c r="N31" i="10"/>
  <c r="N31" i="9"/>
  <c r="AD11" i="10"/>
  <c r="AD11" i="9"/>
  <c r="K24" i="9"/>
  <c r="K24" i="10"/>
  <c r="AB27" i="10"/>
  <c r="AB27" i="9"/>
  <c r="E28" i="10"/>
  <c r="E28" i="9"/>
  <c r="Z30" i="10"/>
  <c r="Z30" i="9"/>
  <c r="K27" i="10"/>
  <c r="K27" i="9"/>
  <c r="W16" i="10"/>
  <c r="W16" i="9"/>
  <c r="AB24" i="10"/>
  <c r="AB24" i="9"/>
  <c r="AA26" i="10"/>
  <c r="AA26" i="9"/>
  <c r="AC5" i="9"/>
  <c r="AC5" i="10"/>
  <c r="AF25" i="10"/>
  <c r="AF25" i="9"/>
  <c r="R10" i="10"/>
  <c r="R10" i="9"/>
  <c r="L8" i="10"/>
  <c r="L8" i="9"/>
  <c r="D12" i="10"/>
  <c r="D12" i="9"/>
  <c r="F21" i="10"/>
  <c r="F21" i="9"/>
  <c r="AD22" i="10"/>
  <c r="AD22" i="9"/>
  <c r="M30" i="10"/>
  <c r="M30" i="9"/>
  <c r="W9" i="10"/>
  <c r="W9" i="9"/>
  <c r="I14" i="9"/>
  <c r="I14" i="10"/>
  <c r="F32" i="10"/>
  <c r="F32" i="9"/>
  <c r="R9" i="10"/>
  <c r="R9" i="9"/>
  <c r="Z18" i="10"/>
  <c r="Z18" i="9"/>
  <c r="L5" i="10"/>
  <c r="L5" i="9"/>
  <c r="D21" i="10"/>
  <c r="D21" i="9"/>
  <c r="AB13" i="10"/>
  <c r="AB13" i="9"/>
  <c r="I12" i="10"/>
  <c r="I12" i="9"/>
  <c r="AD14" i="10"/>
  <c r="AD14" i="9"/>
  <c r="I7" i="9"/>
  <c r="I7" i="10"/>
  <c r="W4" i="10"/>
  <c r="W4" i="9"/>
  <c r="Z6" i="10"/>
  <c r="Z6" i="9"/>
  <c r="Z28" i="9"/>
  <c r="Z28" i="10"/>
  <c r="AH18" i="10"/>
  <c r="AH18" i="9"/>
  <c r="T33" i="10"/>
  <c r="T33" i="9"/>
  <c r="W21" i="10"/>
  <c r="W21" i="9"/>
  <c r="K20" i="10"/>
  <c r="K20" i="9"/>
  <c r="Q13" i="9"/>
  <c r="Q13" i="10"/>
  <c r="X17" i="10"/>
  <c r="X17" i="9"/>
  <c r="AA32" i="10"/>
  <c r="AA32" i="9"/>
  <c r="AE23" i="10"/>
  <c r="AE23" i="9"/>
  <c r="AC29" i="10"/>
  <c r="AC29" i="9"/>
  <c r="M13" i="10"/>
  <c r="M13" i="9"/>
  <c r="AC31" i="10"/>
  <c r="AC31" i="9"/>
  <c r="F31" i="10"/>
  <c r="F31" i="9"/>
  <c r="AH15" i="10"/>
  <c r="AH15" i="9"/>
  <c r="AD20" i="10"/>
  <c r="AD20" i="9"/>
  <c r="G22" i="10"/>
  <c r="G22" i="9"/>
  <c r="W5" i="9"/>
  <c r="W5" i="10"/>
  <c r="Z31" i="10"/>
  <c r="Z31" i="9"/>
  <c r="AF15" i="10"/>
  <c r="AF15" i="9"/>
  <c r="P4" i="9"/>
  <c r="P4" i="10"/>
  <c r="Q23" i="9"/>
  <c r="Q23" i="10"/>
  <c r="AG6" i="10"/>
  <c r="AG6" i="9"/>
  <c r="V29" i="10"/>
  <c r="V29" i="9"/>
  <c r="R14" i="9"/>
  <c r="R14" i="10"/>
  <c r="AG13" i="10"/>
  <c r="AG13" i="9"/>
  <c r="U18" i="10"/>
  <c r="U18" i="9"/>
  <c r="P26" i="10"/>
  <c r="P26" i="9"/>
  <c r="Z24" i="10"/>
  <c r="Z24" i="9"/>
  <c r="T7" i="10"/>
  <c r="T7" i="9"/>
  <c r="U31" i="10"/>
  <c r="U31" i="9"/>
  <c r="AA15" i="9"/>
  <c r="AA15" i="10"/>
  <c r="F18" i="10"/>
  <c r="F18" i="9"/>
  <c r="V22" i="10"/>
  <c r="V22" i="9"/>
  <c r="R7" i="10"/>
  <c r="R7" i="9"/>
  <c r="I32" i="10"/>
  <c r="I32" i="9"/>
  <c r="Y15" i="9"/>
  <c r="Y15" i="10"/>
  <c r="AH30" i="10"/>
  <c r="AH30" i="9"/>
  <c r="G21" i="9"/>
  <c r="G21" i="10"/>
  <c r="AG11" i="9"/>
  <c r="AG11" i="10"/>
  <c r="E22" i="10"/>
  <c r="E22" i="9"/>
  <c r="N23" i="10"/>
  <c r="N23" i="9"/>
  <c r="AA25" i="10"/>
  <c r="AA25" i="9"/>
  <c r="H12" i="10"/>
  <c r="H12" i="9"/>
  <c r="AF13" i="10"/>
  <c r="AF13" i="9"/>
  <c r="Z11" i="10"/>
  <c r="Z11" i="9"/>
  <c r="T20" i="10"/>
  <c r="T20" i="9"/>
  <c r="G14" i="10"/>
  <c r="G14" i="9"/>
  <c r="R4" i="9"/>
  <c r="R4" i="10"/>
  <c r="J13" i="10"/>
  <c r="J13" i="9"/>
  <c r="L24" i="10"/>
  <c r="L24" i="9"/>
  <c r="L10" i="10"/>
  <c r="L10" i="9"/>
  <c r="AG25" i="10"/>
  <c r="AG25" i="9"/>
  <c r="AH26" i="10"/>
  <c r="AH26" i="9"/>
  <c r="AG10" i="10"/>
  <c r="AG10" i="9"/>
  <c r="S26" i="10"/>
  <c r="S26" i="9"/>
  <c r="S22" i="10"/>
  <c r="S22" i="9"/>
  <c r="J14" i="9"/>
  <c r="J14" i="10"/>
  <c r="H11" i="10"/>
  <c r="H11" i="9"/>
  <c r="AG17" i="10"/>
  <c r="AG17" i="9"/>
  <c r="Q30" i="10"/>
  <c r="Q30" i="9"/>
  <c r="AB17" i="10"/>
  <c r="AB17" i="9"/>
  <c r="U24" i="9"/>
  <c r="U24" i="10"/>
  <c r="Q22" i="9"/>
  <c r="Q22" i="10"/>
  <c r="V25" i="10"/>
  <c r="V25" i="9"/>
  <c r="F24" i="10"/>
  <c r="F24" i="9"/>
  <c r="AB12" i="9"/>
  <c r="AB12" i="10"/>
  <c r="Z23" i="10"/>
  <c r="Z23" i="9"/>
  <c r="AA7" i="9"/>
  <c r="AA7" i="10"/>
  <c r="X7" i="9"/>
  <c r="X7" i="10"/>
  <c r="G26" i="10"/>
  <c r="G26" i="9"/>
  <c r="AC6" i="10"/>
  <c r="AC6" i="9"/>
  <c r="AA6" i="10"/>
  <c r="AA6" i="9"/>
  <c r="V15" i="10"/>
  <c r="V15" i="9"/>
  <c r="F14" i="10"/>
  <c r="F14" i="9"/>
  <c r="AD10" i="9"/>
  <c r="AD10" i="10"/>
  <c r="D7" i="9"/>
  <c r="D7" i="10"/>
  <c r="X6" i="10"/>
  <c r="X6" i="9"/>
  <c r="N16" i="10"/>
  <c r="N16" i="9"/>
  <c r="O22" i="9"/>
  <c r="O22" i="10"/>
  <c r="AA16" i="10"/>
  <c r="AA16" i="9"/>
  <c r="AD29" i="10"/>
  <c r="AD29" i="9"/>
  <c r="N19" i="10"/>
  <c r="N19" i="9"/>
  <c r="O10" i="10"/>
  <c r="O10" i="9"/>
  <c r="V23" i="10"/>
  <c r="V23" i="9"/>
  <c r="R27" i="10"/>
  <c r="R27" i="9"/>
  <c r="M34" i="10"/>
  <c r="M34" i="9"/>
  <c r="AF20" i="10"/>
  <c r="AF20" i="9"/>
  <c r="Q18" i="9"/>
  <c r="Q18" i="10"/>
  <c r="AH32" i="10"/>
  <c r="AH32" i="9"/>
  <c r="L27" i="10"/>
  <c r="L27" i="9"/>
  <c r="D30" i="10"/>
  <c r="D30" i="9"/>
  <c r="M16" i="10"/>
  <c r="M16" i="9"/>
  <c r="U15" i="10"/>
  <c r="U15" i="9"/>
  <c r="V26" i="9"/>
  <c r="V26" i="10"/>
  <c r="K29" i="10"/>
  <c r="K29" i="9"/>
  <c r="W15" i="9"/>
  <c r="W15" i="10"/>
  <c r="K16" i="10"/>
  <c r="K16" i="9"/>
  <c r="R15" i="10"/>
  <c r="R15" i="9"/>
  <c r="U19" i="10"/>
  <c r="U19" i="9"/>
  <c r="H21" i="9"/>
  <c r="H21" i="10"/>
  <c r="J34" i="10"/>
  <c r="J34" i="9"/>
  <c r="R11" i="9"/>
  <c r="R11" i="10"/>
  <c r="T28" i="10"/>
  <c r="T28" i="9"/>
  <c r="L20" i="10"/>
  <c r="L20" i="9"/>
  <c r="M22" i="10"/>
  <c r="M22" i="9"/>
  <c r="G29" i="10"/>
  <c r="G29" i="9"/>
  <c r="W12" i="10"/>
  <c r="W12" i="9"/>
  <c r="P30" i="10"/>
  <c r="P30" i="9"/>
  <c r="L15" i="10"/>
  <c r="L15" i="9"/>
  <c r="L13" i="10"/>
  <c r="L13" i="9"/>
  <c r="Q21" i="10"/>
  <c r="Q21" i="9"/>
  <c r="AG4" i="9"/>
  <c r="AG4" i="10"/>
  <c r="D31" i="10"/>
  <c r="D31" i="9"/>
  <c r="J15" i="10"/>
  <c r="J15" i="9"/>
  <c r="T32" i="9"/>
  <c r="T32" i="10"/>
  <c r="AA22" i="10"/>
  <c r="AA22" i="9"/>
  <c r="K6" i="10"/>
  <c r="K6" i="9"/>
  <c r="AF28" i="10"/>
  <c r="AF28" i="9"/>
  <c r="F13" i="10"/>
  <c r="F13" i="9"/>
  <c r="O34" i="10"/>
  <c r="O34" i="9"/>
  <c r="AE17" i="10"/>
  <c r="AE17" i="9"/>
  <c r="AD18" i="10"/>
  <c r="AD18" i="9"/>
  <c r="D24" i="10"/>
  <c r="D24" i="9"/>
  <c r="AD6" i="10"/>
  <c r="AD6" i="9"/>
  <c r="AE30" i="10"/>
  <c r="AE30" i="9"/>
  <c r="E15" i="10"/>
  <c r="E15" i="9"/>
  <c r="AD9" i="10"/>
  <c r="AD9" i="9"/>
  <c r="AF21" i="10"/>
  <c r="AF21" i="9"/>
  <c r="AB6" i="10"/>
  <c r="AB6" i="9"/>
  <c r="S31" i="10"/>
  <c r="S31" i="9"/>
  <c r="M14" i="9"/>
  <c r="M14" i="10"/>
  <c r="D15" i="12" l="1"/>
  <c r="E14" i="12"/>
  <c r="E16" i="12"/>
  <c r="E20" i="12"/>
  <c r="D13" i="12"/>
  <c r="E15" i="12"/>
  <c r="E19" i="12"/>
  <c r="D14" i="12"/>
  <c r="F14" i="12" s="1"/>
  <c r="D12" i="12"/>
  <c r="D9" i="12"/>
  <c r="D18" i="12"/>
  <c r="D16" i="12"/>
  <c r="E17" i="12"/>
  <c r="E18" i="12"/>
  <c r="D20" i="12"/>
  <c r="E13" i="12"/>
  <c r="E21" i="12"/>
  <c r="D21" i="12"/>
  <c r="D17" i="12"/>
  <c r="D19" i="12"/>
  <c r="F17" i="12" l="1"/>
  <c r="E10" i="12"/>
  <c r="E9" i="12"/>
  <c r="F9" i="12" s="1"/>
  <c r="D11" i="12"/>
  <c r="E11" i="12"/>
  <c r="E12" i="12"/>
  <c r="D10" i="12"/>
  <c r="F10" i="12" s="1"/>
  <c r="F16" i="12"/>
  <c r="F19" i="12"/>
  <c r="F20" i="12"/>
  <c r="F21" i="12"/>
  <c r="F18" i="12"/>
  <c r="F13" i="12"/>
  <c r="F15" i="12"/>
  <c r="F11" i="12" l="1"/>
  <c r="F12" i="12"/>
  <c r="F35" i="12"/>
  <c r="G8" i="12" l="1"/>
  <c r="G7" i="12"/>
  <c r="G5" i="12"/>
  <c r="G4" i="12"/>
  <c r="G6" i="12"/>
  <c r="G28" i="12"/>
  <c r="G23" i="12"/>
  <c r="G22" i="12"/>
  <c r="G27" i="12"/>
  <c r="G24" i="12"/>
  <c r="G26" i="12"/>
  <c r="G25" i="12"/>
  <c r="G30" i="12"/>
  <c r="G29" i="12"/>
  <c r="G32" i="12"/>
  <c r="G31" i="12"/>
  <c r="G34" i="12"/>
  <c r="G33" i="12"/>
  <c r="G11" i="12"/>
  <c r="G21" i="12"/>
  <c r="G18" i="12"/>
  <c r="G20" i="12"/>
  <c r="G19" i="12"/>
  <c r="G14" i="12"/>
  <c r="G16" i="12"/>
  <c r="G12" i="12"/>
  <c r="G17" i="12"/>
  <c r="G10" i="12"/>
  <c r="G9" i="12"/>
  <c r="G15" i="12"/>
  <c r="G13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Francisco Sarti Fernandez</author>
  </authors>
  <commentList>
    <comment ref="H3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ON / OFF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<sst xmlns="http://schemas.openxmlformats.org/spreadsheetml/2006/main" count="2016" uniqueCount="533">
  <si>
    <t>TIPOS DE NODO</t>
  </si>
  <si>
    <t>Tipo</t>
  </si>
  <si>
    <t>Descripción</t>
  </si>
  <si>
    <t>Capa</t>
  </si>
  <si>
    <t>Notas</t>
  </si>
  <si>
    <t>O</t>
  </si>
  <si>
    <t>Origen</t>
  </si>
  <si>
    <t>Fuente primaria de generación, captación o disponibilidad inicial de valor económico dentro del circuito financiero analizado. Incluye tanto fuentes lícitas como ilícitas, coercitivas, comerciales, extractivas o digitales.</t>
  </si>
  <si>
    <t>C</t>
  </si>
  <si>
    <t>Colector</t>
  </si>
  <si>
    <t>Actor, entidad o estructura que recibe, concentra o agrega fondos procedentes de uno o varios nodos de origen, actuando como primer punto de acumulación financiera antes de su transferencia, conversión o redistribución.</t>
  </si>
  <si>
    <t>I</t>
  </si>
  <si>
    <t>Intermediario</t>
  </si>
  <si>
    <t>Actor, entidad, infraestructura o mecanismo utilizado para facilitar el movimiento, transmisión, conversión, ocultación o tránsito del valor entre nodos.</t>
  </si>
  <si>
    <t>G</t>
  </si>
  <si>
    <t>Gestor</t>
  </si>
  <si>
    <t>Agente o estructura responsable de la administración, custodia, asignación, redistribución o movilización estratégica de los fondos dentro de la red.</t>
  </si>
  <si>
    <t>D</t>
  </si>
  <si>
    <t>Destino</t>
  </si>
  <si>
    <t>Receptor último o ámbito operativo en el que los fondos son utilizados, consumidos o materializados.</t>
  </si>
  <si>
    <t>Sirve para controlar en que "columna" del grafo se pintan este tipo de nodos</t>
  </si>
  <si>
    <t>NODOS</t>
  </si>
  <si>
    <t>NodoID</t>
  </si>
  <si>
    <t>Nombre</t>
  </si>
  <si>
    <t>Activo</t>
  </si>
  <si>
    <t>O1</t>
  </si>
  <si>
    <t>Recursos personales lícitos</t>
  </si>
  <si>
    <t>O2</t>
  </si>
  <si>
    <t>Donaciones y apoyo individual / comunitario</t>
  </si>
  <si>
    <t>O3</t>
  </si>
  <si>
    <t>Actividad comercial y empresarial</t>
  </si>
  <si>
    <t>O4</t>
  </si>
  <si>
    <t>Financiación mediante coerción y exacción</t>
  </si>
  <si>
    <t>O5</t>
  </si>
  <si>
    <t>Explotación de personas y movilidad forzada</t>
  </si>
  <si>
    <t>O6</t>
  </si>
  <si>
    <t>Actividades criminales y mercados ilícitos</t>
  </si>
  <si>
    <t>O7</t>
  </si>
  <si>
    <t>Explotación de recursos naturales</t>
  </si>
  <si>
    <t>O8</t>
  </si>
  <si>
    <t>Valor digital</t>
  </si>
  <si>
    <t>C1</t>
  </si>
  <si>
    <t>Recaudación directa</t>
  </si>
  <si>
    <t>C2</t>
  </si>
  <si>
    <t>Agregadores de fondos</t>
  </si>
  <si>
    <t>C3</t>
  </si>
  <si>
    <t>Estructuras organizadas de captación</t>
  </si>
  <si>
    <t>C4</t>
  </si>
  <si>
    <t>Colectores digitales instrumentales</t>
  </si>
  <si>
    <t>C5</t>
  </si>
  <si>
    <t>Colectores empresariales y vehiculares</t>
  </si>
  <si>
    <t>C6</t>
  </si>
  <si>
    <t>Colectores instrumentales / de ocultación</t>
  </si>
  <si>
    <t>I1</t>
  </si>
  <si>
    <t>Intermediarios físicos de transporte de valor</t>
  </si>
  <si>
    <t>I2</t>
  </si>
  <si>
    <t>Intermediarios informales y paralelos</t>
  </si>
  <si>
    <t>I3</t>
  </si>
  <si>
    <t>Intermediarios MVTS y remesas</t>
  </si>
  <si>
    <t>I4</t>
  </si>
  <si>
    <t>Intermediarios de dinero móvil</t>
  </si>
  <si>
    <t>I5</t>
  </si>
  <si>
    <t>Intermediarios bancarios formales</t>
  </si>
  <si>
    <t>I6</t>
  </si>
  <si>
    <t>Intermediarios de pago digital (PSP /FinTech)</t>
  </si>
  <si>
    <t>I7</t>
  </si>
  <si>
    <t>Intermediarios de activos virtuales y conversión</t>
  </si>
  <si>
    <t>I8</t>
  </si>
  <si>
    <t>Intermediarios comerciales y transaccionales</t>
  </si>
  <si>
    <t>I9</t>
  </si>
  <si>
    <t>Intermediarios logísticos del contrabando</t>
  </si>
  <si>
    <t>I10</t>
  </si>
  <si>
    <t>Intermediarios financeros especializados</t>
  </si>
  <si>
    <t>I11</t>
  </si>
  <si>
    <t>Intermediarios operativos y de cobertura</t>
  </si>
  <si>
    <t>I12</t>
  </si>
  <si>
    <t>Intermediarios de negociación y rescate</t>
  </si>
  <si>
    <t>G1</t>
  </si>
  <si>
    <t>Dirección financiera</t>
  </si>
  <si>
    <t>G2</t>
  </si>
  <si>
    <t>Gestión operativa descentralizada</t>
  </si>
  <si>
    <t>G3</t>
  </si>
  <si>
    <t>Custodia y conversión</t>
  </si>
  <si>
    <t>G4</t>
  </si>
  <si>
    <t>Coordinación de la red y soporte estratégico</t>
  </si>
  <si>
    <t>D1</t>
  </si>
  <si>
    <t>Destino operativo final</t>
  </si>
  <si>
    <t>COSTE</t>
  </si>
  <si>
    <t>PROPIEDADES</t>
  </si>
  <si>
    <t>Valor</t>
  </si>
  <si>
    <t>Peso</t>
  </si>
  <si>
    <t>Frecuencia de Uso</t>
  </si>
  <si>
    <t>Opacidad</t>
  </si>
  <si>
    <t>Trazabilidad</t>
  </si>
  <si>
    <t>Velocidad</t>
  </si>
  <si>
    <t>Escalabilidad</t>
  </si>
  <si>
    <t>Bajo</t>
  </si>
  <si>
    <t>Bajo-Medio</t>
  </si>
  <si>
    <t>Medio</t>
  </si>
  <si>
    <t>Medio-Alto</t>
  </si>
  <si>
    <t>Alto</t>
  </si>
  <si>
    <t>Rango del Enlace</t>
  </si>
  <si>
    <t>Coste</t>
  </si>
  <si>
    <t>Total</t>
  </si>
  <si>
    <t>Mínimo posible</t>
  </si>
  <si>
    <t>Máximo posible</t>
  </si>
  <si>
    <t>PROPIEDADES DE LOS CANALES</t>
  </si>
  <si>
    <t>CANALES</t>
  </si>
  <si>
    <t>Variable</t>
  </si>
  <si>
    <t>Definición recomendada</t>
  </si>
  <si>
    <t>Canal</t>
  </si>
  <si>
    <t>Explicación opacidad</t>
  </si>
  <si>
    <t>Explicación trazabilidad</t>
  </si>
  <si>
    <t>Explicación coste</t>
  </si>
  <si>
    <t>Explicación velocidad</t>
  </si>
  <si>
    <t>Explicación escalabilidad</t>
  </si>
  <si>
    <t>Recursos económicos necesarios para realizar la transferencia</t>
  </si>
  <si>
    <t>Dinero móvil P2P</t>
  </si>
  <si>
    <t>medio-alto</t>
  </si>
  <si>
    <t>bajo</t>
  </si>
  <si>
    <t>medio</t>
  </si>
  <si>
    <t>alto</t>
  </si>
  <si>
    <t>Puede ocultar parcialmente identidad real mediante cuentas múltiples, agentes y SIM mal controladas.</t>
  </si>
  <si>
    <t>Deja rastro en el operador y en la cuenta móvil, pero menos limpio que la banca formal.</t>
  </si>
  <si>
    <t>Las comisiones suelen ser bajas frente a banca o canales físicos complejos.</t>
  </si>
  <si>
    <t>La transferencia y disponibilidad para el receptor suelen ser casi inmediatas.</t>
  </si>
  <si>
    <t>Permite muchas operaciones pequeñas y reparto masivo a múltiples receptores.</t>
  </si>
  <si>
    <t>Rapidez y facilidad operativa de la transferencia</t>
  </si>
  <si>
    <t>Cuenta de depósito</t>
  </si>
  <si>
    <t>bajo-medio</t>
  </si>
  <si>
    <t>La cuenta puede estar a nombre de tercero o sociedad, pero el canal formal limita la opacidad.</t>
  </si>
  <si>
    <t>Genera registros bancarios estables, consultables y conectables con otras operaciones.</t>
  </si>
  <si>
    <t>Mantener o usar una cuenta suele tener costes reducidos frente a canales clandestinos complejos.</t>
  </si>
  <si>
    <t>Sirve bien para almacenar, pero no siempre para mover valor con inmediatez total.</t>
  </si>
  <si>
    <t>Puede soportar múltiples ingresos, salidas y acumulación de fondos.</t>
  </si>
  <si>
    <t>Probabilidad de detección o trazabilidad</t>
  </si>
  <si>
    <t>Transferencia bancaria</t>
  </si>
  <si>
    <t>Identifica titulares, contrapartes, importes y fechas con poca capacidad de ocultación intrínseca.</t>
  </si>
  <si>
    <t>Es uno de los canales con mayor rastro documental y mejores puntos de detección.</t>
  </si>
  <si>
    <t>Puede implicar comisiones, pero no suele ser un canal caro en términos relativos.</t>
  </si>
  <si>
    <t>Suele ser bastante rápida, aunque depende de jurisdicción, banco y controles.</t>
  </si>
  <si>
    <t>Puede mover bastantes operaciones, aunque es menos flexible que canales opacos para FT.</t>
  </si>
  <si>
    <t>Volumen de fondos que puede transferirse</t>
  </si>
  <si>
    <t>Pago con tarjeta de crédito o débito</t>
  </si>
  <si>
    <t>Puede usarse con terceros o cuentas ajenas, pero la tarjeta vincula bastante el pago al emisor.</t>
  </si>
  <si>
    <t>Deja rastro en emisor, adquirente, comercio y fecha de compra.</t>
  </si>
  <si>
    <t>El uso unitario no suele ser caro, pero puede acarrear comisiones o costes financieros indirectos.</t>
  </si>
  <si>
    <t>Permite pagar de forma inmediata en comercio físico u online.</t>
  </si>
  <si>
    <t>Es útil para compras concretas, no tanto para redes amplias de transferencia.</t>
  </si>
  <si>
    <t>Capacidad del canal para seguir operando ante interrupciones</t>
  </si>
  <si>
    <t>Préstamo bancario</t>
  </si>
  <si>
    <t>El producto exige identificación y documentación, por lo que oculta poco por sí mismo.</t>
  </si>
  <si>
    <t>Deja expediente contractual, movimientos de disposición y repago.</t>
  </si>
  <si>
    <t>El coste relativo no es extremo, pero puede incorporar intereses y comisiones.</t>
  </si>
  <si>
    <t>La liquidez no siempre es instantánea porque requiere aprobación y formalización.</t>
  </si>
  <si>
    <t>Sirve para financiar necesidades puntuales, pero no es un canal muy flexible ni repetible.</t>
  </si>
  <si>
    <t>Efectivo</t>
  </si>
  <si>
    <t>No deja registro financiero automático y oculta bien origen, destino y propósito si no hay incautación.</t>
  </si>
  <si>
    <t>Fuera de controles físicos, su seguimiento es difícil y discontinuo.</t>
  </si>
  <si>
    <t>No requiere comisiones financieras formales y es barato de usar directamente.</t>
  </si>
  <si>
    <t>El valor pasa de mano en mano de forma inmediata.</t>
  </si>
  <si>
    <t>Puede emplearse en multitud de pagos, cobros y acumulaciones locales.</t>
  </si>
  <si>
    <t>Hawala HOSSP</t>
  </si>
  <si>
    <t>La red informal oculta mejor emisor, receptor real y justificación del flujo.</t>
  </si>
  <si>
    <t>La trazabilidad cae porque gran parte del movimiento ocurre fuera de canales regulados.</t>
  </si>
  <si>
    <t>El informe destaca que suele ser más barato que sistemas formales.</t>
  </si>
  <si>
    <t>El informe destaca que suele ser muy rápido frente a sistemas formales.</t>
  </si>
  <si>
    <t>Puede operar de forma transfronteriza y repetida mediante redes extensas.</t>
  </si>
  <si>
    <t>Transferencia mediada por VASP</t>
  </si>
  <si>
    <t>El uso de VASP reduce opacidad respecto a cripto puramente P2P porque introduce un intermediario identificable.</t>
  </si>
  <si>
    <t>La trazabilidad sube por registros del proveedor y análisis blockchain en puntos de contacto.</t>
  </si>
  <si>
    <t>Las comisiones suelen ser moderadas, mayores que wallet a wallet pero menores que circuitos físicos complejos.</t>
  </si>
  <si>
    <t>La transferencia suele ejecutarse con rapidez elevada.</t>
  </si>
  <si>
    <t>Puede soportar muchos flujos internacionales y conversiones recurrentes.</t>
  </si>
  <si>
    <t>Transferencia entre wallets</t>
  </si>
  <si>
    <t>La identidad real puede quedar oculta tras direcciones, aunque no desaparece el rastro on-chain.</t>
  </si>
  <si>
    <t>La cadena permite seguir movimientos, pero no siempre atribuirlos fácilmente.</t>
  </si>
  <si>
    <t>Las comisiones pueden ser bajas en muchas redes o configuraciones.</t>
  </si>
  <si>
    <t>El movimiento entre wallets suele ser muy rápido.</t>
  </si>
  <si>
    <t>Escala bien para múltiples receptores y operaciones repetidas.</t>
  </si>
  <si>
    <t>QR o direcciones de pago publicadas</t>
  </si>
  <si>
    <t>Publicar la dirección facilita el cobro, pero reduce parte de la opacidad al exponer el punto de entrada.</t>
  </si>
  <si>
    <t>El rastro depende del canal al que apunte el QR, pero el punto de recepción queda identificado.</t>
  </si>
  <si>
    <t>Emitir y usar un QR o dirección publicada es muy barato.</t>
  </si>
  <si>
    <t>La activación del pago por el donante es inmediata.</t>
  </si>
  <si>
    <t>Puede recibir muchas aportaciones simultáneas o recurrentes.</t>
  </si>
  <si>
    <t>Micropagos y pagos recurrentes</t>
  </si>
  <si>
    <t>Cada pago individual puede mezclarse con actividad ordinaria y reducir la visibilidad del patrón total.</t>
  </si>
  <si>
    <t>Los importes pequeños y repetidos suelen ser más difíciles de priorizar analíticamente.</t>
  </si>
  <si>
    <t>Las aportaciones unitarias y su procesamiento suelen ser baratos.</t>
  </si>
  <si>
    <t>El esquema de cobro recurrente o micropago funciona con mucha rapidez.</t>
  </si>
  <si>
    <t>Escala bien porque agrega gran cantidad de aportaciones pequeñas.</t>
  </si>
  <si>
    <t>Donación integrada en plataforma social</t>
  </si>
  <si>
    <t>La plataforma puede conocer al usuario, pero el flujo queda embebido en un entorno social menos transparente externamente.</t>
  </si>
  <si>
    <t>Existe rastro en la plataforma y el procesador, aunque no siempre en un circuito bancario visible para terceros.</t>
  </si>
  <si>
    <t>Las funciones nativas de donación suelen ser baratas en términos operativos.</t>
  </si>
  <si>
    <t>El pago dentro de la propia plataforma es muy rápido.</t>
  </si>
  <si>
    <t>Es muy escalable cuando existe audiencia amplia y pagos integrados.</t>
  </si>
  <si>
    <t>Ingresos publicitarios y monetización social</t>
  </si>
  <si>
    <t>El pago depende de cuentas monetizadas, pero la relación entre audiencia y beneficiario puede quedar parcialmente difusa.</t>
  </si>
  <si>
    <t>La plataforma conserva métricas y pagos, por lo que no es un canal opaco extremo.</t>
  </si>
  <si>
    <t>No exige gran coste directo de transferencia, aunque sí coste de generación de audiencia.</t>
  </si>
  <si>
    <t>Requiere acumular visitas o engagement antes del cobro final.</t>
  </si>
  <si>
    <t>Puede crecer bastante si el canal social gana alcance, pero no es instantáneo.</t>
  </si>
  <si>
    <t>Moneda virtual nativa de plataforma</t>
  </si>
  <si>
    <t>Añade una capa de valor interno antes de la conversión final, lo que incrementa cierta opacidad.</t>
  </si>
  <si>
    <t>Suele dejar rastro dentro de la plataforma, aunque más fragmentado que un pago bancario directo.</t>
  </si>
  <si>
    <t>Puede haber comisiones o pérdidas de conversión entre valor nativo y dinero utilizable.</t>
  </si>
  <si>
    <t>El envío interno suele ser rápido.</t>
  </si>
  <si>
    <t>Su escala depende de la plataforma concreta y de la posibilidad de convertir el saldo.</t>
  </si>
  <si>
    <t>Crowdfunding basado en donaciones</t>
  </si>
  <si>
    <t>El origen individual puede difuminarse entre muchos donantes, pero la campaña y la cuenta receptora quedan visibles.</t>
  </si>
  <si>
    <t>La plataforma agrega información suficiente para seguir el flujo agregado.</t>
  </si>
  <si>
    <t>El mecanismo de campaña suele ser barato frente a alternativas físicas o clandestinas complejas.</t>
  </si>
  <si>
    <t>La captación y recepción de fondos son rápidas una vez lanzada la campaña.</t>
  </si>
  <si>
    <t>Está diseñado precisamente para agregar muchas contribuciones.</t>
  </si>
  <si>
    <t>Crowdfunding híbrido</t>
  </si>
  <si>
    <t>Al combinar plataforma, redes sociales, mensajería, AV o hawala, el flujo se vuelve más opaco que el crowdfunding simple.</t>
  </si>
  <si>
    <t>El rastro se fragmenta entre varias capas y reduce la lectura lineal del flujo.</t>
  </si>
  <si>
    <t>Mantiene costes bajos aunque añada algunas capas de salida o conversión.</t>
  </si>
  <si>
    <t>La captación sigue siendo rápida y la dispersión también puede serlo.</t>
  </si>
  <si>
    <t>Escala muy bien por su capacidad de combinar audiencias y salidas múltiples.</t>
  </si>
  <si>
    <t>Pago online directo PSP</t>
  </si>
  <si>
    <t>Puede usar seudónimos o cuentas falsas, pero no elimina del todo la identificación del pago.</t>
  </si>
  <si>
    <t>Deja rastro en el PSP y normalmente más que el efectivo, menos que la banca clásica.</t>
  </si>
  <si>
    <t>El informe lo presenta como canal de bajo coste.</t>
  </si>
  <si>
    <t>El informe lo presenta como canal rápido.</t>
  </si>
  <si>
    <t>Admite muchas transacciones pequeñas y frecuentes.</t>
  </si>
  <si>
    <t>Instrumentos AV físicos o semivirtuales</t>
  </si>
  <si>
    <t>Cupones, bonos o cajeros AV añaden una capa intermedia, pero no ocultan completamente el flujo.</t>
  </si>
  <si>
    <t>Suele quedar rastro en compra, canje o conversión, aunque menos continuo que en banca pura.</t>
  </si>
  <si>
    <t>Pueden incorporar comisiones de compra, canje o conversión adicionales.</t>
  </si>
  <si>
    <t>Funcionan con rapidez como mecanismo de acceso al ecosistema AV.</t>
  </si>
  <si>
    <t>Su escala depende de puntos de emisión, canje y posterior conversión.</t>
  </si>
  <si>
    <t>MVTS clásico</t>
  </si>
  <si>
    <t>Puede ocultar parcialmente al beneficiario real si se usan terceros o controles débiles, pero no es plenamente opaco.</t>
  </si>
  <si>
    <t>La trazabilidad depende mucho del cumplimiento del proveedor y de la calidad del registro.</t>
  </si>
  <si>
    <t>Suele ser relativamente barato, aunque no tanto como hawala puro en muchos contextos.</t>
  </si>
  <si>
    <t>Está pensado para transferir valor con rapidez.</t>
  </si>
  <si>
    <t>Escala bien en contextos transfronterizos y redes amplias de usuarios.</t>
  </si>
  <si>
    <t>Banca digital / neobanco / IBAN virtual</t>
  </si>
  <si>
    <t>La contratación remota y estructuras digitales pueden añadir algo de opacidad operativa, pero siguen siendo canales formales.</t>
  </si>
  <si>
    <t>Los datos quedan estructurados y más explotables analíticamente que en canales informales.</t>
  </si>
  <si>
    <t>Suelen ser baratos en costes de acceso y operación.</t>
  </si>
  <si>
    <t>La apertura y uso pueden ser muy rápidos.</t>
  </si>
  <si>
    <t>Su infraestructura digital facilita operar a escala.</t>
  </si>
  <si>
    <t>Dinero móvil como recaudación coercitiva</t>
  </si>
  <si>
    <t>El uso de múltiples cuentas, agentes o identidades falsas eleva la opacidad respecto al cobro presencial simple.</t>
  </si>
  <si>
    <t>El operador conserva rastro, pero la fragmentación complica la lectura del flujo total.</t>
  </si>
  <si>
    <t>Cobrar por dinero móvil suele ser barato.</t>
  </si>
  <si>
    <t>Permite cobrar y redistribuir con mucha rapidez.</t>
  </si>
  <si>
    <t>Es repetible sobre grandes bases de población, comercios o rutas.</t>
  </si>
  <si>
    <t>E-wallet o cuenta de pago</t>
  </si>
  <si>
    <t>Puede interponer una capa entre el usuario y la banca, pero no borra la identidad ni la cuenta.</t>
  </si>
  <si>
    <t>La wallet o cuenta de pago conserva registros relevantes del flujo.</t>
  </si>
  <si>
    <t>El uso suele ser barato para importes pequeños y medios.</t>
  </si>
  <si>
    <t>La disponibilidad y envío suelen ser rápidos.</t>
  </si>
  <si>
    <t>Puede soportar gran volumen de pequeñas operaciones.</t>
  </si>
  <si>
    <t>Ofuscación AV</t>
  </si>
  <si>
    <t>Su propia función es ocultar relación entre origen, destino y titular mediante mixers, DEX, saltos y direcciones temporales.</t>
  </si>
  <si>
    <t>Reduce mucho la continuidad observable del flujo y dificulta reconstruirlo.</t>
  </si>
  <si>
    <t>Añade comisiones, swaps o transacciones extra frente a un envío simple.</t>
  </si>
  <si>
    <t>Sigue siendo relativamente rápida pese a añadir pasos técnicos.</t>
  </si>
  <si>
    <t>Puede aplicarse de forma repetida a muchos flujos y combinaciones de AV.</t>
  </si>
  <si>
    <t>Dinero móvil híbrido</t>
  </si>
  <si>
    <t>Al combinarse con banca, hawala u otras capas, aumenta opacidad frente al dinero móvil simple.</t>
  </si>
  <si>
    <t>El rastro se fragmenta entre varias infraestructuras y complica el seguimiento.</t>
  </si>
  <si>
    <t>Mantiene costes bajos pese a la combinación de canales.</t>
  </si>
  <si>
    <t>Sigue siendo muy rápido en la ejecución operativa.</t>
  </si>
  <si>
    <t>Escala bien al servir de puente entre sistemas locales e internacionales.</t>
  </si>
  <si>
    <t>Conversión fiat-av y viceversa</t>
  </si>
  <si>
    <t>Puede haber terceros o estructuras informales, pero la conversión suele ser menos opaca que la circulación interna en AV.</t>
  </si>
  <si>
    <t>Es uno de los puntos donde más rastro aparece por VASP, exchange, cajero o cuenta bancaria.</t>
  </si>
  <si>
    <t>Suele incorporar comisiones y spreads de conversión.</t>
  </si>
  <si>
    <t>Normalmente es rápida, aunque a veces requiere validaciones o contrapartes.</t>
  </si>
  <si>
    <t>Es un punto repetible y central para muchos flujos AV.</t>
  </si>
  <si>
    <t>MVTS fragmentado</t>
  </si>
  <si>
    <t>La fragmentación en pequeños importes y receptores rotatorios eleva opacidad frente al MVTS simple.</t>
  </si>
  <si>
    <t>El rastro existe, pero el patrón se dispersa y puede resultar menos evidente.</t>
  </si>
  <si>
    <t>Mantiene costes contenidos aunque haya más operaciones.</t>
  </si>
  <si>
    <t>Sigue siendo rápido por diseño.</t>
  </si>
  <si>
    <t>Puede ampliarse mucho a base de múltiples pagos pequeños.</t>
  </si>
  <si>
    <t>MVTS híbrido</t>
  </si>
  <si>
    <t>Combinar MVTS con efectivo, banca, PSP o AV aumenta capas y complica atribución.</t>
  </si>
  <si>
    <t>La trazabilidad se reparte entre varios puntos y pierde linealidad.</t>
  </si>
  <si>
    <t>Conserva costes relativamente bajos frente a circuitos más pesados.</t>
  </si>
  <si>
    <t>La parte MVTS mantiene rapidez elevada.</t>
  </si>
  <si>
    <t>Soporta bien operaciones repetidas y transfronterizas.</t>
  </si>
  <si>
    <t>Paypal y equivalentes</t>
  </si>
  <si>
    <t>Pueden operar con cuentas de terceros, seudónimos o identidades débiles, pero no son canales altamente opacos.</t>
  </si>
  <si>
    <t>El proveedor conserva rastro y puede colaborar con detección, aunque menos que un banco clásico en algunos contextos.</t>
  </si>
  <si>
    <t>Suele ser barato para pagos rápidos y pequeños.</t>
  </si>
  <si>
    <t>Es muy rápido para pagar y recibir en línea.</t>
  </si>
  <si>
    <t>Puede soportar muchas operaciones digitales de pequeño importe.</t>
  </si>
  <si>
    <t>Sistema bancario clandestino o paralelo</t>
  </si>
  <si>
    <t>Opera precisamente al margen del sistema regulado y oculta mejor a los intervinientes.</t>
  </si>
  <si>
    <t>Deja poco rastro institucional verificable fuera de la propia red informal.</t>
  </si>
  <si>
    <t>Puede ser relativamente barato, aunque depende de la red y del riesgo.</t>
  </si>
  <si>
    <t>Suele ser más rápido que la banca formal, aunque no siempre tanto como un pago móvil directo.</t>
  </si>
  <si>
    <t>Su escala depende del tamaño y confianza de la red clandestina.</t>
  </si>
  <si>
    <t>Stablecoins y monedas de privacidad</t>
  </si>
  <si>
    <t>Las stablecoins reducen fricción y las privacy coins elevan la ocultación de identidad y trazas útiles.</t>
  </si>
  <si>
    <t>Parte del movimiento puede seguirse, pero privacy coins o estructuras opacas reducen trazabilidad.</t>
  </si>
  <si>
    <t>El coste suele ser bajo frente a otros canales transfronterizos.</t>
  </si>
  <si>
    <t>La transferencia suele ser rápida.</t>
  </si>
  <si>
    <t>Sirven bien para pagos repetidos e internacionales.</t>
  </si>
  <si>
    <t>Retirada de efectivo desde cuenta, tarjeta o MVTS</t>
  </si>
  <si>
    <t>Convierte un canal registrable en efectivo, aumentando opacidad posterior pero no borrando el rastro de origen.</t>
  </si>
  <si>
    <t>Queda rastro en cajero, agente o punto de retirada, aunque el efectivo posterior sea más opaco.</t>
  </si>
  <si>
    <t>Suele implicar comisiones o costes de retiro y desplazamiento.</t>
  </si>
  <si>
    <t>La disponibilidad del efectivo suele ser rápida una vez autorizado el retiro.</t>
  </si>
  <si>
    <t>Puede repetirse bastante, aunque depende de topes y red de retiro.</t>
  </si>
  <si>
    <t>Pago de rescate</t>
  </si>
  <si>
    <t>Suele preferir canales discretos y negociados, con fuerte interés en ocultar pagador y receptor real.</t>
  </si>
  <si>
    <t>Puede haber algo de rastro si intervienen terceros, bancos o AV, pero suele intentarse minimizar.</t>
  </si>
  <si>
    <t>El canal incorpora costes de negociación, seguridad y posibles intermediarios.</t>
  </si>
  <si>
    <t>La entrega efectiva suele retrasarse por negociación, prueba de vida y logística.</t>
  </si>
  <si>
    <t>Es un canal importante pero no fácilmente replicable a gran escala continua.</t>
  </si>
  <si>
    <t>Venta y reventa de personas</t>
  </si>
  <si>
    <t>La operación es criminal y clandestina, con fuerte ocultación de víctimas, intermediarios y pagos reales.</t>
  </si>
  <si>
    <t>Suele dejar poco rastro financiero formal y mucha información queda fuera de registros institucionales.</t>
  </si>
  <si>
    <t>Exige redes criminales, control físico y costes operativos no triviales.</t>
  </si>
  <si>
    <t>La monetización no siempre es inmediata porque depende de captación, traslado y comprador.</t>
  </si>
  <si>
    <t>Puede repetirse, pero depende mucho de control territorial y redes criminales específicas.</t>
  </si>
  <si>
    <t>Peajes y pagos sobre movilidad humana</t>
  </si>
  <si>
    <t>El cobro sobre rutas suele producirse fuera de marcos formales y con alta discrecionalidad del grupo controlador.</t>
  </si>
  <si>
    <t>Puede detectarse por inteligencia territorial, pero suele dejar poco rastro financiero normalizado.</t>
  </si>
  <si>
    <t>Es barato para el grupo porque captura renta sobre infraestructura o coerción ya controlada.</t>
  </si>
  <si>
    <t>El cobro ocurre a ritmo del tránsito y no siempre exige gran procesamiento posterior.</t>
  </si>
  <si>
    <t>Es muy repetible mientras se controle la ruta o el corredor.</t>
  </si>
  <si>
    <t>Contrabando marítimo</t>
  </si>
  <si>
    <t>Oculta mercancía, valor y contrapartes mediante rutas, puertos y documentación parcial o falsa.</t>
  </si>
  <si>
    <t>Existe riesgo de interdicción y trazas logísticas, pero menos rastro financiero limpio.</t>
  </si>
  <si>
    <t>Requiere embarcaciones, combustible, tripulación y coordinación, lo que eleva costes.</t>
  </si>
  <si>
    <t>Es más lento que pagos digitales o financieros.</t>
  </si>
  <si>
    <t>Puede mover bastante volumen, aunque depende de capacidad marítima y acceso costero.</t>
  </si>
  <si>
    <t>Contrabando terrestre</t>
  </si>
  <si>
    <t>Se apoya en rutas porosas, ocultación de cargas y control local, lo que favorece opacidad alta.</t>
  </si>
  <si>
    <t>Puede detectarse en frontera o por inteligencia, pero suele dejar poca huella financiera formal.</t>
  </si>
  <si>
    <t>Necesita transporte y protección, aunque con costes menores que muchas rutas marítimas.</t>
  </si>
  <si>
    <t>Su velocidad es intermedia por controles, trayectos y riesgos.</t>
  </si>
  <si>
    <t>Puede repetirse mucho si se controla el corredor.</t>
  </si>
  <si>
    <t>Contrabando de recurso</t>
  </si>
  <si>
    <t>El recurso sale de forma clandestina y puede mezclarse con comercio ilícito o gris.</t>
  </si>
  <si>
    <t>Puede haber trazas en transporte o mercado, pero el origen real del recurso se oscurece.</t>
  </si>
  <si>
    <t>Exige extracción, transporte y red de salida, con coste no bajo.</t>
  </si>
  <si>
    <t>El proceso completo no es inmediato porque requiere sacar y vender el recurso.</t>
  </si>
  <si>
    <t>Puede sostener flujos recurrentes y voluminosos.</t>
  </si>
  <si>
    <t>Mercados de salida</t>
  </si>
  <si>
    <t>La opacidad es intermedia porque monetiza bienes en espacios que pueden ser legales, grises o mixtos.</t>
  </si>
  <si>
    <t>Puede existir rastro comercial, pero no siempre identifica bien el origen ilícito del bien.</t>
  </si>
  <si>
    <t>Hay costes de intermediación comercial, transporte o descuento del bien.</t>
  </si>
  <si>
    <t>La monetización no es instantánea, depende de comprador y mercado.</t>
  </si>
  <si>
    <t>Permite absorber bastante volumen si hay demanda sostenida.</t>
  </si>
  <si>
    <t>Transporte comercial formal usado ilícitamente</t>
  </si>
  <si>
    <t>Usa estructuras formales que reducen opacidad extrema, aunque oculten el valor en actividad comercial ordinaria.</t>
  </si>
  <si>
    <t>La documentación logística aumenta el rastro potencial del flujo.</t>
  </si>
  <si>
    <t>El uso de infraestructura formal suele ser más costoso que alternativas informales simples.</t>
  </si>
  <si>
    <t>La velocidad depende de cadenas comerciales y tránsito físico.</t>
  </si>
  <si>
    <t>Puede mover mucho volumen precisamente por apoyarse en capacidad logística formal.</t>
  </si>
  <si>
    <t>Comercialización del recurso</t>
  </si>
  <si>
    <t>La venta del recurso puede pasar por comerciantes y mercados mixtos, con opacidad intermedia.</t>
  </si>
  <si>
    <t>Puede trazarse parte del circuito comercial, pero no siempre el origen coercitivo o ilícito del recurso.</t>
  </si>
  <si>
    <t>Hay costes de transporte, intermediación y descuento comercial.</t>
  </si>
  <si>
    <t>La monetización requiere colocar el recurso y cobrarlo.</t>
  </si>
  <si>
    <t>Si el recurso tiene mercado, el canal puede sostener ingresos amplios y recurrentes.</t>
  </si>
  <si>
    <t>Explotación directa del recurso</t>
  </si>
  <si>
    <t>No es un canal eminentemente opaco porque implica actividad material visible, aunque el control real pueda ocultarse.</t>
  </si>
  <si>
    <t>Puede detectarse por presencia territorial, extracción, transporte y comercialización posterior.</t>
  </si>
  <si>
    <t>Requiere recursos, mano de obra, protección y tiempo, elevando el coste.</t>
  </si>
  <si>
    <t>La monetización no es inmediata desde la extracción.</t>
  </si>
  <si>
    <t>Si el grupo controla el territorio, puede producir rentas elevadas y sostenidas.</t>
  </si>
  <si>
    <t>Tributación y extorsión sobre el recurso</t>
  </si>
  <si>
    <t>Oculta mejor la autoría final porque el grupo no necesita aparecer como explotador directo.</t>
  </si>
  <si>
    <t>Deja poco rastro formal y se apoya en coerción local más que en registros financieros.</t>
  </si>
  <si>
    <t>Es barato porque captura renta ajena sin asumir extracción completa.</t>
  </si>
  <si>
    <t>El cobro es recurrente pero depende del ciclo económico del recurso.</t>
  </si>
  <si>
    <t>Escala bien mientras exista actividad productiva sobre la que gravar.</t>
  </si>
  <si>
    <t>Recaudación coercitiva híbrida</t>
  </si>
  <si>
    <t>Al mezclar efectivo, dinero móvil y cuentas locales, gana opacidad frente a un solo medio de cobro.</t>
  </si>
  <si>
    <t>El rastro se reparte entre varios soportes y se complica su consolidación analítica.</t>
  </si>
  <si>
    <t>Es barato porque descansa en coacción y en canales de bajo coste.</t>
  </si>
  <si>
    <t>Permite cobrar y redistribuir con rapidez.</t>
  </si>
  <si>
    <t>Es muy repetible sobre población, empresas, rutas y mercados.</t>
  </si>
  <si>
    <t>Extorsión y fiscalidad coercitiva</t>
  </si>
  <si>
    <t>La coerción territorial permite captar valor con poca exposición al sistema formal.</t>
  </si>
  <si>
    <t>Puede conocerse por inteligencia local, pero suele dejar poca huella financiera estructurada.</t>
  </si>
  <si>
    <t>El grupo incurre en pocos costes financieros directos para cobrar.</t>
  </si>
  <si>
    <t>La captación no siempre es instantánea porque depende de ciclos de pago, rutas o actividad económica.</t>
  </si>
  <si>
    <t>Es una fuente muy escalable en contextos de control territorial.</t>
  </si>
  <si>
    <t>Venta digital de bienes</t>
  </si>
  <si>
    <t>Puede mezclarse con comercio ordinario, pero existen cuentas de vendedor, pagos y envíos observables.</t>
  </si>
  <si>
    <t>Hay rastro comercial y logístico suficiente para reconstruir parte del flujo.</t>
  </si>
  <si>
    <t>Las comisiones de marketplace y pago no suelen ser muy altas, pero existen.</t>
  </si>
  <si>
    <t>La monetización depende del tiempo de venta y del envío.</t>
  </si>
  <si>
    <t>Puede repetirse mucho, aunque depende de oferta, demanda y cuentas activas.</t>
  </si>
  <si>
    <t>Compra operativa por comercio electrónico</t>
  </si>
  <si>
    <t>Deja rastro de comprador, pago, pedido y entrega, aunque puede ocultarse con terceros.</t>
  </si>
  <si>
    <t>La combinación de pago y logística eleva bastante la trazabilidad.</t>
  </si>
  <si>
    <t>Comprar online no suele ser caro en términos de canal.</t>
  </si>
  <si>
    <t>La adquisición y recepción del pedido suelen ser relativamente rápidas.</t>
  </si>
  <si>
    <t>Es útil para compras puntuales, no tanto como canal masivo de transferencia.</t>
  </si>
  <si>
    <t>Transferencia de valor basada en comercio</t>
  </si>
  <si>
    <t>El valor se oculta en precios, facturación, reventa y circuitos comerciales, no en una simple transferencia.</t>
  </si>
  <si>
    <t>La trazabilidad baja porque el flujo monetario se disfraza de actividad mercantil normal.</t>
  </si>
  <si>
    <t>Tiene costes de logística, facturación y posible pérdida comercial.</t>
  </si>
  <si>
    <t>No es inmediato porque requiere compra, envío, reventa o compensación.</t>
  </si>
  <si>
    <t>Puede escalar mucho si hay red comercial cómplice.</t>
  </si>
  <si>
    <t>Tarjeta prepago recargable</t>
  </si>
  <si>
    <t>Puede cederse a terceros o cargarse indirectamente, pero suele requerir KYC y emisor identificable.</t>
  </si>
  <si>
    <t>Deja rastro en emisión, recarga, uso y retirada, aunque menos intuitivo que una transferencia bancaria simple.</t>
  </si>
  <si>
    <t>El informe destaca comisiones y costes relativamente altos.</t>
  </si>
  <si>
    <t>Permite pago o retirada con rapidez una vez cargada.</t>
  </si>
  <si>
    <t>La escala se ve limitada por topes y estructura del producto.</t>
  </si>
  <si>
    <t>Recarga por cupón o código</t>
  </si>
  <si>
    <t>El cupón añade una capa separada entre comprador y usuario final, elevando algo la opacidad.</t>
  </si>
  <si>
    <t>Puede rastrearse emisión o canje, pero no siempre la relación completa entre ambos extremos.</t>
  </si>
  <si>
    <t>Suele tener coste adicional de emisión o canje.</t>
  </si>
  <si>
    <t>La activación y transmisión del código pueden ser muy rápidas.</t>
  </si>
  <si>
    <t>No escala tanto como otros canales porque depende de cupones e instrumentos específicos.</t>
  </si>
  <si>
    <t>Cash out / prepago</t>
  </si>
  <si>
    <t>Una vez cargada la tarjeta, el retiro en efectivo separa al emisor del uso final, pero no lo oculta del todo.</t>
  </si>
  <si>
    <t>Queda rastro en cajero, fecha, tarjeta y punto de retirada.</t>
  </si>
  <si>
    <t>Las comisiones y límites vuelven este canal relativamente caro.</t>
  </si>
  <si>
    <t>Permite acceder al efectivo con rapidez.</t>
  </si>
  <si>
    <t>Su escala cae por topes de retirada y costes repetidos.</t>
  </si>
  <si>
    <t>Ocultamiento físico en mercancías o equipaje</t>
  </si>
  <si>
    <t>Oculta bien el valor frente a controles financieros, especialmente si se integra en cargas ordinarias.</t>
  </si>
  <si>
    <t>Puede detectarse por inspección o interdicción, pero no por mecanismos financieros normales.</t>
  </si>
  <si>
    <t>Añade complejidad logística y riesgo, encareciendo el canal.</t>
  </si>
  <si>
    <t>La velocidad depende del transporte físico y de los controles.</t>
  </si>
  <si>
    <t>La escala es limitada por volumen transportable y riesgo operativo.</t>
  </si>
  <si>
    <t>Transporte físico de efectivo</t>
  </si>
  <si>
    <t>El dinero no entra en sistemas formales y puede ocultarse bien durante el traslado.</t>
  </si>
  <si>
    <t>Puede detectarse en controles físicos, decomisos o vigilancia de rutas.</t>
  </si>
  <si>
    <t>Requiere mensajeros, protección y logística, por encima del efectivo entregado localmente.</t>
  </si>
  <si>
    <t>Es más lento que el pago directo o digital, pero no necesariamente lento en distancia corta.</t>
  </si>
  <si>
    <t>Puede mover importes relevantes, aunque depende de rutas y seguridad.</t>
  </si>
  <si>
    <t>Mensajería de efectivo</t>
  </si>
  <si>
    <t>Oculta razonablemente el flujo al mantenerse fuera de registros financieros formales.</t>
  </si>
  <si>
    <t>La trazabilidad existe si se intercepta al mensajero o se vigila la ruta, pero no mucho más.</t>
  </si>
  <si>
    <t>Implica coste humano y de seguridad para el portador.</t>
  </si>
  <si>
    <t>La velocidad depende del mensajero y del trayecto físico.</t>
  </si>
  <si>
    <t>Escala menos que otros canales porque depende intensamente de personas concretas.</t>
  </si>
  <si>
    <t>Microtransacciones de videojuegos</t>
  </si>
  <si>
    <t>El gran número de operaciones pequeñas puede diluirse en actividad lúdica ordinaria, aunque no genere opacidad extrema.</t>
  </si>
  <si>
    <t>La supervisión suele ser menor, pero la trazabilidad interna de la plataforma no desaparece.</t>
  </si>
  <si>
    <t>El informe señala comisiones o tasas elevadas y valor unitario limitado.</t>
  </si>
  <si>
    <t>Las operaciones se ejecutan rápidamente dentro del juego.</t>
  </si>
  <si>
    <t>El propio informe muestra dudas sobre su capacidad de escalar como canal principal.</t>
  </si>
  <si>
    <t>Transferencia de valor mediante bienes virtuales</t>
  </si>
  <si>
    <t>Ítems o bienes virtuales añaden una capa no financiera directa que oculta algo mejor el valor transferido.</t>
  </si>
  <si>
    <t>La plataforma puede registrar movimientos, pero externamente el valor puede ser menos visible.</t>
  </si>
  <si>
    <t>Suele haber costes de mercado interno, comisión o descuento del bien.</t>
  </si>
  <si>
    <t>La cesión o venta del bien virtual es rápida.</t>
  </si>
  <si>
    <t>Sigue estando limitada por tamaño del mercado y conversión posterior.</t>
  </si>
  <si>
    <t>Conversión del valor virtual de juegos</t>
  </si>
  <si>
    <t>La salida a dinero utilizable reduce opacidad porque exige pasar por payout, venta o canje.</t>
  </si>
  <si>
    <t>La conversión deja más puntos observables que la mera circulación interna del valor virtual.</t>
  </si>
  <si>
    <t>El informe subraya tasas elevadas y fricción de salida.</t>
  </si>
  <si>
    <t>No siempre es inmediata porque depende de mercados y mecanismos de cobro.</t>
  </si>
  <si>
    <t>La escala es baja por la fricción, el valor unitario y el escepticismo del informe.</t>
  </si>
  <si>
    <t>ENLACES ENTRE NODOS Y PROPIEDADES</t>
  </si>
  <si>
    <t>Enlace</t>
  </si>
  <si>
    <t>Nodo Inicial</t>
  </si>
  <si>
    <t>Detalle Nodos Iniciales</t>
  </si>
  <si>
    <t>Nodo Final</t>
  </si>
  <si>
    <t>Detalle Nodos Finales</t>
  </si>
  <si>
    <t>Frecuencia de Uso Relativa</t>
  </si>
  <si>
    <t>VALOR OPERATIVO</t>
  </si>
  <si>
    <t>Lista EdgeID (dinámica)</t>
  </si>
  <si>
    <t>Matriz de Adyacencia</t>
  </si>
  <si>
    <t>Nombre Nodo</t>
  </si>
  <si>
    <t>La matriz es dirigida y binaria: 1 = enlace activo, 0 = no enlace.</t>
  </si>
  <si>
    <t>La hoja ENLACES es la fuente de verdad de la red.</t>
  </si>
  <si>
    <t>Matriz Ponderada de Costes</t>
  </si>
  <si>
    <t>Matriz Ponderada de Valor Operativo</t>
  </si>
  <si>
    <t>Matriz TRADE-OFF Valor Operativo-Coste</t>
  </si>
  <si>
    <t>Nodo</t>
  </si>
  <si>
    <t>Grado Ponderado de Entrada</t>
  </si>
  <si>
    <t>Grado Ponderado de Salida</t>
  </si>
  <si>
    <t>Grado Ponderado Total</t>
  </si>
  <si>
    <t>Grado Normalizado</t>
  </si>
  <si>
    <t>Totales / Máximos / Mínimos</t>
  </si>
  <si>
    <t>Se obtiene sumando el grado ponderado de entrada y el de salida.
Refleja la relevancia estructural global del nodo dentro de la red, considerando tanto su capacidad de recibir como de proyectar conexiones eficientes.</t>
  </si>
  <si>
    <t>TRADE OFF VALOR OPERATIVO/COSTE</t>
  </si>
  <si>
    <t>Nodo Orig.\Dest.</t>
  </si>
  <si>
    <t>Mide la suma de los Trade.Off de todas las conexiones que llegan al nodo.
Un valor alto indica que el nodo actúa como receptor o punto de concentración de relaciones operativamente eficientes dentro de la red.</t>
  </si>
  <si>
    <t>Mide la suma de los Trade-Off de todas las conexiones que salen del nodo.
Un valor alto indica que el nodo actúa como emisor o distribuidor a través de enlaces operativamente eficientes.</t>
  </si>
  <si>
    <r>
      <t xml:space="preserve">Expresa el grado ponderado total del nodo en relación con el valor máximo observado en la red.
Permite comparar la </t>
    </r>
    <r>
      <rPr>
        <b/>
        <sz val="7"/>
        <color theme="1" tint="0.14999847407452621"/>
        <rFont val="Calibri"/>
        <family val="2"/>
        <scheme val="minor"/>
      </rPr>
      <t>centralidad relativa</t>
    </r>
    <r>
      <rPr>
        <sz val="7"/>
        <color theme="1" tint="0.14999847407452621"/>
        <rFont val="Calibri"/>
        <family val="2"/>
        <scheme val="minor"/>
      </rPr>
      <t xml:space="preserve"> de los nodos en una escala común entre 0 y 1, donde 1 representa el nodo con mayor grado ponderado total.</t>
    </r>
  </si>
  <si>
    <t>METRICAS DE NODOS</t>
  </si>
  <si>
    <t>Matriz de Distancias Directas</t>
  </si>
  <si>
    <t>Matriz de Distancias Mínimas</t>
  </si>
  <si>
    <t>📑 Índice de hojas</t>
  </si>
  <si>
    <t>Hoja</t>
  </si>
  <si>
    <t>Portada</t>
  </si>
  <si>
    <t>Añadir descripción</t>
  </si>
  <si>
    <t>Tipos de Nodo</t>
  </si>
  <si>
    <t>Nodos</t>
  </si>
  <si>
    <t>Prop.&amp;Pesos Canales</t>
  </si>
  <si>
    <t>Canales</t>
  </si>
  <si>
    <t>Enlaces</t>
  </si>
  <si>
    <t>Red</t>
  </si>
  <si>
    <t>Grafo Visual</t>
  </si>
  <si>
    <t>MatrizDeAdyacencia</t>
  </si>
  <si>
    <t>MatrizPonderadaCostes</t>
  </si>
  <si>
    <t>MatrizPonderadaValorOperativo</t>
  </si>
  <si>
    <t>MatrizTradeOff Valor Op-Coste</t>
  </si>
  <si>
    <t>Métricas de Nodos</t>
  </si>
  <si>
    <t>MatrizDeDistanciasDirectas</t>
  </si>
  <si>
    <t>MatrizDeDistanciasMínimas</t>
  </si>
  <si>
    <t>🔗 Ir</t>
  </si>
  <si>
    <t>METRICAS DE RED</t>
  </si>
  <si>
    <t>Métrica</t>
  </si>
  <si>
    <t>Distancia media al destino final D1</t>
  </si>
  <si>
    <t>Qué mide</t>
  </si>
  <si>
    <t>Interpretación de los valores</t>
  </si>
  <si>
    <t>La fricción media necesaria para llegar al destino final desde los nodos que sí pueden alcanzarlo.</t>
  </si>
  <si>
    <t>alto → llegar a D1 exige más fricción media
bajo → la topología canaliza mejor el flujo hacia D1</t>
  </si>
  <si>
    <t>Distancia media total de la red</t>
  </si>
  <si>
    <t>La fricción media entre todos los pares de nodos conectados.</t>
  </si>
  <si>
    <t>alto → red más costosa o dispersa
bajo → red globalmente más eficiente</t>
  </si>
  <si>
    <t>Cercanía Armónica</t>
  </si>
  <si>
    <t>Qué mide
Qué tan bien situado está cada nodo para alcanzar al resto con baja fricción acumulada.
alto → nodo globalmente bien posicionado
bajo → nodo más periférico o menos accesible</t>
  </si>
  <si>
    <t>Cercanía armónica media de la red</t>
  </si>
  <si>
    <t>El nivel medio de proximidad estructural de los nodos dentro de la topología.</t>
  </si>
  <si>
    <t>alto → red más accesible y estructuralmente eficiente
bajo → red más dispersa o fragmentada</t>
  </si>
  <si>
    <t>Eficiencia global de la red</t>
  </si>
  <si>
    <t>La capacidad global de la red para conectar nodos con baja fricción.</t>
  </si>
  <si>
    <t>alto → red más eficiente globalmente
bajo → red menos eficiente o con más desconexión</t>
  </si>
  <si>
    <t>Centralización de la red</t>
  </si>
  <si>
    <t>Mide el grado en que la importancia estructural de la red está concentrada en uno o pocos nodos, a partir de la distribución del grado ponderado total.</t>
  </si>
  <si>
    <t>valor alto → red más centralizada, jerárquica o dependiente de pocos nodos
valor bajo → red más distribuida, equilibrada o descentralizada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</si>
</sst>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8"/>
      <color theme="1" tint="0.34998626667073579"/>
      <name val="Calibri"/>
      <family val="2"/>
    </font>
    <font>
      <sz val="8"/>
      <color theme="1" tint="0.34998626667073579"/>
      <name val="Calibri"/>
      <family val="2"/>
    </font>
    <font>
      <sz val="9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sz val="8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7"/>
      <color theme="1" tint="0.1499984740745262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Calibri"/>
      <family val="2"/>
    </font>
    <font>
      <sz val="8"/>
      <color theme="1" tint="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3"/>
      <name val="Calibri"/>
      <family val="2"/>
      <scheme val="minor"/>
    </font>
    <font>
      <b/>
      <sz val="9"/>
      <color theme="0"/>
      <name val="Calibri"/>
      <family val="2"/>
    </font>
    <font>
      <b/>
      <sz val="9"/>
      <color rgb="FFC0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7"/>
      <color rgb="FFC00000"/>
      <name val="Calibri"/>
      <family val="2"/>
      <scheme val="minor"/>
    </font>
    <font>
      <sz val="6"/>
      <color theme="1" tint="0.34998626667073579"/>
      <name val="Calibri"/>
      <family val="2"/>
    </font>
    <font>
      <b/>
      <sz val="11"/>
      <color rgb="FFFFFFFF"/>
      <name val="Calibri"/>
      <scheme val="minor"/>
    </font>
    <font>
      <b/>
      <sz val="7"/>
      <color theme="1" tint="0.1499984740745262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theme="1" tint="0.34998626667073579"/>
      <name val="Calibri"/>
      <family val="2"/>
    </font>
    <font>
      <b/>
      <sz val="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u/>
      <sz val="11"/>
      <color rgb="FF0563C1"/>
      <name val="Calibri"/>
      <family val="2"/>
      <scheme val="minor"/>
    </font>
    <font>
      <b/>
      <sz val="9"/>
      <name val="Calibri"/>
      <family val="2"/>
    </font>
    <font>
      <b/>
      <sz val="16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auto="1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D9D9D9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rgb="FFD9D9D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/>
      <right style="thin">
        <color rgb="FFD9D9D9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 textRotation="45" wrapText="1"/>
    </xf>
    <xf numFmtId="1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2" fontId="8" fillId="0" borderId="1" xfId="0" applyNumberFormat="1" applyFont="1" applyBorder="1" applyAlignment="1">
      <alignment horizontal="center" vertical="center" wrapText="1"/>
    </xf>
    <xf numFmtId="2" fontId="8" fillId="0" borderId="3" xfId="0" applyNumberFormat="1" applyFont="1" applyBorder="1" applyAlignment="1">
      <alignment horizontal="center" vertical="center" wrapText="1"/>
    </xf>
    <xf numFmtId="2" fontId="8" fillId="0" borderId="10" xfId="0" applyNumberFormat="1" applyFont="1" applyBorder="1" applyAlignment="1">
      <alignment horizontal="center" vertical="center" wrapText="1"/>
    </xf>
    <xf numFmtId="2" fontId="0" fillId="0" borderId="0" xfId="0" applyNumberFormat="1"/>
    <xf numFmtId="2" fontId="8" fillId="0" borderId="8" xfId="0" applyNumberFormat="1" applyFont="1" applyBorder="1" applyAlignment="1">
      <alignment horizontal="center" vertical="center" wrapText="1"/>
    </xf>
    <xf numFmtId="0" fontId="11" fillId="5" borderId="8" xfId="0" applyFont="1" applyFill="1" applyBorder="1" applyAlignment="1">
      <alignment horizontal="center" vertical="center" wrapText="1"/>
    </xf>
    <xf numFmtId="2" fontId="12" fillId="0" borderId="12" xfId="0" applyNumberFormat="1" applyFont="1" applyBorder="1" applyAlignment="1">
      <alignment horizontal="center" vertical="top" wrapText="1"/>
    </xf>
    <xf numFmtId="0" fontId="3" fillId="2" borderId="7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3" fillId="7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vertical="center"/>
    </xf>
    <xf numFmtId="0" fontId="3" fillId="5" borderId="19" xfId="0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12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wrapText="1"/>
    </xf>
    <xf numFmtId="0" fontId="19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" fontId="21" fillId="0" borderId="0" xfId="0" applyNumberFormat="1" applyFont="1" applyAlignment="1">
      <alignment horizontal="center" vertical="center"/>
    </xf>
    <xf numFmtId="0" fontId="20" fillId="4" borderId="1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0" fontId="20" fillId="12" borderId="19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3" fillId="2" borderId="10" xfId="0" applyFont="1" applyFill="1" applyBorder="1" applyAlignment="1">
      <alignment horizontal="center" vertical="center" wrapText="1"/>
    </xf>
    <xf numFmtId="0" fontId="20" fillId="12" borderId="21" xfId="0" applyFont="1" applyFill="1" applyBorder="1" applyAlignment="1">
      <alignment horizontal="center" vertical="center" wrapText="1"/>
    </xf>
    <xf numFmtId="0" fontId="3" fillId="7" borderId="21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2" fillId="11" borderId="20" xfId="0" applyFont="1" applyFill="1" applyBorder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left" textRotation="45" wrapText="1"/>
    </xf>
    <xf numFmtId="2" fontId="18" fillId="10" borderId="1" xfId="0" applyNumberFormat="1" applyFont="1" applyFill="1" applyBorder="1" applyAlignment="1">
      <alignment horizontal="center" vertical="center" wrapText="1"/>
    </xf>
    <xf numFmtId="2" fontId="18" fillId="10" borderId="11" xfId="0" applyNumberFormat="1" applyFont="1" applyFill="1" applyBorder="1" applyAlignment="1">
      <alignment horizontal="center" vertical="center" wrapText="1"/>
    </xf>
    <xf numFmtId="2" fontId="18" fillId="10" borderId="10" xfId="0" applyNumberFormat="1" applyFont="1" applyFill="1" applyBorder="1" applyAlignment="1">
      <alignment horizontal="center" vertical="center" wrapText="1"/>
    </xf>
    <xf numFmtId="0" fontId="25" fillId="5" borderId="1" xfId="0" applyFont="1" applyFill="1" applyBorder="1" applyAlignment="1">
      <alignment horizontal="center" vertical="center" wrapText="1"/>
    </xf>
    <xf numFmtId="0" fontId="25" fillId="5" borderId="8" xfId="0" applyFont="1" applyFill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 wrapText="1"/>
    </xf>
    <xf numFmtId="164" fontId="8" fillId="0" borderId="8" xfId="0" applyNumberFormat="1" applyFont="1" applyBorder="1" applyAlignment="1">
      <alignment horizontal="center" vertical="center" wrapText="1"/>
    </xf>
    <xf numFmtId="164" fontId="8" fillId="0" borderId="3" xfId="0" applyNumberFormat="1" applyFont="1" applyBorder="1" applyAlignment="1">
      <alignment horizontal="center" vertical="center" wrapText="1"/>
    </xf>
    <xf numFmtId="164" fontId="8" fillId="0" borderId="10" xfId="0" applyNumberFormat="1" applyFont="1" applyBorder="1" applyAlignment="1">
      <alignment horizontal="center" vertical="center" wrapText="1"/>
    </xf>
    <xf numFmtId="164" fontId="8" fillId="0" borderId="11" xfId="0" applyNumberFormat="1" applyFont="1" applyBorder="1" applyAlignment="1">
      <alignment horizontal="center" vertical="center" wrapText="1"/>
    </xf>
    <xf numFmtId="164" fontId="18" fillId="10" borderId="1" xfId="0" applyNumberFormat="1" applyFont="1" applyFill="1" applyBorder="1" applyAlignment="1">
      <alignment horizontal="center" vertical="center" wrapText="1"/>
    </xf>
    <xf numFmtId="164" fontId="18" fillId="10" borderId="11" xfId="0" applyNumberFormat="1" applyFont="1" applyFill="1" applyBorder="1" applyAlignment="1">
      <alignment horizontal="center" vertical="center" wrapText="1"/>
    </xf>
    <xf numFmtId="164" fontId="18" fillId="10" borderId="10" xfId="0" applyNumberFormat="1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27" fillId="5" borderId="8" xfId="0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 wrapText="1"/>
    </xf>
    <xf numFmtId="0" fontId="28" fillId="9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2" fontId="29" fillId="0" borderId="10" xfId="0" applyNumberFormat="1" applyFont="1" applyBorder="1" applyAlignment="1">
      <alignment horizontal="center" vertical="center" wrapText="1"/>
    </xf>
    <xf numFmtId="2" fontId="14" fillId="0" borderId="8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1" fontId="8" fillId="0" borderId="8" xfId="0" applyNumberFormat="1" applyFont="1" applyBorder="1" applyAlignment="1">
      <alignment horizontal="center" vertical="center" wrapText="1"/>
    </xf>
    <xf numFmtId="1" fontId="8" fillId="0" borderId="10" xfId="0" applyNumberFormat="1" applyFont="1" applyBorder="1" applyAlignment="1">
      <alignment horizontal="center" vertical="center" wrapText="1"/>
    </xf>
    <xf numFmtId="1" fontId="8" fillId="0" borderId="3" xfId="0" applyNumberFormat="1" applyFont="1" applyBorder="1" applyAlignment="1">
      <alignment horizontal="center" vertical="center" wrapText="1"/>
    </xf>
    <xf numFmtId="0" fontId="2" fillId="0" borderId="0" xfId="0" applyFont="1"/>
    <xf numFmtId="0" fontId="31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14" fillId="0" borderId="10" xfId="0" applyNumberFormat="1" applyFont="1" applyBorder="1" applyAlignment="1">
      <alignment horizontal="center" vertical="center" wrapText="1"/>
    </xf>
    <xf numFmtId="0" fontId="27" fillId="14" borderId="8" xfId="0" applyFont="1" applyFill="1" applyBorder="1" applyAlignment="1">
      <alignment horizontal="center" vertical="center" wrapText="1"/>
    </xf>
    <xf numFmtId="0" fontId="32" fillId="0" borderId="8" xfId="0" applyFont="1" applyBorder="1" applyAlignment="1">
      <alignment horizontal="center" vertical="center" wrapText="1"/>
    </xf>
    <xf numFmtId="0" fontId="27" fillId="5" borderId="3" xfId="0" applyFont="1" applyFill="1" applyBorder="1" applyAlignment="1">
      <alignment horizontal="center" vertical="center" wrapText="1"/>
    </xf>
    <xf numFmtId="0" fontId="27" fillId="5" borderId="4" xfId="0" applyFont="1" applyFill="1" applyBorder="1" applyAlignment="1">
      <alignment horizontal="center" vertical="center" wrapText="1"/>
    </xf>
    <xf numFmtId="0" fontId="30" fillId="13" borderId="0" xfId="0" applyFont="1" applyFill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2" xfId="0" applyBorder="1"/>
    <xf numFmtId="0" fontId="3" fillId="2" borderId="22" xfId="0" applyFont="1" applyFill="1" applyBorder="1" applyAlignment="1">
      <alignment horizontal="center" vertical="center" wrapText="1"/>
    </xf>
    <xf numFmtId="0" fontId="0" fillId="0" borderId="0" xfId="0"/>
    <xf numFmtId="0" fontId="3" fillId="2" borderId="1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0" fillId="0" borderId="23" xfId="0" applyBorder="1"/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0" fillId="0" borderId="5" xfId="0" applyBorder="1"/>
    <xf numFmtId="0" fontId="27" fillId="5" borderId="13" xfId="0" applyFont="1" applyFill="1" applyBorder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0" fontId="27" fillId="5" borderId="25" xfId="0" applyFont="1" applyFill="1" applyBorder="1" applyAlignment="1">
      <alignment horizontal="center" vertical="center" wrapText="1"/>
    </xf>
  </cellXfs>
  <cellStyles count="1">
    <cellStyle name="Normal" xfId="0" builtinId="0"/>
  </cellStyles>
  <dxfs count="383"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8"/>
        <color theme="1" tint="0.34998626667073579"/>
        <name val="Calibri"/>
        <family val="2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alignment horizontal="center" vertical="center" wrapText="1"/>
    </dxf>
    <dxf>
      <border outline="0"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/>
        <bottom/>
      </border>
    </dxf>
    <dxf>
      <font>
        <color rgb="FF006100"/>
      </font>
      <numFmt numFmtId="2" formatCode="0.00"/>
      <fill>
        <patternFill patternType="solid">
          <fgColor indexed="64"/>
          <bgColor rgb="FFC6EFCE"/>
        </patternFill>
      </fill>
    </dxf>
    <dxf>
      <font>
        <b val="0"/>
        <i val="0"/>
        <strike val="0"/>
        <color theme="0" tint="-4.9989318521683403E-2"/>
      </font>
      <fill>
        <patternFill>
          <bgColor theme="0"/>
        </patternFill>
      </fill>
    </dxf>
    <dxf>
      <font>
        <color rgb="FF000000"/>
      </font>
      <fill>
        <patternFill patternType="solid">
          <fgColor indexed="64"/>
          <bgColor rgb="FFF8D7DA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/>
      </border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/>
      </border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/>
      </border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2" formatCode="0.0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/>
      </border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2" formatCode="0.0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/>
      </border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2" formatCode="0.0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family val="2"/>
        <scheme val="minor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/>
      </border>
    </dxf>
    <dxf>
      <font>
        <b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family val="2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strike val="0"/>
        <outline val="0"/>
        <shadow val="0"/>
        <u val="none"/>
        <vertAlign val="baseline"/>
        <sz val="9"/>
        <color theme="1" tint="0.34998626667073579"/>
        <name val="Calibri"/>
        <family val="2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 outline="0">
        <top style="thin">
          <color rgb="FFD9D9D9"/>
        </top>
      </border>
    </dxf>
    <dxf>
      <font>
        <strike val="0"/>
        <outline val="0"/>
        <shadow val="0"/>
        <u val="none"/>
        <vertAlign val="baseline"/>
        <sz val="9"/>
        <name val="Calibri"/>
        <family val="2"/>
      </font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</font>
      <alignment horizontal="center" vertical="center" wrapText="1"/>
    </dxf>
    <dxf>
      <border outline="0"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family val="2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/>
        <bottom/>
      </border>
    </dxf>
    <dxf>
      <font>
        <color theme="0" tint="-0.1498764000366222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8"/>
        <color theme="1" tint="0.34998626667073579"/>
        <name val="Calibri"/>
        <family val="2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alignment horizontal="center" vertical="center" wrapText="1"/>
    </dxf>
    <dxf>
      <border outline="0"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/>
        <bottom/>
      </border>
    </dxf>
    <dxf>
      <font>
        <color rgb="FF006100"/>
      </font>
      <numFmt numFmtId="2" formatCode="0.00"/>
      <fill>
        <patternFill patternType="solid">
          <fgColor indexed="64"/>
          <bgColor rgb="FFC6EFCE"/>
        </patternFill>
      </fill>
    </dxf>
    <dxf>
      <font>
        <b val="0"/>
        <i val="0"/>
        <strike val="0"/>
        <color theme="0" tint="-4.9989318521683403E-2"/>
      </font>
      <fill>
        <patternFill>
          <bgColor theme="0"/>
        </patternFill>
      </fill>
    </dxf>
    <dxf>
      <font>
        <color rgb="FF000000"/>
      </font>
      <fill>
        <patternFill patternType="solid">
          <fgColor indexed="64"/>
          <bgColor rgb="FFF8D7DA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strike val="0"/>
        <outline val="0"/>
        <shadow val="0"/>
        <vertAlign val="baseline"/>
        <sz val="8"/>
        <color theme="1" tint="0.34998626667073579"/>
        <name val="Calibri"/>
        <family val="2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alignment horizontal="center" vertical="center" wrapText="1"/>
    </dxf>
    <dxf>
      <border outline="0"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/>
        <bottom/>
      </border>
    </dxf>
    <dxf>
      <font>
        <color rgb="FFD9D9D9"/>
      </font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0000"/>
      </font>
      <fill>
        <patternFill patternType="solid">
          <fgColor indexed="64"/>
          <bgColor rgb="FFF8D7DA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8"/>
        <color theme="1" tint="0.34998626667073579"/>
        <name val="Calibri"/>
        <family val="2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alignment horizontal="center" vertical="center" wrapText="1"/>
    </dxf>
    <dxf>
      <border outline="0"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/>
        <bottom/>
      </border>
    </dxf>
    <dxf>
      <font>
        <color rgb="FFD9D9D9"/>
      </font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0000"/>
      </font>
      <fill>
        <patternFill patternType="solid">
          <fgColor indexed="64"/>
          <bgColor rgb="FFF8D7DA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8"/>
        <color theme="1" tint="0.34998626667073579"/>
        <name val="Calibri"/>
        <family val="2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alignment horizontal="center" vertical="center" wrapText="1"/>
    </dxf>
    <dxf>
      <border outline="0"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/>
        <bottom/>
      </border>
    </dxf>
    <dxf>
      <font>
        <color rgb="FFD9D9D9"/>
      </font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0000"/>
      </font>
      <fill>
        <patternFill patternType="solid">
          <fgColor indexed="64"/>
          <bgColor rgb="FFF8D7DA"/>
        </patternFill>
      </fill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color auto="1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strike val="0"/>
        <outline val="0"/>
        <shadow val="0"/>
        <vertAlign val="baseline"/>
        <sz val="8"/>
        <color theme="1" tint="0.34998626667073579"/>
        <name val="Calibri"/>
        <family val="2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alignment horizontal="center" vertical="center" wrapText="1"/>
    </dxf>
    <dxf>
      <border outline="0"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Calibri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/>
        <bottom/>
      </border>
    </dxf>
    <dxf>
      <font>
        <color rgb="FFD9D9D9"/>
      </font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0000"/>
      </font>
      <fill>
        <patternFill patternType="solid">
          <fgColor indexed="64"/>
          <bgColor rgb="FFF8D7DA"/>
        </patternFill>
      </fill>
    </dxf>
    <dxf>
      <font>
        <strike val="0"/>
        <outline val="0"/>
        <shadow val="0"/>
        <vertAlign val="baseline"/>
        <sz val="9"/>
        <name val="Calibri"/>
        <family val="2"/>
      </font>
      <numFmt numFmtId="2" formatCode="0.00"/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numFmt numFmtId="2" formatCode="0.00"/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numFmt numFmtId="2" formatCode="0.00"/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numFmt numFmtId="1" formatCode="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9"/>
        <color rgb="FFFFFFFF"/>
        <name val="Calibri"/>
        <family val="2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/>
        <bottom/>
      </border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b/>
        <strike val="0"/>
        <outline val="0"/>
        <shadow val="0"/>
        <vertAlign val="baseline"/>
        <sz val="9"/>
        <color rgb="FFC00000"/>
        <name val="Calibri"/>
        <family val="2"/>
      </font>
      <numFmt numFmtId="1" formatCode="0"/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numFmt numFmtId="1" formatCode="0"/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numFmt numFmtId="1" formatCode="0"/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numFmt numFmtId="1" formatCode="0"/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numFmt numFmtId="0" formatCode="General"/>
      <alignment horizontal="center" vertical="center"/>
    </dxf>
    <dxf>
      <font>
        <b/>
        <strike val="0"/>
        <outline val="0"/>
        <shadow val="0"/>
        <vertAlign val="baseline"/>
        <sz val="9"/>
        <color rgb="FFC00000"/>
        <name val="Calibri"/>
        <family val="2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rgb="FFC00000"/>
        <name val="Calibri"/>
        <family val="2"/>
        <scheme val="minor"/>
      </font>
      <numFmt numFmtId="2" formatCode="0.00"/>
      <alignment horizontal="center" vertical="center"/>
    </dxf>
    <dxf>
      <font>
        <b/>
        <strike val="0"/>
        <outline val="0"/>
        <shadow val="0"/>
        <vertAlign val="baseline"/>
        <sz val="9"/>
        <color rgb="FFC00000"/>
        <name val="Calibri"/>
        <family val="2"/>
      </font>
      <numFmt numFmtId="1" formatCode="0"/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0" formatCode="General"/>
      <fill>
        <patternFill>
          <bgColor auto="1"/>
        </patternFill>
      </fill>
      <alignment horizontal="center" vertical="center"/>
    </dxf>
    <dxf>
      <font>
        <strike val="0"/>
        <outline val="0"/>
        <shadow val="0"/>
        <vertAlign val="baseline"/>
        <sz val="9"/>
        <color auto="1"/>
        <name val="Calibri"/>
        <family val="2"/>
        <scheme val="minor"/>
      </font>
      <numFmt numFmtId="0" formatCode="General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numFmt numFmtId="0" formatCode="General"/>
      <alignment horizontal="center" vertical="center"/>
    </dxf>
    <dxf>
      <font>
        <strike val="0"/>
        <outline val="0"/>
        <shadow val="0"/>
        <vertAlign val="baseline"/>
        <sz val="9"/>
        <color theme="1"/>
        <name val="Calibri"/>
        <family val="2"/>
        <scheme val="minor"/>
      </font>
      <numFmt numFmtId="30" formatCode="@"/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 wrapText="1"/>
    </dxf>
    <dxf>
      <font>
        <color rgb="FF000000"/>
      </font>
      <fill>
        <patternFill patternType="solid">
          <fgColor indexed="64"/>
          <bgColor theme="0"/>
        </patternFill>
      </fill>
    </dxf>
    <dxf>
      <font>
        <color rgb="FF000000"/>
      </font>
      <fill>
        <patternFill patternType="solid">
          <fgColor indexed="64"/>
          <bgColor rgb="FFEEEEEE"/>
        </patternFill>
      </fill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family val="2"/>
      </font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family val="2"/>
      </font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condense val="0"/>
        <extend val="0"/>
        <outline val="0"/>
        <shadow val="0"/>
        <vertAlign val="baseline"/>
        <sz val="8"/>
        <color rgb="FF000000"/>
        <name val="Calibri"/>
        <family val="2"/>
      </font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center" wrapText="1"/>
      <border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center" wrapText="1"/>
      <border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alignment horizontal="center" vertical="center"/>
      <border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alignment horizontal="center" vertical="center" wrapText="1"/>
      <border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</dxf>
    <dxf>
      <border>
        <top style="thin">
          <color rgb="FFD9D9D9"/>
        </top>
      </border>
    </dxf>
    <dxf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condense val="0"/>
        <extend val="0"/>
        <outline val="0"/>
        <shadow val="0"/>
        <vertAlign val="baseline"/>
        <sz val="9"/>
        <color rgb="FF000000"/>
        <name val="Calibri"/>
        <family val="2"/>
      </font>
      <alignment horizontal="center" vertical="center" wrapText="1"/>
    </dxf>
    <dxf>
      <border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9"/>
        <color rgb="FFFFFFFF"/>
        <name val="Calibri"/>
        <family val="2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9"/>
        <color rgb="FFC00000"/>
        <name val="Calibri"/>
        <family val="2"/>
        <scheme val="minor"/>
      </font>
      <alignment horizontal="center" vertical="center" wrapText="1"/>
      <border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vertAlign val="baseline"/>
        <sz val="9"/>
        <color theme="1"/>
        <name val="Calibri"/>
        <family val="2"/>
        <scheme val="minor"/>
      </font>
      <alignment horizontal="center" vertical="center" wrapText="1"/>
      <border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rgb="FFD9D9D9"/>
        </top>
      </border>
    </dxf>
    <dxf>
      <font>
        <strike val="0"/>
        <outline val="0"/>
        <shadow val="0"/>
        <vertAlign val="baseline"/>
        <sz val="9"/>
        <color rgb="FF000000"/>
        <name val="Calibri"/>
        <family val="2"/>
      </font>
      <alignment horizontal="center" vertical="center"/>
    </dxf>
    <dxf>
      <border outline="0"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9"/>
        <color rgb="FFFFFFFF"/>
        <name val="Calibri"/>
        <family val="2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" formatCode="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" formatCode="0"/>
      <fill>
        <patternFill>
          <fgColor indexed="64"/>
          <bgColor auto="1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" formatCode="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" formatCode="0"/>
      <fill>
        <patternFill>
          <fgColor indexed="64"/>
          <bgColor auto="1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" formatCode="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border outline="0">
        <bottom style="thin">
          <color theme="0" tint="-0.14999847407452621"/>
        </bottom>
      </border>
    </dxf>
    <dxf>
      <font>
        <b/>
        <strike val="0"/>
        <condense val="0"/>
        <extend val="0"/>
        <outline val="0"/>
        <shadow val="0"/>
        <vertAlign val="baseline"/>
        <sz val="9"/>
        <color rgb="FFFFFFFF"/>
        <name val="Calibri"/>
        <family val="2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indexed="65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 wrapText="1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 wrapText="1"/>
    </dxf>
    <dxf>
      <border outline="0">
        <bottom style="thin">
          <color theme="0" tint="-0.14999847407452621"/>
        </bottom>
      </border>
    </dxf>
    <dxf>
      <font>
        <b/>
        <strike val="0"/>
        <condense val="0"/>
        <extend val="0"/>
        <outline val="0"/>
        <shadow val="0"/>
        <vertAlign val="baseline"/>
        <sz val="9"/>
        <color rgb="FFFFFFFF"/>
        <name val="Calibri"/>
        <family val="2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strike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 wrapText="1"/>
    </dxf>
    <dxf>
      <font>
        <strike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 wrapText="1"/>
    </dxf>
    <dxf>
      <border outline="0">
        <top style="thin">
          <color rgb="FFD9D9D9"/>
        </top>
      </border>
    </dxf>
    <dxf>
      <fill>
        <patternFill>
          <fgColor indexed="64"/>
          <bgColor auto="1"/>
        </patternFill>
      </fill>
    </dxf>
    <dxf>
      <border outline="0">
        <bottom style="thin">
          <color theme="0" tint="-0.14999847407452621"/>
        </bottom>
      </border>
    </dxf>
    <dxf>
      <font>
        <b/>
        <strike val="0"/>
        <condense val="0"/>
        <extend val="0"/>
        <outline val="0"/>
        <shadow val="0"/>
        <vertAlign val="baseline"/>
        <sz val="9"/>
        <color rgb="FFFFFFFF"/>
        <name val="Calibri"/>
        <family val="2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strike val="0"/>
        <outline val="0"/>
        <shadow val="0"/>
        <vertAlign val="baseline"/>
        <sz val="10"/>
        <color theme="1"/>
        <name val="Calibri"/>
        <family val="2"/>
        <scheme val="minor"/>
      </font>
      <numFmt numFmtId="1" formatCode="0"/>
      <fill>
        <patternFill>
          <fgColor indexed="64"/>
          <bgColor auto="1"/>
        </patternFill>
      </fill>
      <alignment horizontal="center" vertical="center"/>
    </dxf>
    <dxf>
      <font>
        <b/>
        <sz val="10"/>
      </font>
      <fill>
        <patternFill>
          <fgColor indexed="64"/>
          <bgColor auto="1"/>
        </patternFill>
      </fill>
      <alignment horizontal="center" vertical="center" wrapText="1"/>
    </dxf>
    <dxf>
      <fill>
        <patternFill>
          <fgColor indexed="64"/>
          <bgColor auto="1"/>
        </patternFill>
      </fill>
      <alignment horizontal="center" vertical="center"/>
    </dxf>
    <dxf>
      <border outline="0">
        <bottom style="thin">
          <color theme="0" tint="-0.14999847407452621"/>
        </bottom>
      </border>
    </dxf>
    <dxf>
      <font>
        <b/>
        <strike val="0"/>
        <condense val="0"/>
        <extend val="0"/>
        <outline val="0"/>
        <shadow val="0"/>
        <vertAlign val="baseline"/>
        <sz val="9"/>
        <color rgb="FFFFFFFF"/>
        <name val="Calibri"/>
        <family val="2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ont>
        <strike val="0"/>
        <outline val="0"/>
        <shadow val="0"/>
        <vertAlign val="baseline"/>
        <sz val="9"/>
        <name val="Calibri"/>
        <family val="2"/>
      </font>
      <alignment horizont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/>
    </dxf>
    <dxf>
      <border outline="0"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vertAlign val="baseline"/>
        <sz val="9"/>
        <color rgb="FFFFFFFF"/>
        <name val="Calibri"/>
        <family val="2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/>
        <bottom/>
      </border>
    </dxf>
    <dxf>
      <font>
        <strike val="0"/>
        <outline val="0"/>
        <shadow val="0"/>
        <vertAlign val="baseline"/>
        <sz val="9"/>
        <color theme="1"/>
        <name val="Calibri"/>
        <family val="2"/>
        <scheme val="minor"/>
      </font>
      <alignment horizontal="center" vertical="center" wrapText="1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  <border outline="0">
        <right style="thin">
          <color rgb="FFD9D9D9"/>
        </right>
      </border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</font>
      <alignment horizontal="center" vertical="center" wrapText="1"/>
    </dxf>
    <dxf>
      <font>
        <u/>
        <color rgb="FF0563C1"/>
      </font>
      <alignment horizontal="center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/>
      </border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2" formatCode="0.0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/>
      </border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2" formatCode="0.0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/>
      </border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2" formatCode="0.00"/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strike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 outline="0">
        <top style="thin">
          <color rgb="FFD9D9D9"/>
        </top>
      </border>
    </dxf>
    <dxf>
      <font>
        <strike val="0"/>
        <outline val="0"/>
        <shadow val="0"/>
        <u val="none"/>
        <vertAlign val="baseline"/>
        <sz val="9"/>
        <name val="Calibri"/>
        <family val="2"/>
      </font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</font>
      <alignment horizontal="center" vertical="center" wrapText="1"/>
    </dxf>
    <dxf>
      <border outline="0">
        <bottom style="thin">
          <color rgb="FFD9D9D9"/>
        </bottom>
      </border>
    </dxf>
    <dxf>
      <font>
        <b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family val="2"/>
      </font>
      <fill>
        <patternFill patternType="solid">
          <fgColor indexed="64"/>
          <bgColor rgb="FF1F4E78"/>
        </patternFill>
      </fill>
      <alignment horizontal="center" vertical="center" wrapText="1"/>
      <border outline="0">
        <left style="thin">
          <color rgb="FFD9D9D9"/>
        </left>
        <right style="thin">
          <color rgb="FFD9D9D9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342900</xdr:colOff>
          <xdr:row>3</xdr:row>
          <xdr:rowOff>28575</xdr:rowOff>
        </xdr:from>
        <xdr:to>
          <xdr:col>40</xdr:col>
          <xdr:colOff>190500</xdr:colOff>
          <xdr:row>6</xdr:row>
          <xdr:rowOff>104775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Matriz de Distancias Mínimas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3D03D77-B4B9-481A-BFCC-303758B81F09}" name="tblIndiceHojas" displayName="tblIndiceHojas" ref="B3:D18" totalsRowShown="0">
  <autoFilter ref="B3:D18" xr:uid="{F3D03D77-B4B9-481A-BFCC-303758B81F09}"/>
  <tableColumns count="3">
    <tableColumn id="1" xr3:uid="{8BE1A1B9-2EFD-42C1-94A1-2A6BDB63AA55}" name="Hoja"/>
    <tableColumn id="2" xr3:uid="{88EB440B-DEEE-4718-870B-CC399DE9ADFB}" name="Descripción"/>
    <tableColumn id="3" xr3:uid="{0CC34644-6326-4043-ABE3-B42C14EB0BC6}" name="🔗 Ir" dataDxfId="3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iposDeNodo" displayName="tblTiposDeNodo" ref="B3:E8" headerRowDxfId="367" dataDxfId="366" totalsRowDxfId="365">
  <tableColumns count="4">
    <tableColumn id="1" xr3:uid="{00000000-0010-0000-0000-000001000000}" name="Tipo" dataDxfId="364"/>
    <tableColumn id="2" xr3:uid="{00000000-0010-0000-0000-000002000000}" name="Descripción" dataDxfId="363"/>
    <tableColumn id="4" xr3:uid="{00000000-0010-0000-0000-000004000000}" name="Capa" dataDxfId="362" totalsRowDxfId="361"/>
    <tableColumn id="3" xr3:uid="{00000000-0010-0000-0000-000003000000}" name="Notas" dataDxfId="3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Nodos" displayName="tblNodos" ref="B3:E34" totalsRowShown="0" headerRowDxfId="359" dataDxfId="357" headerRowBorderDxfId="358">
  <autoFilter ref="B3:E34" xr:uid="{00000000-0009-0000-0100-000002000000}"/>
  <tableColumns count="4">
    <tableColumn id="1" xr3:uid="{00000000-0010-0000-0100-000001000000}" name="NodoID" dataDxfId="356"/>
    <tableColumn id="2" xr3:uid="{00000000-0010-0000-0100-000002000000}" name="Nombre" dataDxfId="355"/>
    <tableColumn id="3" xr3:uid="{00000000-0010-0000-0100-000003000000}" name="Tipo" dataDxfId="354"/>
    <tableColumn id="4" xr3:uid="{00000000-0010-0000-0100-000004000000}" name="Activo" dataDxfId="3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angoEnlace" displayName="tblRangoEnlace" ref="B10:C12" totalsRowShown="0" headerRowDxfId="352" dataDxfId="350" headerRowBorderDxfId="351">
  <tableColumns count="2">
    <tableColumn id="1" xr3:uid="{00000000-0010-0000-0200-000001000000}" name="Rango del Enlace" dataDxfId="349"/>
    <tableColumn id="2" xr3:uid="{00000000-0010-0000-0200-000002000000}" name="Coste" dataDxfId="348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esosCoste" displayName="tblPesosCoste" ref="B3:C8" totalsRowShown="0" headerRowDxfId="347" dataDxfId="345" headerRowBorderDxfId="346" tableBorderDxfId="344">
  <tableColumns count="2">
    <tableColumn id="1" xr3:uid="{00000000-0010-0000-0300-000001000000}" name="Valor" dataDxfId="343"/>
    <tableColumn id="4" xr3:uid="{00000000-0010-0000-0300-000004000000}" name="Peso" dataDxfId="342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esosValorOperativo" displayName="tblPesosValorOperativo" ref="E3:J9" totalsRowShown="0" headerRowDxfId="341" dataDxfId="339" headerRowBorderDxfId="340">
  <tableColumns count="6">
    <tableColumn id="1" xr3:uid="{00000000-0010-0000-0400-000001000000}" name="Valor" dataDxfId="338"/>
    <tableColumn id="6" xr3:uid="{00000000-0010-0000-0400-000006000000}" name="Frecuencia de Uso" dataDxfId="337"/>
    <tableColumn id="2" xr3:uid="{00000000-0010-0000-0400-000002000000}" name="Opacidad" dataDxfId="336"/>
    <tableColumn id="3" xr3:uid="{00000000-0010-0000-0400-000003000000}" name="Trazabilidad" dataDxfId="335"/>
    <tableColumn id="4" xr3:uid="{00000000-0010-0000-0400-000004000000}" name="Velocidad" dataDxfId="334"/>
    <tableColumn id="5" xr3:uid="{00000000-0010-0000-0400-000005000000}" name="Escalabilidad" dataDxfId="333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RangoEnlace1ValorOpertivo" displayName="tblRangoEnlace1ValorOpertivo" ref="E10:J12" totalsRowShown="0" headerRowDxfId="332" dataDxfId="330" headerRowBorderDxfId="331">
  <tableColumns count="6">
    <tableColumn id="1" xr3:uid="{00000000-0010-0000-0500-000001000000}" name="Rango del Enlace" dataDxfId="329"/>
    <tableColumn id="2" xr3:uid="{00000000-0010-0000-0500-000002000000}" name="Opacidad" dataDxfId="328"/>
    <tableColumn id="3" xr3:uid="{00000000-0010-0000-0500-000003000000}" name="Trazabilidad" dataDxfId="327"/>
    <tableColumn id="4" xr3:uid="{00000000-0010-0000-0500-000004000000}" name="Velocidad" dataDxfId="326"/>
    <tableColumn id="5" xr3:uid="{00000000-0010-0000-0500-000005000000}" name="Escalabilidad" dataDxfId="325"/>
    <tableColumn id="6" xr3:uid="{00000000-0010-0000-0500-000006000000}" name="Total" dataDxfId="32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PropiedadesCanales" displayName="tblPropiedadesCanales" ref="B3:C8" totalsRowShown="0" headerRowDxfId="323" dataDxfId="321" headerRowBorderDxfId="322" tableBorderDxfId="320">
  <tableColumns count="2">
    <tableColumn id="1" xr3:uid="{00000000-0010-0000-0600-000001000000}" name="Variable" dataDxfId="319"/>
    <tableColumn id="2" xr3:uid="{00000000-0010-0000-0600-000002000000}" name="Definición recomendada" dataDxfId="318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Canales" displayName="tblCanales" ref="E3:P59" totalsRowShown="0" headerRowDxfId="317" dataDxfId="315" headerRowBorderDxfId="316" tableBorderDxfId="314" totalsRowBorderDxfId="313">
  <tableColumns count="12">
    <tableColumn id="2" xr3:uid="{00000000-0010-0000-0700-000002000000}" name="Canal" dataDxfId="312"/>
    <tableColumn id="1" xr3:uid="{00000000-0010-0000-0700-000001000000}" name="Frecuencia de Uso" dataDxfId="311"/>
    <tableColumn id="5" xr3:uid="{00000000-0010-0000-0700-000005000000}" name="Coste" dataDxfId="310"/>
    <tableColumn id="6" xr3:uid="{00000000-0010-0000-0700-000006000000}" name="Opacidad" dataDxfId="309"/>
    <tableColumn id="7" xr3:uid="{00000000-0010-0000-0700-000007000000}" name="Trazabilidad" dataDxfId="308"/>
    <tableColumn id="8" xr3:uid="{00000000-0010-0000-0700-000008000000}" name="Velocidad" dataDxfId="307"/>
    <tableColumn id="9" xr3:uid="{00000000-0010-0000-0700-000009000000}" name="Escalabilidad" dataDxfId="306"/>
    <tableColumn id="10" xr3:uid="{00000000-0010-0000-0700-00000A000000}" name="Explicación opacidad" dataDxfId="305"/>
    <tableColumn id="3" xr3:uid="{00000000-0010-0000-0700-000003000000}" name="Explicación trazabilidad" dataDxfId="304"/>
    <tableColumn id="11" xr3:uid="{00000000-0010-0000-0700-00000B000000}" name="Explicación coste" dataDxfId="303"/>
    <tableColumn id="12" xr3:uid="{00000000-0010-0000-0700-00000C000000}" name="Explicación velocidad" dataDxfId="302"/>
    <tableColumn id="13" xr3:uid="{00000000-0010-0000-0700-00000D000000}" name="Explicación escalabilidad" dataDxfId="3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Enlaces" displayName="tblEnlaces" ref="B3:P436" headerRowDxfId="298" dataDxfId="297" totalsRowDxfId="296">
  <sortState xmlns:xlrd2="http://schemas.microsoft.com/office/spreadsheetml/2017/richdata2" ref="B4:P220">
    <sortCondition ref="B3:B220"/>
  </sortState>
  <tableColumns count="15">
    <tableColumn id="1" xr3:uid="{00000000-0010-0000-0800-000001000000}" name="Enlace" dataDxfId="295"/>
    <tableColumn id="2" xr3:uid="{00000000-0010-0000-0800-000002000000}" name="Nodo Inicial" dataDxfId="294"/>
    <tableColumn id="7" xr3:uid="{00000000-0010-0000-0800-000007000000}" name="Detalle Nodos Iniciales" dataDxfId="293">
      <calculatedColumnFormula>VLOOKUP(tblEnlaces[[#This Row],[Nodo Inicial]],tblNodos[],2,FALSE)</calculatedColumnFormula>
    </tableColumn>
    <tableColumn id="3" xr3:uid="{00000000-0010-0000-0800-000003000000}" name="Nodo Final" dataDxfId="292"/>
    <tableColumn id="8" xr3:uid="{00000000-0010-0000-0800-000008000000}" name="Detalle Nodos Finales" dataDxfId="291">
      <calculatedColumnFormula>VLOOKUP(tblEnlaces[[#This Row],[Nodo Final]],tblNodos[],2,FALSE)</calculatedColumnFormula>
    </tableColumn>
    <tableColumn id="21" xr3:uid="{00000000-0010-0000-0800-000015000000}" name="Canal" dataDxfId="290"/>
    <tableColumn id="5" xr3:uid="{00000000-0010-0000-0800-000005000000}" name="Activo" dataDxfId="289"/>
    <tableColumn id="4" xr3:uid="{00000000-0010-0000-0800-000004000000}" name="Frecuencia de Uso" dataDxfId="288">
      <calculatedColumnFormula>IFERROR(_xlfn.XLOOKUP(VLOOKUP(tblEnlaces[[#This Row],[Canal]],tblCanales[#All],2,FALSE),tblPesosValorOperativo[Valor],tblPesosValorOperativo[Frecuencia de Uso],0),0)</calculatedColumnFormula>
    </tableColumn>
    <tableColumn id="9" xr3:uid="{00000000-0010-0000-0800-000009000000}" name="Frecuencia de Uso Relativa" dataDxfId="287">
      <calculatedColumnFormula>IF(tblEnlaces[[#This Row],[Activo]]&lt;&gt;1,0,IFERROR(tblEnlaces[[#This Row],[Frecuencia de Uso]]/SUMIFS(tblEnlaces[Frecuencia de Uso],tblEnlaces[Enlace],tblEnlaces[[#This Row],[Enlace]],tblEnlaces[Activo],1),0))</calculatedColumnFormula>
    </tableColumn>
    <tableColumn id="23" xr3:uid="{00000000-0010-0000-0800-000017000000}" name="COSTE" dataDxfId="286">
      <calculatedColumnFormula>IFERROR(_xlfn.XLOOKUP(VLOOKUP(tblEnlaces[[#This Row],[Canal]],tblCanales[#All],3,FALSE),tblPesosCoste[Valor],tblPesosCoste[Peso],0),0)</calculatedColumnFormula>
    </tableColumn>
    <tableColumn id="24" xr3:uid="{00000000-0010-0000-0800-000018000000}" name="Opacidad" dataDxfId="285" totalsRowDxfId="284">
      <calculatedColumnFormula>IFERROR(_xlfn.XLOOKUP(VLOOKUP(tblEnlaces[[#This Row],[Canal]],tblCanales[#All],5,FALSE),tblPesosValorOperativo[Valor],tblPesosValorOperativo[Opacidad],0),0)</calculatedColumnFormula>
    </tableColumn>
    <tableColumn id="25" xr3:uid="{00000000-0010-0000-0800-000019000000}" name="Trazabilidad" dataDxfId="283" totalsRowDxfId="282">
      <calculatedColumnFormula>IFERROR(_xlfn.XLOOKUP(VLOOKUP(tblEnlaces[[#This Row],[Canal]],tblCanales[#All],6,FALSE),tblPesosValorOperativo[Valor],tblPesosValorOperativo[Trazabilidad],0),0)</calculatedColumnFormula>
    </tableColumn>
    <tableColumn id="26" xr3:uid="{00000000-0010-0000-0800-00001A000000}" name="Velocidad" dataDxfId="281" totalsRowDxfId="280">
      <calculatedColumnFormula>IFERROR(_xlfn.XLOOKUP(VLOOKUP(tblEnlaces[[#This Row],[Canal]],tblCanales[#All],7,FALSE),tblPesosValorOperativo[Valor],tblPesosValorOperativo[Velocidad],0),0)</calculatedColumnFormula>
    </tableColumn>
    <tableColumn id="27" xr3:uid="{00000000-0010-0000-0800-00001B000000}" name="Escalabilidad" dataDxfId="279" totalsRowDxfId="278">
      <calculatedColumnFormula>IFERROR(_xlfn.XLOOKUP(VLOOKUP(tblEnlaces[[#This Row],[Canal]],tblCanales[#All],8,FALSE),tblPesosValorOperativo[Valor],tblPesosValorOperativo[Escalabilidad],0),0)</calculatedColumnFormula>
    </tableColumn>
    <tableColumn id="28" xr3:uid="{00000000-0010-0000-0800-00001C000000}" name="VALOR OPERATIVO" dataDxfId="277" totalsRowDxfId="276">
      <calculatedColumnFormula>tblEnlaces[[#This Row],[Opacidad]]+tblEnlaces[[#This Row],[Escalabilidad]]+tblEnlaces[[#This Row],[Velocidad]]+tblEnlaces[[#This Row],[Trazabilidad]]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Red" displayName="tblRed" ref="D3:J61" totalsRowShown="0" headerRowDxfId="275" dataDxfId="274">
  <tableColumns count="7">
    <tableColumn id="1" xr3:uid="{00000000-0010-0000-0900-000001000000}" name="Enlace" dataDxfId="273">
      <calculatedColumnFormula array="1">IFERROR(INDEX(_xlfn.ANCHORARRAY($B$4),ROW()-ROW($D$3),1),"")</calculatedColumnFormula>
    </tableColumn>
    <tableColumn id="7" xr3:uid="{00000000-0010-0000-0900-000007000000}" name="Nodo Inicial" dataDxfId="272">
      <calculatedColumnFormula>VLOOKUP(tblRed[[#This Row],[Enlace]],tblEnlaces[],2,FALSE)</calculatedColumnFormula>
    </tableColumn>
    <tableColumn id="6" xr3:uid="{00000000-0010-0000-0900-000006000000}" name="Nodo Final" dataDxfId="271">
      <calculatedColumnFormula>VLOOKUP(tblRed[[#This Row],[Enlace]],tblEnlaces[],4,FALSE)</calculatedColumnFormula>
    </tableColumn>
    <tableColumn id="2" xr3:uid="{00000000-0010-0000-0900-000002000000}" name="Activo" dataDxfId="270">
      <calculatedColumnFormula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calculatedColumnFormula>
    </tableColumn>
    <tableColumn id="3" xr3:uid="{00000000-0010-0000-0900-000003000000}" name="COSTE" dataDxfId="269">
      <calculatedColumnFormula array="1">IF(tblRed[[#This Row],[Enlace]]="","",SUMPRODUCT((tblEnlaces[Enlace]=tblRed[[#This Row],[Enlace]])*(tblEnlaces[Activo]=1)*tblEnlaces[COSTE]*tblEnlaces[Frecuencia de Uso Relativa]))</calculatedColumnFormula>
    </tableColumn>
    <tableColumn id="4" xr3:uid="{00000000-0010-0000-0900-000004000000}" name="VALOR OPERATIVO" dataDxfId="268">
      <calculatedColumnFormula array="1">IF(tblRed[[#This Row],[Enlace]]="","",SUMPRODUCT((tblEnlaces[Enlace]=tblRed[[#This Row],[Enlace]])*(tblEnlaces[Activo]=1)*tblEnlaces[VALOR OPERATIVO]*tblEnlaces[Frecuencia de Uso Relativa]))</calculatedColumnFormula>
    </tableColumn>
    <tableColumn id="5" xr3:uid="{AF75248F-8A86-4BE2-AA48-262F16817312}" name="TRADE OFF VALOR OPERATIVO/COSTE" dataDxfId="267">
      <calculatedColumnFormula>tblRed[[#This Row],[VALOR OPERATIVO]]/tblRed[[#This Row],[COSTE]]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MatrizDeAdyacencia" displayName="tblMatrizDeAdyacencia" ref="B3:AH34" totalsRowShown="0" headerRowDxfId="263" dataDxfId="261" headerRowBorderDxfId="262" tableBorderDxfId="260" totalsRowBorderDxfId="259">
  <tableColumns count="33">
    <tableColumn id="21" xr3:uid="{00000000-0010-0000-0A00-000015000000}" name="Nombre Nodo" dataDxfId="258">
      <calculatedColumnFormula>VLOOKUP(tblMatrizDeAdyacencia[[#This Row],[Nodo Orig.\Dest.]],tblNodos[],2,FALSE)</calculatedColumnFormula>
    </tableColumn>
    <tableColumn id="1" xr3:uid="{00000000-0010-0000-0A00-000001000000}" name="Nodo Orig.\Dest." dataDxfId="257"/>
    <tableColumn id="2" xr3:uid="{00000000-0010-0000-0A00-000002000000}" name="O1" dataDxfId="256">
      <calculatedColumnFormula>IF(COUNTIFS(tblRed[Nodo Inicial],tblMatrizDeAdyacencia[[#This Row],[Nodo Orig.\Dest.]],tblRed[Nodo Final],tblMatrizDeAdyacencia[[#Headers],[O1]],tblRed[Activo],1)&gt;0,1,0)</calculatedColumnFormula>
    </tableColumn>
    <tableColumn id="3" xr3:uid="{00000000-0010-0000-0A00-000003000000}" name="O2" dataDxfId="255">
      <calculatedColumnFormula>IF(COUNTIFS(tblRed[Nodo Inicial],tblMatrizDeAdyacencia[[#This Row],[Nodo Orig.\Dest.]],tblRed[Nodo Final],tblMatrizDeAdyacencia[[#Headers],[O2]],tblRed[Activo],1)&gt;0,1,0)</calculatedColumnFormula>
    </tableColumn>
    <tableColumn id="4" xr3:uid="{00000000-0010-0000-0A00-000004000000}" name="O3" dataDxfId="254">
      <calculatedColumnFormula>IF(COUNTIFS(tblRed[Nodo Inicial],tblMatrizDeAdyacencia[[#This Row],[Nodo Orig.\Dest.]],tblRed[Nodo Final],tblMatrizDeAdyacencia[[#Headers],[O3]],tblRed[Activo],1)&gt;0,1,0)</calculatedColumnFormula>
    </tableColumn>
    <tableColumn id="5" xr3:uid="{00000000-0010-0000-0A00-000005000000}" name="O4" dataDxfId="253">
      <calculatedColumnFormula>IF(COUNTIFS(tblRed[Nodo Inicial],tblMatrizDeAdyacencia[[#This Row],[Nodo Orig.\Dest.]],tblRed[Nodo Final],tblMatrizDeAdyacencia[[#Headers],[O4]],tblRed[Activo],1)&gt;0,1,0)</calculatedColumnFormula>
    </tableColumn>
    <tableColumn id="6" xr3:uid="{00000000-0010-0000-0A00-000006000000}" name="O5" dataDxfId="252">
      <calculatedColumnFormula>IF(COUNTIFS(tblRed[Nodo Inicial],tblMatrizDeAdyacencia[[#This Row],[Nodo Orig.\Dest.]],tblRed[Nodo Final],tblMatrizDeAdyacencia[[#Headers],[O5]],tblRed[Activo],1)&gt;0,1,0)</calculatedColumnFormula>
    </tableColumn>
    <tableColumn id="7" xr3:uid="{00000000-0010-0000-0A00-000007000000}" name="O6" dataDxfId="251">
      <calculatedColumnFormula>IF(COUNTIFS(tblRed[Nodo Inicial],tblMatrizDeAdyacencia[[#This Row],[Nodo Orig.\Dest.]],tblRed[Nodo Final],tblMatrizDeAdyacencia[[#Headers],[O6]],tblRed[Activo],1)&gt;0,1,0)</calculatedColumnFormula>
    </tableColumn>
    <tableColumn id="8" xr3:uid="{00000000-0010-0000-0A00-000008000000}" name="O7" dataDxfId="250">
      <calculatedColumnFormula>IF(COUNTIFS(tblRed[Nodo Inicial],tblMatrizDeAdyacencia[[#This Row],[Nodo Orig.\Dest.]],tblRed[Nodo Final],tblMatrizDeAdyacencia[[#Headers],[O7]],tblRed[Activo],1)&gt;0,1,0)</calculatedColumnFormula>
    </tableColumn>
    <tableColumn id="9" xr3:uid="{00000000-0010-0000-0A00-000009000000}" name="O8" dataDxfId="249">
      <calculatedColumnFormula>IF(COUNTIFS(tblRed[Nodo Inicial],tblMatrizDeAdyacencia[[#This Row],[Nodo Orig.\Dest.]],tblRed[Nodo Final],tblMatrizDeAdyacencia[[#Headers],[O8]],tblRed[Activo],1)&gt;0,1,0)</calculatedColumnFormula>
    </tableColumn>
    <tableColumn id="10" xr3:uid="{00000000-0010-0000-0A00-00000A000000}" name="C1" dataDxfId="248">
      <calculatedColumnFormula>IF(COUNTIFS(tblRed[Nodo Inicial],tblMatrizDeAdyacencia[[#This Row],[Nodo Orig.\Dest.]],tblRed[Nodo Final],tblMatrizDeAdyacencia[[#Headers],[C1]],tblRed[Activo],1)&gt;0,1,0)</calculatedColumnFormula>
    </tableColumn>
    <tableColumn id="11" xr3:uid="{00000000-0010-0000-0A00-00000B000000}" name="C2" dataDxfId="247">
      <calculatedColumnFormula>IF(COUNTIFS(tblRed[Nodo Inicial],tblMatrizDeAdyacencia[[#This Row],[Nodo Orig.\Dest.]],tblRed[Nodo Final],tblMatrizDeAdyacencia[[#Headers],[C2]],tblRed[Activo],1)&gt;0,1,0)</calculatedColumnFormula>
    </tableColumn>
    <tableColumn id="12" xr3:uid="{00000000-0010-0000-0A00-00000C000000}" name="C3" dataDxfId="246">
      <calculatedColumnFormula>IF(COUNTIFS(tblRed[Nodo Inicial],tblMatrizDeAdyacencia[[#This Row],[Nodo Orig.\Dest.]],tblRed[Nodo Final],tblMatrizDeAdyacencia[[#Headers],[C3]],tblRed[Activo],1)&gt;0,1,0)</calculatedColumnFormula>
    </tableColumn>
    <tableColumn id="13" xr3:uid="{00000000-0010-0000-0A00-00000D000000}" name="C4" dataDxfId="245">
      <calculatedColumnFormula>IF(COUNTIFS(tblRed[Nodo Inicial],tblMatrizDeAdyacencia[[#This Row],[Nodo Orig.\Dest.]],tblRed[Nodo Final],tblMatrizDeAdyacencia[[#Headers],[C4]],tblRed[Activo],1)&gt;0,1,0)</calculatedColumnFormula>
    </tableColumn>
    <tableColumn id="14" xr3:uid="{00000000-0010-0000-0A00-00000E000000}" name="C5" dataDxfId="244">
      <calculatedColumnFormula>IF(COUNTIFS(tblRed[Nodo Inicial],tblMatrizDeAdyacencia[[#This Row],[Nodo Orig.\Dest.]],tblRed[Nodo Final],tblMatrizDeAdyacencia[[#Headers],[C5]],tblRed[Activo],1)&gt;0,1,0)</calculatedColumnFormula>
    </tableColumn>
    <tableColumn id="15" xr3:uid="{00000000-0010-0000-0A00-00000F000000}" name="C6" dataDxfId="243">
      <calculatedColumnFormula>IF(COUNTIFS(tblRed[Nodo Inicial],tblMatrizDeAdyacencia[[#This Row],[Nodo Orig.\Dest.]],tblRed[Nodo Final],tblMatrizDeAdyacencia[[#Headers],[C6]],tblRed[Activo],1)&gt;0,1,0)</calculatedColumnFormula>
    </tableColumn>
    <tableColumn id="16" xr3:uid="{00000000-0010-0000-0A00-000010000000}" name="I1" dataDxfId="242">
      <calculatedColumnFormula>IF(COUNTIFS(tblRed[Nodo Inicial],tblMatrizDeAdyacencia[[#This Row],[Nodo Orig.\Dest.]],tblRed[Nodo Final],tblMatrizDeAdyacencia[[#Headers],[I1]],tblRed[Activo],1)&gt;0,1,0)</calculatedColumnFormula>
    </tableColumn>
    <tableColumn id="17" xr3:uid="{00000000-0010-0000-0A00-000011000000}" name="I2" dataDxfId="241">
      <calculatedColumnFormula>IF(COUNTIFS(tblRed[Nodo Inicial],tblMatrizDeAdyacencia[[#This Row],[Nodo Orig.\Dest.]],tblRed[Nodo Final],tblMatrizDeAdyacencia[[#Headers],[I2]],tblRed[Activo],1)&gt;0,1,0)</calculatedColumnFormula>
    </tableColumn>
    <tableColumn id="18" xr3:uid="{00000000-0010-0000-0A00-000012000000}" name="I3" dataDxfId="240">
      <calculatedColumnFormula>IF(COUNTIFS(tblRed[Nodo Inicial],tblMatrizDeAdyacencia[[#This Row],[Nodo Orig.\Dest.]],tblRed[Nodo Final],tblMatrizDeAdyacencia[[#Headers],[I3]],tblRed[Activo],1)&gt;0,1,0)</calculatedColumnFormula>
    </tableColumn>
    <tableColumn id="19" xr3:uid="{00000000-0010-0000-0A00-000013000000}" name="I4" dataDxfId="239">
      <calculatedColumnFormula>IF(COUNTIFS(tblRed[Nodo Inicial],tblMatrizDeAdyacencia[[#This Row],[Nodo Orig.\Dest.]],tblRed[Nodo Final],tblMatrizDeAdyacencia[[#Headers],[I4]],tblRed[Activo],1)&gt;0,1,0)</calculatedColumnFormula>
    </tableColumn>
    <tableColumn id="20" xr3:uid="{00000000-0010-0000-0A00-000014000000}" name="I5" dataDxfId="238">
      <calculatedColumnFormula>IF(COUNTIFS(tblRed[Nodo Inicial],tblMatrizDeAdyacencia[[#This Row],[Nodo Orig.\Dest.]],tblRed[Nodo Final],tblMatrizDeAdyacencia[[#Headers],[I5]],tblRed[Activo],1)&gt;0,1,0)</calculatedColumnFormula>
    </tableColumn>
    <tableColumn id="22" xr3:uid="{00000000-0010-0000-0A00-000016000000}" name="I6" dataDxfId="237">
      <calculatedColumnFormula>IF(COUNTIFS(tblRed[Nodo Inicial],tblMatrizDeAdyacencia[[#This Row],[Nodo Orig.\Dest.]],tblRed[Nodo Final],tblMatrizDeAdyacencia[[#Headers],[I6]],tblRed[Activo],1)&gt;0,1,0)</calculatedColumnFormula>
    </tableColumn>
    <tableColumn id="23" xr3:uid="{00000000-0010-0000-0A00-000017000000}" name="I7" dataDxfId="236">
      <calculatedColumnFormula>IF(COUNTIFS(tblRed[Nodo Inicial],tblMatrizDeAdyacencia[[#This Row],[Nodo Orig.\Dest.]],tblRed[Nodo Final],tblMatrizDeAdyacencia[[#Headers],[I7]],tblRed[Activo],1)&gt;0,1,0)</calculatedColumnFormula>
    </tableColumn>
    <tableColumn id="24" xr3:uid="{00000000-0010-0000-0A00-000018000000}" name="I8" dataDxfId="235">
      <calculatedColumnFormula>IF(COUNTIFS(tblRed[Nodo Inicial],tblMatrizDeAdyacencia[[#This Row],[Nodo Orig.\Dest.]],tblRed[Nodo Final],tblMatrizDeAdyacencia[[#Headers],[I8]],tblRed[Activo],1)&gt;0,1,0)</calculatedColumnFormula>
    </tableColumn>
    <tableColumn id="25" xr3:uid="{00000000-0010-0000-0A00-000019000000}" name="I9" dataDxfId="234">
      <calculatedColumnFormula>IF(COUNTIFS(tblRed[Nodo Inicial],tblMatrizDeAdyacencia[[#This Row],[Nodo Orig.\Dest.]],tblRed[Nodo Final],tblMatrizDeAdyacencia[[#Headers],[I9]],tblRed[Activo],1)&gt;0,1,0)</calculatedColumnFormula>
    </tableColumn>
    <tableColumn id="26" xr3:uid="{00000000-0010-0000-0A00-00001A000000}" name="I10" dataDxfId="233">
      <calculatedColumnFormula>IF(COUNTIFS(tblRed[Nodo Inicial],tblMatrizDeAdyacencia[[#This Row],[Nodo Orig.\Dest.]],tblRed[Nodo Final],tblMatrizDeAdyacencia[[#Headers],[I10]],tblRed[Activo],1)&gt;0,1,0)</calculatedColumnFormula>
    </tableColumn>
    <tableColumn id="27" xr3:uid="{00000000-0010-0000-0A00-00001B000000}" name="I11" dataDxfId="232">
      <calculatedColumnFormula>IF(COUNTIFS(tblRed[Nodo Inicial],tblMatrizDeAdyacencia[[#This Row],[Nodo Orig.\Dest.]],tblRed[Nodo Final],tblMatrizDeAdyacencia[[#Headers],[I11]],tblRed[Activo],1)&gt;0,1,0)</calculatedColumnFormula>
    </tableColumn>
    <tableColumn id="28" xr3:uid="{00000000-0010-0000-0A00-00001C000000}" name="I12" dataDxfId="231">
      <calculatedColumnFormula>IF(COUNTIFS(tblRed[Nodo Inicial],tblMatrizDeAdyacencia[[#This Row],[Nodo Orig.\Dest.]],tblRed[Nodo Final],tblMatrizDeAdyacencia[[#Headers],[I12]],tblRed[Activo],1)&gt;0,1,0)</calculatedColumnFormula>
    </tableColumn>
    <tableColumn id="29" xr3:uid="{00000000-0010-0000-0A00-00001D000000}" name="G1" dataDxfId="230">
      <calculatedColumnFormula>IF(COUNTIFS(tblRed[Nodo Inicial],tblMatrizDeAdyacencia[[#This Row],[Nodo Orig.\Dest.]],tblRed[Nodo Final],tblMatrizDeAdyacencia[[#Headers],[G1]],tblRed[Activo],1)&gt;0,1,0)</calculatedColumnFormula>
    </tableColumn>
    <tableColumn id="30" xr3:uid="{00000000-0010-0000-0A00-00001E000000}" name="G2" dataDxfId="229">
      <calculatedColumnFormula>IF(COUNTIFS(tblRed[Nodo Inicial],tblMatrizDeAdyacencia[[#This Row],[Nodo Orig.\Dest.]],tblRed[Nodo Final],tblMatrizDeAdyacencia[[#Headers],[G2]],tblRed[Activo],1)&gt;0,1,0)</calculatedColumnFormula>
    </tableColumn>
    <tableColumn id="31" xr3:uid="{00000000-0010-0000-0A00-00001F000000}" name="G3" dataDxfId="228">
      <calculatedColumnFormula>IF(COUNTIFS(tblRed[Nodo Inicial],tblMatrizDeAdyacencia[[#This Row],[Nodo Orig.\Dest.]],tblRed[Nodo Final],tblMatrizDeAdyacencia[[#Headers],[G3]],tblRed[Activo],1)&gt;0,1,0)</calculatedColumnFormula>
    </tableColumn>
    <tableColumn id="32" xr3:uid="{00000000-0010-0000-0A00-000020000000}" name="G4" dataDxfId="227">
      <calculatedColumnFormula>IF(COUNTIFS(tblRed[Nodo Inicial],tblMatrizDeAdyacencia[[#This Row],[Nodo Orig.\Dest.]],tblRed[Nodo Final],tblMatrizDeAdyacencia[[#Headers],[G4]],tblRed[Activo],1)&gt;0,1,0)</calculatedColumnFormula>
    </tableColumn>
    <tableColumn id="33" xr3:uid="{00000000-0010-0000-0A00-000021000000}" name="D1" dataDxfId="226">
      <calculatedColumnFormula>IF(COUNTIFS(tblRed[Nodo Inicial],tblMatrizDeAdyacencia[[#This Row],[Nodo Orig.\Dest.]],tblRed[Nodo Final],tblMatrizDeAdyacencia[[#Headers],[D1]],tblRed[Activo],1)&gt;0,1,0)</calculatedColumnFormula>
    </tableColumn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MatrizPonderadaCostes" displayName="tblMatrizPonderadaCostes" ref="B3:AH34" totalsRowShown="0" headerRowDxfId="222" dataDxfId="220" headerRowBorderDxfId="221" tableBorderDxfId="219" totalsRowBorderDxfId="218">
  <tableColumns count="33">
    <tableColumn id="21" xr3:uid="{00000000-0010-0000-0B00-000015000000}" name="Nombre Nodo" dataDxfId="217">
      <calculatedColumnFormula>VLOOKUP(tblMatrizPonderadaCostes[[#This Row],[Nodo Orig.\Dest.]],tblNodos[],2,FALSE)</calculatedColumnFormula>
    </tableColumn>
    <tableColumn id="1" xr3:uid="{00000000-0010-0000-0B00-000001000000}" name="Nodo Orig.\Dest." dataDxfId="216"/>
    <tableColumn id="2" xr3:uid="{00000000-0010-0000-0B00-000002000000}" name="O1" dataDxfId="215">
      <calculatedColumnFormula>IF(MatrizDeAdyacencia!D4=1, SUMIFS(tblRed[COSTE], tblRed[Nodo Inicial], $C4, tblRed[Nodo Final], D$3, tblRed[Activo], 1), 0)</calculatedColumnFormula>
    </tableColumn>
    <tableColumn id="3" xr3:uid="{00000000-0010-0000-0B00-000003000000}" name="O2" dataDxfId="214">
      <calculatedColumnFormula>IF(MatrizDeAdyacencia!E4=1, SUMIFS(tblRed[COSTE], tblRed[Nodo Inicial], $C4, tblRed[Nodo Final], E$3, tblRed[Activo], 1), 0)</calculatedColumnFormula>
    </tableColumn>
    <tableColumn id="4" xr3:uid="{00000000-0010-0000-0B00-000004000000}" name="O3" dataDxfId="213">
      <calculatedColumnFormula>IF(MatrizDeAdyacencia!F4=1, SUMIFS(tblRed[COSTE], tblRed[Nodo Inicial], $C4, tblRed[Nodo Final], F$3, tblRed[Activo], 1), 0)</calculatedColumnFormula>
    </tableColumn>
    <tableColumn id="5" xr3:uid="{00000000-0010-0000-0B00-000005000000}" name="O4" dataDxfId="212">
      <calculatedColumnFormula>IF(MatrizDeAdyacencia!G4=1, SUMIFS(tblRed[COSTE], tblRed[Nodo Inicial], $C4, tblRed[Nodo Final], G$3, tblRed[Activo], 1), 0)</calculatedColumnFormula>
    </tableColumn>
    <tableColumn id="6" xr3:uid="{00000000-0010-0000-0B00-000006000000}" name="O5" dataDxfId="211">
      <calculatedColumnFormula>IF(MatrizDeAdyacencia!H4=1, SUMIFS(tblRed[COSTE], tblRed[Nodo Inicial], $C4, tblRed[Nodo Final], H$3, tblRed[Activo], 1), 0)</calculatedColumnFormula>
    </tableColumn>
    <tableColumn id="7" xr3:uid="{00000000-0010-0000-0B00-000007000000}" name="O6" dataDxfId="210">
      <calculatedColumnFormula>IF(MatrizDeAdyacencia!I4=1, SUMIFS(tblRed[COSTE], tblRed[Nodo Inicial], $C4, tblRed[Nodo Final], I$3, tblRed[Activo], 1), 0)</calculatedColumnFormula>
    </tableColumn>
    <tableColumn id="8" xr3:uid="{00000000-0010-0000-0B00-000008000000}" name="O7" dataDxfId="209">
      <calculatedColumnFormula>IF(MatrizDeAdyacencia!J4=1, SUMIFS(tblRed[COSTE], tblRed[Nodo Inicial], $C4, tblRed[Nodo Final], J$3, tblRed[Activo], 1), 0)</calculatedColumnFormula>
    </tableColumn>
    <tableColumn id="9" xr3:uid="{00000000-0010-0000-0B00-000009000000}" name="O8" dataDxfId="208">
      <calculatedColumnFormula>IF(MatrizDeAdyacencia!K4=1, SUMIFS(tblRed[COSTE], tblRed[Nodo Inicial], $C4, tblRed[Nodo Final], K$3, tblRed[Activo], 1), 0)</calculatedColumnFormula>
    </tableColumn>
    <tableColumn id="10" xr3:uid="{00000000-0010-0000-0B00-00000A000000}" name="C1" dataDxfId="207">
      <calculatedColumnFormula>IF(MatrizDeAdyacencia!L4=1, SUMIFS(tblRed[COSTE], tblRed[Nodo Inicial], $C4, tblRed[Nodo Final], L$3, tblRed[Activo], 1), 0)</calculatedColumnFormula>
    </tableColumn>
    <tableColumn id="11" xr3:uid="{00000000-0010-0000-0B00-00000B000000}" name="C2" dataDxfId="206">
      <calculatedColumnFormula>IF(MatrizDeAdyacencia!M4=1, SUMIFS(tblRed[COSTE], tblRed[Nodo Inicial], $C4, tblRed[Nodo Final], M$3, tblRed[Activo], 1), 0)</calculatedColumnFormula>
    </tableColumn>
    <tableColumn id="12" xr3:uid="{00000000-0010-0000-0B00-00000C000000}" name="C3" dataDxfId="205">
      <calculatedColumnFormula>IF(MatrizDeAdyacencia!N4=1, SUMIFS(tblRed[COSTE], tblRed[Nodo Inicial], $C4, tblRed[Nodo Final], N$3, tblRed[Activo], 1), 0)</calculatedColumnFormula>
    </tableColumn>
    <tableColumn id="13" xr3:uid="{00000000-0010-0000-0B00-00000D000000}" name="C4" dataDxfId="204">
      <calculatedColumnFormula>IF(MatrizDeAdyacencia!O4=1, SUMIFS(tblRed[COSTE], tblRed[Nodo Inicial], $C4, tblRed[Nodo Final], O$3, tblRed[Activo], 1), 0)</calculatedColumnFormula>
    </tableColumn>
    <tableColumn id="14" xr3:uid="{00000000-0010-0000-0B00-00000E000000}" name="C5" dataDxfId="203">
      <calculatedColumnFormula>IF(MatrizDeAdyacencia!P4=1, SUMIFS(tblRed[COSTE], tblRed[Nodo Inicial], $C4, tblRed[Nodo Final], P$3, tblRed[Activo], 1), 0)</calculatedColumnFormula>
    </tableColumn>
    <tableColumn id="15" xr3:uid="{00000000-0010-0000-0B00-00000F000000}" name="C6" dataDxfId="202">
      <calculatedColumnFormula>IF(MatrizDeAdyacencia!Q4=1, SUMIFS(tblRed[COSTE], tblRed[Nodo Inicial], $C4, tblRed[Nodo Final], Q$3, tblRed[Activo], 1), 0)</calculatedColumnFormula>
    </tableColumn>
    <tableColumn id="16" xr3:uid="{00000000-0010-0000-0B00-000010000000}" name="I1" dataDxfId="201">
      <calculatedColumnFormula>IF(MatrizDeAdyacencia!R4=1, SUMIFS(tblRed[COSTE], tblRed[Nodo Inicial], $C4, tblRed[Nodo Final], R$3, tblRed[Activo], 1), 0)</calculatedColumnFormula>
    </tableColumn>
    <tableColumn id="17" xr3:uid="{00000000-0010-0000-0B00-000011000000}" name="I2" dataDxfId="200">
      <calculatedColumnFormula>IF(MatrizDeAdyacencia!S4=1, SUMIFS(tblRed[COSTE], tblRed[Nodo Inicial], $C4, tblRed[Nodo Final], S$3, tblRed[Activo], 1), 0)</calculatedColumnFormula>
    </tableColumn>
    <tableColumn id="18" xr3:uid="{00000000-0010-0000-0B00-000012000000}" name="I3" dataDxfId="199">
      <calculatedColumnFormula>IF(MatrizDeAdyacencia!T4=1, SUMIFS(tblRed[COSTE], tblRed[Nodo Inicial], $C4, tblRed[Nodo Final], T$3, tblRed[Activo], 1), 0)</calculatedColumnFormula>
    </tableColumn>
    <tableColumn id="19" xr3:uid="{00000000-0010-0000-0B00-000013000000}" name="I4" dataDxfId="198">
      <calculatedColumnFormula>IF(MatrizDeAdyacencia!U4=1, SUMIFS(tblRed[COSTE], tblRed[Nodo Inicial], $C4, tblRed[Nodo Final], U$3, tblRed[Activo], 1), 0)</calculatedColumnFormula>
    </tableColumn>
    <tableColumn id="20" xr3:uid="{00000000-0010-0000-0B00-000014000000}" name="I5" dataDxfId="197">
      <calculatedColumnFormula>IF(MatrizDeAdyacencia!V4=1, SUMIFS(tblRed[COSTE], tblRed[Nodo Inicial], $C4, tblRed[Nodo Final], V$3, tblRed[Activo], 1), 0)</calculatedColumnFormula>
    </tableColumn>
    <tableColumn id="22" xr3:uid="{977300C6-6739-44F8-B537-2D4284E142C7}" name="I6" dataDxfId="196">
      <calculatedColumnFormula>IF(MatrizDeAdyacencia!W4=1, SUMIFS(tblRed[COSTE], tblRed[Nodo Inicial], $C4, tblRed[Nodo Final], W$3, tblRed[Activo], 1), 0)</calculatedColumnFormula>
    </tableColumn>
    <tableColumn id="23" xr3:uid="{640757E0-1ECF-4510-96DD-18C95185032C}" name="I7" dataDxfId="195">
      <calculatedColumnFormula>IF(MatrizDeAdyacencia!X4=1, SUMIFS(tblRed[COSTE], tblRed[Nodo Inicial], $C4, tblRed[Nodo Final], X$3, tblRed[Activo], 1), 0)</calculatedColumnFormula>
    </tableColumn>
    <tableColumn id="24" xr3:uid="{DEDF82C4-920D-40CC-8C3B-2EA695E72FA9}" name="I8" dataDxfId="194">
      <calculatedColumnFormula>IF(MatrizDeAdyacencia!Y4=1, SUMIFS(tblRed[COSTE], tblRed[Nodo Inicial], $C4, tblRed[Nodo Final], Y$3, tblRed[Activo], 1), 0)</calculatedColumnFormula>
    </tableColumn>
    <tableColumn id="25" xr3:uid="{97136764-5B5C-48ED-A9CC-295C313F746C}" name="I9" dataDxfId="193">
      <calculatedColumnFormula>IF(MatrizDeAdyacencia!Z4=1, SUMIFS(tblRed[COSTE], tblRed[Nodo Inicial], $C4, tblRed[Nodo Final], Z$3, tblRed[Activo], 1), 0)</calculatedColumnFormula>
    </tableColumn>
    <tableColumn id="26" xr3:uid="{1465FA0A-60DD-41F4-BA7D-BF207A81D94E}" name="I10" dataDxfId="192">
      <calculatedColumnFormula>IF(MatrizDeAdyacencia!AA4=1, SUMIFS(tblRed[COSTE], tblRed[Nodo Inicial], $C4, tblRed[Nodo Final], AA$3, tblRed[Activo], 1), 0)</calculatedColumnFormula>
    </tableColumn>
    <tableColumn id="27" xr3:uid="{4CC16612-5A2C-4B1F-8C55-6BE4CF95EACF}" name="I11" dataDxfId="191">
      <calculatedColumnFormula>IF(MatrizDeAdyacencia!AB4=1, SUMIFS(tblRed[COSTE], tblRed[Nodo Inicial], $C4, tblRed[Nodo Final], AB$3, tblRed[Activo], 1), 0)</calculatedColumnFormula>
    </tableColumn>
    <tableColumn id="28" xr3:uid="{76A07808-F02D-4CB9-95DA-C714C7013F37}" name="I12" dataDxfId="190">
      <calculatedColumnFormula>IF(MatrizDeAdyacencia!AC4=1, SUMIFS(tblRed[COSTE], tblRed[Nodo Inicial], $C4, tblRed[Nodo Final], AC$3, tblRed[Activo], 1), 0)</calculatedColumnFormula>
    </tableColumn>
    <tableColumn id="29" xr3:uid="{98AE37BE-1E61-43A9-9D32-2BEE998DF465}" name="G1" dataDxfId="189">
      <calculatedColumnFormula>IF(MatrizDeAdyacencia!AD4=1, SUMIFS(tblRed[COSTE], tblRed[Nodo Inicial], $C4, tblRed[Nodo Final], AD$3, tblRed[Activo], 1), 0)</calculatedColumnFormula>
    </tableColumn>
    <tableColumn id="30" xr3:uid="{FB8623BC-B47B-4E3D-B7E3-4768C1740BA5}" name="G2" dataDxfId="188">
      <calculatedColumnFormula>IF(MatrizDeAdyacencia!AE4=1, SUMIFS(tblRed[COSTE], tblRed[Nodo Inicial], $C4, tblRed[Nodo Final], AE$3, tblRed[Activo], 1), 0)</calculatedColumnFormula>
    </tableColumn>
    <tableColumn id="31" xr3:uid="{F896F2B2-5A9F-4A31-9AF3-23A8F0E3D6F4}" name="G3" dataDxfId="187">
      <calculatedColumnFormula>IF(MatrizDeAdyacencia!AF4=1, SUMIFS(tblRed[COSTE], tblRed[Nodo Inicial], $C4, tblRed[Nodo Final], AF$3, tblRed[Activo], 1), 0)</calculatedColumnFormula>
    </tableColumn>
    <tableColumn id="32" xr3:uid="{11F345CF-EE59-4204-A41C-8E9127B7AF0F}" name="G4" dataDxfId="186">
      <calculatedColumnFormula>IF(MatrizDeAdyacencia!AG4=1, SUMIFS(tblRed[COSTE], tblRed[Nodo Inicial], $C4, tblRed[Nodo Final], AG$3, tblRed[Activo], 1), 0)</calculatedColumnFormula>
    </tableColumn>
    <tableColumn id="33" xr3:uid="{8A88361E-88A1-4877-BC7C-7FF848E8B058}" name="D1" dataDxfId="185">
      <calculatedColumnFormula>IF(MatrizDeAdyacencia!AH4=1, SUMIFS(tblRed[COSTE], tblRed[Nodo Inicial], $C4, tblRed[Nodo Final], AH$3, tblRed[Activo], 1), 0)</calculatedColumnFormula>
    </tableColumn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MatrizPonderadaValorOperativo" displayName="tblMatrizPonderadaValorOperativo" ref="B3:AH34" totalsRowShown="0" headerRowDxfId="181" dataDxfId="179" headerRowBorderDxfId="180" tableBorderDxfId="178" totalsRowBorderDxfId="177">
  <tableColumns count="33">
    <tableColumn id="21" xr3:uid="{00000000-0010-0000-0C00-000015000000}" name="Nombre Nodo" dataDxfId="176">
      <calculatedColumnFormula>VLOOKUP(tblMatrizPonderadaValorOperativo[[#This Row],[Nodo Orig.\Dest.]],tblNodos[],2,FALSE)</calculatedColumnFormula>
    </tableColumn>
    <tableColumn id="1" xr3:uid="{00000000-0010-0000-0C00-000001000000}" name="Nodo Orig.\Dest." dataDxfId="175"/>
    <tableColumn id="2" xr3:uid="{00000000-0010-0000-0C00-000002000000}" name="O1" dataDxfId="174">
      <calculatedColumnFormula>IF(MatrizDeAdyacencia!D4=1, SUMIFS(tblRed[VALOR OPERATIVO], tblRed[Nodo Inicial], $C4, tblRed[Nodo Final], D$3, tblRed[Activo], 1), 0)</calculatedColumnFormula>
    </tableColumn>
    <tableColumn id="3" xr3:uid="{00000000-0010-0000-0C00-000003000000}" name="O2" dataDxfId="173">
      <calculatedColumnFormula>IF(MatrizDeAdyacencia!E4=1, SUMIFS(tblRed[VALOR OPERATIVO], tblRed[Nodo Inicial], $C4, tblRed[Nodo Final], E$3, tblRed[Activo], 1), 0)</calculatedColumnFormula>
    </tableColumn>
    <tableColumn id="4" xr3:uid="{00000000-0010-0000-0C00-000004000000}" name="O3" dataDxfId="172">
      <calculatedColumnFormula>IF(MatrizDeAdyacencia!F4=1, SUMIFS(tblRed[VALOR OPERATIVO], tblRed[Nodo Inicial], $C4, tblRed[Nodo Final], F$3, tblRed[Activo], 1), 0)</calculatedColumnFormula>
    </tableColumn>
    <tableColumn id="5" xr3:uid="{00000000-0010-0000-0C00-000005000000}" name="O4" dataDxfId="171">
      <calculatedColumnFormula>IF(MatrizDeAdyacencia!G4=1, SUMIFS(tblRed[VALOR OPERATIVO], tblRed[Nodo Inicial], $C4, tblRed[Nodo Final], G$3, tblRed[Activo], 1), 0)</calculatedColumnFormula>
    </tableColumn>
    <tableColumn id="6" xr3:uid="{00000000-0010-0000-0C00-000006000000}" name="O5" dataDxfId="170">
      <calculatedColumnFormula>IF(MatrizDeAdyacencia!H4=1, SUMIFS(tblRed[VALOR OPERATIVO], tblRed[Nodo Inicial], $C4, tblRed[Nodo Final], H$3, tblRed[Activo], 1), 0)</calculatedColumnFormula>
    </tableColumn>
    <tableColumn id="7" xr3:uid="{00000000-0010-0000-0C00-000007000000}" name="O6" dataDxfId="169">
      <calculatedColumnFormula>IF(MatrizDeAdyacencia!I4=1, SUMIFS(tblRed[VALOR OPERATIVO], tblRed[Nodo Inicial], $C4, tblRed[Nodo Final], I$3, tblRed[Activo], 1), 0)</calculatedColumnFormula>
    </tableColumn>
    <tableColumn id="8" xr3:uid="{00000000-0010-0000-0C00-000008000000}" name="O7" dataDxfId="168">
      <calculatedColumnFormula>IF(MatrizDeAdyacencia!J4=1, SUMIFS(tblRed[VALOR OPERATIVO], tblRed[Nodo Inicial], $C4, tblRed[Nodo Final], J$3, tblRed[Activo], 1), 0)</calculatedColumnFormula>
    </tableColumn>
    <tableColumn id="9" xr3:uid="{00000000-0010-0000-0C00-000009000000}" name="O8" dataDxfId="167">
      <calculatedColumnFormula>IF(MatrizDeAdyacencia!K4=1, SUMIFS(tblRed[VALOR OPERATIVO], tblRed[Nodo Inicial], $C4, tblRed[Nodo Final], K$3, tblRed[Activo], 1), 0)</calculatedColumnFormula>
    </tableColumn>
    <tableColumn id="10" xr3:uid="{00000000-0010-0000-0C00-00000A000000}" name="C1" dataDxfId="166">
      <calculatedColumnFormula>IF(MatrizDeAdyacencia!L4=1, SUMIFS(tblRed[VALOR OPERATIVO], tblRed[Nodo Inicial], $C4, tblRed[Nodo Final], L$3, tblRed[Activo], 1), 0)</calculatedColumnFormula>
    </tableColumn>
    <tableColumn id="11" xr3:uid="{00000000-0010-0000-0C00-00000B000000}" name="C2" dataDxfId="165">
      <calculatedColumnFormula>IF(MatrizDeAdyacencia!M4=1, SUMIFS(tblRed[VALOR OPERATIVO], tblRed[Nodo Inicial], $C4, tblRed[Nodo Final], M$3, tblRed[Activo], 1), 0)</calculatedColumnFormula>
    </tableColumn>
    <tableColumn id="12" xr3:uid="{00000000-0010-0000-0C00-00000C000000}" name="C3" dataDxfId="164">
      <calculatedColumnFormula>IF(MatrizDeAdyacencia!N4=1, SUMIFS(tblRed[VALOR OPERATIVO], tblRed[Nodo Inicial], $C4, tblRed[Nodo Final], N$3, tblRed[Activo], 1), 0)</calculatedColumnFormula>
    </tableColumn>
    <tableColumn id="13" xr3:uid="{00000000-0010-0000-0C00-00000D000000}" name="C4" dataDxfId="163">
      <calculatedColumnFormula>IF(MatrizDeAdyacencia!O4=1, SUMIFS(tblRed[VALOR OPERATIVO], tblRed[Nodo Inicial], $C4, tblRed[Nodo Final], O$3, tblRed[Activo], 1), 0)</calculatedColumnFormula>
    </tableColumn>
    <tableColumn id="14" xr3:uid="{00000000-0010-0000-0C00-00000E000000}" name="C5" dataDxfId="162">
      <calculatedColumnFormula>IF(MatrizDeAdyacencia!P4=1, SUMIFS(tblRed[VALOR OPERATIVO], tblRed[Nodo Inicial], $C4, tblRed[Nodo Final], P$3, tblRed[Activo], 1), 0)</calculatedColumnFormula>
    </tableColumn>
    <tableColumn id="15" xr3:uid="{00000000-0010-0000-0C00-00000F000000}" name="C6" dataDxfId="161">
      <calculatedColumnFormula>IF(MatrizDeAdyacencia!Q4=1, SUMIFS(tblRed[VALOR OPERATIVO], tblRed[Nodo Inicial], $C4, tblRed[Nodo Final], Q$3, tblRed[Activo], 1), 0)</calculatedColumnFormula>
    </tableColumn>
    <tableColumn id="16" xr3:uid="{00000000-0010-0000-0C00-000010000000}" name="I1" dataDxfId="160">
      <calculatedColumnFormula>IF(MatrizDeAdyacencia!R4=1, SUMIFS(tblRed[VALOR OPERATIVO], tblRed[Nodo Inicial], $C4, tblRed[Nodo Final], R$3, tblRed[Activo], 1), 0)</calculatedColumnFormula>
    </tableColumn>
    <tableColumn id="17" xr3:uid="{00000000-0010-0000-0C00-000011000000}" name="I2" dataDxfId="159">
      <calculatedColumnFormula>IF(MatrizDeAdyacencia!S4=1, SUMIFS(tblRed[VALOR OPERATIVO], tblRed[Nodo Inicial], $C4, tblRed[Nodo Final], S$3, tblRed[Activo], 1), 0)</calculatedColumnFormula>
    </tableColumn>
    <tableColumn id="18" xr3:uid="{00000000-0010-0000-0C00-000012000000}" name="I3" dataDxfId="158">
      <calculatedColumnFormula>IF(MatrizDeAdyacencia!T4=1, SUMIFS(tblRed[VALOR OPERATIVO], tblRed[Nodo Inicial], $C4, tblRed[Nodo Final], T$3, tblRed[Activo], 1), 0)</calculatedColumnFormula>
    </tableColumn>
    <tableColumn id="19" xr3:uid="{00000000-0010-0000-0C00-000013000000}" name="I4" dataDxfId="157">
      <calculatedColumnFormula>IF(MatrizDeAdyacencia!U4=1, SUMIFS(tblRed[VALOR OPERATIVO], tblRed[Nodo Inicial], $C4, tblRed[Nodo Final], U$3, tblRed[Activo], 1), 0)</calculatedColumnFormula>
    </tableColumn>
    <tableColumn id="20" xr3:uid="{00000000-0010-0000-0C00-000014000000}" name="I5" dataDxfId="156">
      <calculatedColumnFormula>IF(MatrizDeAdyacencia!V4=1, SUMIFS(tblRed[VALOR OPERATIVO], tblRed[Nodo Inicial], $C4, tblRed[Nodo Final], V$3, tblRed[Activo], 1), 0)</calculatedColumnFormula>
    </tableColumn>
    <tableColumn id="22" xr3:uid="{7B127AAF-CF45-4E74-A0D0-9BFA97AE9BC0}" name="I6" dataDxfId="155">
      <calculatedColumnFormula>IF(MatrizDeAdyacencia!W4=1, SUMIFS(tblRed[VALOR OPERATIVO], tblRed[Nodo Inicial], $C4, tblRed[Nodo Final], W$3, tblRed[Activo], 1), 0)</calculatedColumnFormula>
    </tableColumn>
    <tableColumn id="23" xr3:uid="{567A18FE-7872-4980-AE82-8D509DA240B4}" name="I7" dataDxfId="154">
      <calculatedColumnFormula>IF(MatrizDeAdyacencia!X4=1, SUMIFS(tblRed[VALOR OPERATIVO], tblRed[Nodo Inicial], $C4, tblRed[Nodo Final], X$3, tblRed[Activo], 1), 0)</calculatedColumnFormula>
    </tableColumn>
    <tableColumn id="24" xr3:uid="{FAAB7600-8752-4F73-8964-C82821F69517}" name="I8" dataDxfId="153">
      <calculatedColumnFormula>IF(MatrizDeAdyacencia!Y4=1, SUMIFS(tblRed[VALOR OPERATIVO], tblRed[Nodo Inicial], $C4, tblRed[Nodo Final], Y$3, tblRed[Activo], 1), 0)</calculatedColumnFormula>
    </tableColumn>
    <tableColumn id="25" xr3:uid="{6FDE4E81-8145-4873-9C76-710CA90AE1B5}" name="I9" dataDxfId="152">
      <calculatedColumnFormula>IF(MatrizDeAdyacencia!Z4=1, SUMIFS(tblRed[VALOR OPERATIVO], tblRed[Nodo Inicial], $C4, tblRed[Nodo Final], Z$3, tblRed[Activo], 1), 0)</calculatedColumnFormula>
    </tableColumn>
    <tableColumn id="26" xr3:uid="{4618F7A8-33DD-49CF-9CD4-C43DFEF80A84}" name="I10" dataDxfId="151">
      <calculatedColumnFormula>IF(MatrizDeAdyacencia!AA4=1, SUMIFS(tblRed[VALOR OPERATIVO], tblRed[Nodo Inicial], $C4, tblRed[Nodo Final], AA$3, tblRed[Activo], 1), 0)</calculatedColumnFormula>
    </tableColumn>
    <tableColumn id="27" xr3:uid="{2CD7C679-2906-4655-85A9-4D1CD82F8777}" name="I11" dataDxfId="150">
      <calculatedColumnFormula>IF(MatrizDeAdyacencia!AB4=1, SUMIFS(tblRed[VALOR OPERATIVO], tblRed[Nodo Inicial], $C4, tblRed[Nodo Final], AB$3, tblRed[Activo], 1), 0)</calculatedColumnFormula>
    </tableColumn>
    <tableColumn id="28" xr3:uid="{24C37309-1628-4B86-B6EF-0C14C61E2ECA}" name="I12" dataDxfId="149">
      <calculatedColumnFormula>IF(MatrizDeAdyacencia!AC4=1, SUMIFS(tblRed[VALOR OPERATIVO], tblRed[Nodo Inicial], $C4, tblRed[Nodo Final], AC$3, tblRed[Activo], 1), 0)</calculatedColumnFormula>
    </tableColumn>
    <tableColumn id="29" xr3:uid="{F76F1C6C-70EA-4AC5-8A17-D63542DD165F}" name="G1" dataDxfId="148">
      <calculatedColumnFormula>IF(MatrizDeAdyacencia!AD4=1, SUMIFS(tblRed[VALOR OPERATIVO], tblRed[Nodo Inicial], $C4, tblRed[Nodo Final], AD$3, tblRed[Activo], 1), 0)</calculatedColumnFormula>
    </tableColumn>
    <tableColumn id="30" xr3:uid="{D19864D2-DD32-4F44-A0B4-70C6B14EB745}" name="G2" dataDxfId="147">
      <calculatedColumnFormula>IF(MatrizDeAdyacencia!AE4=1, SUMIFS(tblRed[VALOR OPERATIVO], tblRed[Nodo Inicial], $C4, tblRed[Nodo Final], AE$3, tblRed[Activo], 1), 0)</calculatedColumnFormula>
    </tableColumn>
    <tableColumn id="31" xr3:uid="{DF100731-826D-4E2B-91CA-0F4353B9E5E1}" name="G3" dataDxfId="146">
      <calculatedColumnFormula>IF(MatrizDeAdyacencia!AF4=1, SUMIFS(tblRed[VALOR OPERATIVO], tblRed[Nodo Inicial], $C4, tblRed[Nodo Final], AF$3, tblRed[Activo], 1), 0)</calculatedColumnFormula>
    </tableColumn>
    <tableColumn id="32" xr3:uid="{C195A34B-1FCD-4FDF-87E8-71A08ECD576D}" name="G4" dataDxfId="145">
      <calculatedColumnFormula>IF(MatrizDeAdyacencia!AG4=1, SUMIFS(tblRed[VALOR OPERATIVO], tblRed[Nodo Inicial], $C4, tblRed[Nodo Final], AG$3, tblRed[Activo], 1), 0)</calculatedColumnFormula>
    </tableColumn>
    <tableColumn id="33" xr3:uid="{8084A9EA-678F-46AB-B618-F38168F5B8C0}" name="D1" dataDxfId="144">
      <calculatedColumnFormula>IF(MatrizDeAdyacencia!AH4=1, SUMIFS(tblRed[VALOR OPERATIVO], tblRed[Nodo Inicial], $C4, tblRed[Nodo Final], AH$3, tblRed[Activo], 1), 0)</calculatedColumnFormula>
    </tableColumn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MatrizTradeOff" displayName="tblMatrizTradeOff" ref="B3:AH34" totalsRowShown="0" headerRowDxfId="140" dataDxfId="138" headerRowBorderDxfId="139" tableBorderDxfId="137" totalsRowBorderDxfId="136">
  <tableColumns count="33">
    <tableColumn id="21" xr3:uid="{00000000-0010-0000-0D00-000015000000}" name="Nombre Nodo" dataDxfId="135">
      <calculatedColumnFormula>VLOOKUP(tblMatrizTradeOff[[#This Row],[Nodo Orig.\Dest.]],tblNodos[],2,FALSE)</calculatedColumnFormula>
    </tableColumn>
    <tableColumn id="1" xr3:uid="{00000000-0010-0000-0D00-000001000000}" name="Nodo Orig.\Dest." dataDxfId="134"/>
    <tableColumn id="2" xr3:uid="{00000000-0010-0000-0D00-000002000000}" name="O1" dataDxfId="133">
      <calculatedColumnFormula>IF(MatrizDeAdyacencia!D4=1, SUMIFS(tblRed[TRADE OFF VALOR OPERATIVO/COSTE], tblRed[Nodo Inicial], $C4, tblRed[Nodo Final], D$3, tblRed[Activo], 1), 0)</calculatedColumnFormula>
    </tableColumn>
    <tableColumn id="3" xr3:uid="{00000000-0010-0000-0D00-000003000000}" name="O2" dataDxfId="132">
      <calculatedColumnFormula>IF(MatrizDeAdyacencia!E4=1, SUMIFS(tblRed[TRADE OFF VALOR OPERATIVO/COSTE], tblRed[Nodo Inicial], $C4, tblRed[Nodo Final], E$3, tblRed[Activo], 1), 0)</calculatedColumnFormula>
    </tableColumn>
    <tableColumn id="4" xr3:uid="{00000000-0010-0000-0D00-000004000000}" name="O3" dataDxfId="131">
      <calculatedColumnFormula>IF(MatrizDeAdyacencia!F4=1, SUMIFS(tblRed[TRADE OFF VALOR OPERATIVO/COSTE], tblRed[Nodo Inicial], $C4, tblRed[Nodo Final], F$3, tblRed[Activo], 1), 0)</calculatedColumnFormula>
    </tableColumn>
    <tableColumn id="5" xr3:uid="{00000000-0010-0000-0D00-000005000000}" name="O4" dataDxfId="130">
      <calculatedColumnFormula>IF(MatrizDeAdyacencia!G4=1, SUMIFS(tblRed[TRADE OFF VALOR OPERATIVO/COSTE], tblRed[Nodo Inicial], $C4, tblRed[Nodo Final], G$3, tblRed[Activo], 1), 0)</calculatedColumnFormula>
    </tableColumn>
    <tableColumn id="6" xr3:uid="{00000000-0010-0000-0D00-000006000000}" name="O5" dataDxfId="129">
      <calculatedColumnFormula>IF(MatrizDeAdyacencia!H4=1, SUMIFS(tblRed[TRADE OFF VALOR OPERATIVO/COSTE], tblRed[Nodo Inicial], $C4, tblRed[Nodo Final], H$3, tblRed[Activo], 1), 0)</calculatedColumnFormula>
    </tableColumn>
    <tableColumn id="7" xr3:uid="{00000000-0010-0000-0D00-000007000000}" name="O6" dataDxfId="128">
      <calculatedColumnFormula>IF(MatrizDeAdyacencia!I4=1, SUMIFS(tblRed[TRADE OFF VALOR OPERATIVO/COSTE], tblRed[Nodo Inicial], $C4, tblRed[Nodo Final], I$3, tblRed[Activo], 1), 0)</calculatedColumnFormula>
    </tableColumn>
    <tableColumn id="8" xr3:uid="{00000000-0010-0000-0D00-000008000000}" name="O7" dataDxfId="127">
      <calculatedColumnFormula>IF(MatrizDeAdyacencia!J4=1, SUMIFS(tblRed[TRADE OFF VALOR OPERATIVO/COSTE], tblRed[Nodo Inicial], $C4, tblRed[Nodo Final], J$3, tblRed[Activo], 1), 0)</calculatedColumnFormula>
    </tableColumn>
    <tableColumn id="9" xr3:uid="{00000000-0010-0000-0D00-000009000000}" name="O8" dataDxfId="126">
      <calculatedColumnFormula>IF(MatrizDeAdyacencia!K4=1, SUMIFS(tblRed[TRADE OFF VALOR OPERATIVO/COSTE], tblRed[Nodo Inicial], $C4, tblRed[Nodo Final], K$3, tblRed[Activo], 1), 0)</calculatedColumnFormula>
    </tableColumn>
    <tableColumn id="10" xr3:uid="{00000000-0010-0000-0D00-00000A000000}" name="C1" dataDxfId="125">
      <calculatedColumnFormula>IF(MatrizDeAdyacencia!L4=1, SUMIFS(tblRed[TRADE OFF VALOR OPERATIVO/COSTE], tblRed[Nodo Inicial], $C4, tblRed[Nodo Final], L$3, tblRed[Activo], 1), 0)</calculatedColumnFormula>
    </tableColumn>
    <tableColumn id="11" xr3:uid="{00000000-0010-0000-0D00-00000B000000}" name="C2" dataDxfId="124">
      <calculatedColumnFormula>IF(MatrizDeAdyacencia!M4=1, SUMIFS(tblRed[TRADE OFF VALOR OPERATIVO/COSTE], tblRed[Nodo Inicial], $C4, tblRed[Nodo Final], M$3, tblRed[Activo], 1), 0)</calculatedColumnFormula>
    </tableColumn>
    <tableColumn id="12" xr3:uid="{00000000-0010-0000-0D00-00000C000000}" name="C3" dataDxfId="123">
      <calculatedColumnFormula>IF(MatrizDeAdyacencia!N4=1, SUMIFS(tblRed[TRADE OFF VALOR OPERATIVO/COSTE], tblRed[Nodo Inicial], $C4, tblRed[Nodo Final], N$3, tblRed[Activo], 1), 0)</calculatedColumnFormula>
    </tableColumn>
    <tableColumn id="13" xr3:uid="{00000000-0010-0000-0D00-00000D000000}" name="C4" dataDxfId="122">
      <calculatedColumnFormula>IF(MatrizDeAdyacencia!O4=1, SUMIFS(tblRed[TRADE OFF VALOR OPERATIVO/COSTE], tblRed[Nodo Inicial], $C4, tblRed[Nodo Final], O$3, tblRed[Activo], 1), 0)</calculatedColumnFormula>
    </tableColumn>
    <tableColumn id="14" xr3:uid="{00000000-0010-0000-0D00-00000E000000}" name="C5" dataDxfId="121">
      <calculatedColumnFormula>IF(MatrizDeAdyacencia!P4=1, SUMIFS(tblRed[TRADE OFF VALOR OPERATIVO/COSTE], tblRed[Nodo Inicial], $C4, tblRed[Nodo Final], P$3, tblRed[Activo], 1), 0)</calculatedColumnFormula>
    </tableColumn>
    <tableColumn id="15" xr3:uid="{00000000-0010-0000-0D00-00000F000000}" name="C6" dataDxfId="120">
      <calculatedColumnFormula>IF(MatrizDeAdyacencia!Q4=1, SUMIFS(tblRed[TRADE OFF VALOR OPERATIVO/COSTE], tblRed[Nodo Inicial], $C4, tblRed[Nodo Final], Q$3, tblRed[Activo], 1), 0)</calculatedColumnFormula>
    </tableColumn>
    <tableColumn id="16" xr3:uid="{00000000-0010-0000-0D00-000010000000}" name="I1" dataDxfId="119">
      <calculatedColumnFormula>IF(MatrizDeAdyacencia!R4=1, SUMIFS(tblRed[TRADE OFF VALOR OPERATIVO/COSTE], tblRed[Nodo Inicial], $C4, tblRed[Nodo Final], R$3, tblRed[Activo], 1), 0)</calculatedColumnFormula>
    </tableColumn>
    <tableColumn id="17" xr3:uid="{00000000-0010-0000-0D00-000011000000}" name="I2" dataDxfId="118">
      <calculatedColumnFormula>IF(MatrizDeAdyacencia!S4=1, SUMIFS(tblRed[TRADE OFF VALOR OPERATIVO/COSTE], tblRed[Nodo Inicial], $C4, tblRed[Nodo Final], S$3, tblRed[Activo], 1), 0)</calculatedColumnFormula>
    </tableColumn>
    <tableColumn id="18" xr3:uid="{00000000-0010-0000-0D00-000012000000}" name="I3" dataDxfId="117">
      <calculatedColumnFormula>IF(MatrizDeAdyacencia!T4=1, SUMIFS(tblRed[TRADE OFF VALOR OPERATIVO/COSTE], tblRed[Nodo Inicial], $C4, tblRed[Nodo Final], T$3, tblRed[Activo], 1), 0)</calculatedColumnFormula>
    </tableColumn>
    <tableColumn id="19" xr3:uid="{00000000-0010-0000-0D00-000013000000}" name="I4" dataDxfId="116">
      <calculatedColumnFormula>IF(MatrizDeAdyacencia!U4=1, SUMIFS(tblRed[TRADE OFF VALOR OPERATIVO/COSTE], tblRed[Nodo Inicial], $C4, tblRed[Nodo Final], U$3, tblRed[Activo], 1), 0)</calculatedColumnFormula>
    </tableColumn>
    <tableColumn id="20" xr3:uid="{00000000-0010-0000-0D00-000014000000}" name="I5" dataDxfId="115">
      <calculatedColumnFormula>IF(MatrizDeAdyacencia!V4=1, SUMIFS(tblRed[TRADE OFF VALOR OPERATIVO/COSTE], tblRed[Nodo Inicial], $C4, tblRed[Nodo Final], V$3, tblRed[Activo], 1), 0)</calculatedColumnFormula>
    </tableColumn>
    <tableColumn id="22" xr3:uid="{C665072F-37FF-4273-A009-BEEA36854C54}" name="I6" dataDxfId="114">
      <calculatedColumnFormula>IF(MatrizDeAdyacencia!W4=1, SUMIFS(tblRed[TRADE OFF VALOR OPERATIVO/COSTE], tblRed[Nodo Inicial], $C4, tblRed[Nodo Final], W$3, tblRed[Activo], 1), 0)</calculatedColumnFormula>
    </tableColumn>
    <tableColumn id="23" xr3:uid="{9576FFC5-1152-4687-A297-0AFD98541AB1}" name="I7" dataDxfId="113">
      <calculatedColumnFormula>IF(MatrizDeAdyacencia!X4=1, SUMIFS(tblRed[TRADE OFF VALOR OPERATIVO/COSTE], tblRed[Nodo Inicial], $C4, tblRed[Nodo Final], X$3, tblRed[Activo], 1), 0)</calculatedColumnFormula>
    </tableColumn>
    <tableColumn id="24" xr3:uid="{981719E9-3492-41C6-B88D-B0BD3755B28F}" name="I8" dataDxfId="112">
      <calculatedColumnFormula>IF(MatrizDeAdyacencia!Y4=1, SUMIFS(tblRed[TRADE OFF VALOR OPERATIVO/COSTE], tblRed[Nodo Inicial], $C4, tblRed[Nodo Final], Y$3, tblRed[Activo], 1), 0)</calculatedColumnFormula>
    </tableColumn>
    <tableColumn id="25" xr3:uid="{B508A649-2621-43CD-8076-E024CBE2CA89}" name="I9" dataDxfId="111">
      <calculatedColumnFormula>IF(MatrizDeAdyacencia!Z4=1, SUMIFS(tblRed[TRADE OFF VALOR OPERATIVO/COSTE], tblRed[Nodo Inicial], $C4, tblRed[Nodo Final], Z$3, tblRed[Activo], 1), 0)</calculatedColumnFormula>
    </tableColumn>
    <tableColumn id="26" xr3:uid="{4AB8972A-B401-42A6-809C-14AE9CFAE652}" name="I10" dataDxfId="110">
      <calculatedColumnFormula>IF(MatrizDeAdyacencia!AA4=1, SUMIFS(tblRed[TRADE OFF VALOR OPERATIVO/COSTE], tblRed[Nodo Inicial], $C4, tblRed[Nodo Final], AA$3, tblRed[Activo], 1), 0)</calculatedColumnFormula>
    </tableColumn>
    <tableColumn id="27" xr3:uid="{01C357E8-BC75-4783-B8B3-BF3A8D21DF7F}" name="I11" dataDxfId="109">
      <calculatedColumnFormula>IF(MatrizDeAdyacencia!AB4=1, SUMIFS(tblRed[TRADE OFF VALOR OPERATIVO/COSTE], tblRed[Nodo Inicial], $C4, tblRed[Nodo Final], AB$3, tblRed[Activo], 1), 0)</calculatedColumnFormula>
    </tableColumn>
    <tableColumn id="28" xr3:uid="{5A922FCD-EECA-45F2-86CB-438E240EFD01}" name="I12" dataDxfId="108">
      <calculatedColumnFormula>IF(MatrizDeAdyacencia!AC4=1, SUMIFS(tblRed[TRADE OFF VALOR OPERATIVO/COSTE], tblRed[Nodo Inicial], $C4, tblRed[Nodo Final], AC$3, tblRed[Activo], 1), 0)</calculatedColumnFormula>
    </tableColumn>
    <tableColumn id="29" xr3:uid="{0F1D9BB0-A027-4CB6-A099-8DA749521747}" name="G1" dataDxfId="107">
      <calculatedColumnFormula>IF(MatrizDeAdyacencia!AD4=1, SUMIFS(tblRed[TRADE OFF VALOR OPERATIVO/COSTE], tblRed[Nodo Inicial], $C4, tblRed[Nodo Final], AD$3, tblRed[Activo], 1), 0)</calculatedColumnFormula>
    </tableColumn>
    <tableColumn id="30" xr3:uid="{4E369852-F834-41F9-B1BE-E0FA7CF20F1E}" name="G2" dataDxfId="106">
      <calculatedColumnFormula>IF(MatrizDeAdyacencia!AE4=1, SUMIFS(tblRed[TRADE OFF VALOR OPERATIVO/COSTE], tblRed[Nodo Inicial], $C4, tblRed[Nodo Final], AE$3, tblRed[Activo], 1), 0)</calculatedColumnFormula>
    </tableColumn>
    <tableColumn id="31" xr3:uid="{8487F6C6-F683-4FBE-B6DD-44A073B168C3}" name="G3" dataDxfId="105">
      <calculatedColumnFormula>IF(MatrizDeAdyacencia!AF4=1, SUMIFS(tblRed[TRADE OFF VALOR OPERATIVO/COSTE], tblRed[Nodo Inicial], $C4, tblRed[Nodo Final], AF$3, tblRed[Activo], 1), 0)</calculatedColumnFormula>
    </tableColumn>
    <tableColumn id="32" xr3:uid="{B6C3642B-CD40-4128-A3C5-BCE61344DA1C}" name="G4" dataDxfId="104">
      <calculatedColumnFormula>IF(MatrizDeAdyacencia!AG4=1, SUMIFS(tblRed[TRADE OFF VALOR OPERATIVO/COSTE], tblRed[Nodo Inicial], $C4, tblRed[Nodo Final], AG$3, tblRed[Activo], 1), 0)</calculatedColumnFormula>
    </tableColumn>
    <tableColumn id="33" xr3:uid="{52D7E4F3-0C05-4A9B-93A5-603129B9A309}" name="D1" dataDxfId="103">
      <calculatedColumnFormula>IF(MatrizDeAdyacencia!AH4=1, SUMIFS(tblRed[TRADE OFF VALOR OPERATIVO/COSTE], tblRed[Nodo Inicial], $C4, tblRed[Nodo Final], AH$3, tblRed[Activo], 1), 0)</calculatedColumnFormula>
    </tableColumn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F4E6E9A-AF48-4F7C-B64F-8B5542C1C0E6}" name="tblMatrizDistanciasDirectas" displayName="tblMatrizDistanciasDirectas" ref="B3:AH34" totalsRowShown="0" headerRowDxfId="99" dataDxfId="97" headerRowBorderDxfId="98" tableBorderDxfId="96" totalsRowBorderDxfId="95">
  <tableColumns count="33">
    <tableColumn id="21" xr3:uid="{B4693AA3-CA16-42ED-A72B-15B2C02345DC}" name="Nombre Nodo" dataDxfId="94">
      <calculatedColumnFormula>VLOOKUP(tblMatrizDistanciasDirectas[[#This Row],[Nodo Orig.\Dest.]],tblNodos[],2,FALSE)</calculatedColumnFormula>
    </tableColumn>
    <tableColumn id="1" xr3:uid="{716612DC-F383-4D3C-A245-C08197EAF53A}" name="Nodo Orig.\Dest." dataDxfId="93"/>
    <tableColumn id="2" xr3:uid="{4D02E4FC-76E7-4D63-9F51-3A713710702B}" name="O1" dataDxfId="92">
      <calculatedColumnFormula>IF($C4=D$3, 0, IF('MatrizTradeOff Valor Op-Coste'!D4=0, 9999, 1/'MatrizTradeOff Valor Op-Coste'!D4))</calculatedColumnFormula>
    </tableColumn>
    <tableColumn id="3" xr3:uid="{071DA78B-DDBA-4DA2-AD19-8019ABFC2183}" name="O2" dataDxfId="91">
      <calculatedColumnFormula>IF($C4=E$3, 0, IF('MatrizTradeOff Valor Op-Coste'!E4=0, 9999, 1/'MatrizTradeOff Valor Op-Coste'!E4))</calculatedColumnFormula>
    </tableColumn>
    <tableColumn id="4" xr3:uid="{A10BF0BA-CE81-4B9E-B44C-108CB3F89408}" name="O3" dataDxfId="90">
      <calculatedColumnFormula>IF($C4=F$3, 0, IF('MatrizTradeOff Valor Op-Coste'!F4=0, 9999, 1/'MatrizTradeOff Valor Op-Coste'!F4))</calculatedColumnFormula>
    </tableColumn>
    <tableColumn id="5" xr3:uid="{354A0BA9-4373-4519-A6AE-083904A1CC52}" name="O4" dataDxfId="89">
      <calculatedColumnFormula>IF($C4=G$3, 0, IF('MatrizTradeOff Valor Op-Coste'!G4=0, 9999, 1/'MatrizTradeOff Valor Op-Coste'!G4))</calculatedColumnFormula>
    </tableColumn>
    <tableColumn id="6" xr3:uid="{1703D373-EEDB-4624-A35B-1E6B9F1C5FBF}" name="O5" dataDxfId="88">
      <calculatedColumnFormula>IF($C4=H$3, 0, IF('MatrizTradeOff Valor Op-Coste'!H4=0, 9999, 1/'MatrizTradeOff Valor Op-Coste'!H4))</calculatedColumnFormula>
    </tableColumn>
    <tableColumn id="7" xr3:uid="{4A601EA0-9A26-49AD-8306-613B7CE2DD5B}" name="O6" dataDxfId="87">
      <calculatedColumnFormula>IF($C4=I$3, 0, IF('MatrizTradeOff Valor Op-Coste'!I4=0, 9999, 1/'MatrizTradeOff Valor Op-Coste'!I4))</calculatedColumnFormula>
    </tableColumn>
    <tableColumn id="8" xr3:uid="{8B94C9C6-3220-4D16-B8FF-3E990CFB37FE}" name="O7" dataDxfId="86">
      <calculatedColumnFormula>IF($C4=J$3, 0, IF('MatrizTradeOff Valor Op-Coste'!J4=0, 9999, 1/'MatrizTradeOff Valor Op-Coste'!J4))</calculatedColumnFormula>
    </tableColumn>
    <tableColumn id="9" xr3:uid="{21568CC8-3651-4BB9-8253-F4772BF421BE}" name="O8" dataDxfId="85">
      <calculatedColumnFormula>IF($C4=K$3, 0, IF('MatrizTradeOff Valor Op-Coste'!K4=0, 9999, 1/'MatrizTradeOff Valor Op-Coste'!K4))</calculatedColumnFormula>
    </tableColumn>
    <tableColumn id="10" xr3:uid="{734BD667-489D-4160-AABA-DFE8DFE0875F}" name="C1" dataDxfId="84">
      <calculatedColumnFormula>IF($C4=L$3, 0, IF('MatrizTradeOff Valor Op-Coste'!L4=0, 9999, 1/'MatrizTradeOff Valor Op-Coste'!L4))</calculatedColumnFormula>
    </tableColumn>
    <tableColumn id="11" xr3:uid="{1A5911B5-822C-4207-8FD9-56357DFDC495}" name="C2" dataDxfId="83">
      <calculatedColumnFormula>IF($C4=M$3, 0, IF('MatrizTradeOff Valor Op-Coste'!M4=0, 9999, 1/'MatrizTradeOff Valor Op-Coste'!M4))</calculatedColumnFormula>
    </tableColumn>
    <tableColumn id="12" xr3:uid="{9167B125-24C6-4744-B427-420CED9FFB27}" name="C3" dataDxfId="82">
      <calculatedColumnFormula>IF($C4=N$3, 0, IF('MatrizTradeOff Valor Op-Coste'!N4=0, 9999, 1/'MatrizTradeOff Valor Op-Coste'!N4))</calculatedColumnFormula>
    </tableColumn>
    <tableColumn id="13" xr3:uid="{274E3973-40C7-4353-907F-7242DF3188CA}" name="C4" dataDxfId="81">
      <calculatedColumnFormula>IF($C4=O$3, 0, IF('MatrizTradeOff Valor Op-Coste'!O4=0, 9999, 1/'MatrizTradeOff Valor Op-Coste'!O4))</calculatedColumnFormula>
    </tableColumn>
    <tableColumn id="14" xr3:uid="{E8531AB3-21C2-4D86-A3DD-47CA0FFEC205}" name="C5" dataDxfId="80">
      <calculatedColumnFormula>IF($C4=P$3, 0, IF('MatrizTradeOff Valor Op-Coste'!P4=0, 9999, 1/'MatrizTradeOff Valor Op-Coste'!P4))</calculatedColumnFormula>
    </tableColumn>
    <tableColumn id="15" xr3:uid="{9E475366-7C63-4AE9-926C-993E75280792}" name="C6" dataDxfId="79">
      <calculatedColumnFormula>IF($C4=Q$3, 0, IF('MatrizTradeOff Valor Op-Coste'!Q4=0, 9999, 1/'MatrizTradeOff Valor Op-Coste'!Q4))</calculatedColumnFormula>
    </tableColumn>
    <tableColumn id="16" xr3:uid="{6B4AC385-2C3C-4CE1-B85D-BAC54C2096A5}" name="I1" dataDxfId="78">
      <calculatedColumnFormula>IF($C4=R$3, 0, IF('MatrizTradeOff Valor Op-Coste'!R4=0, 9999, 1/'MatrizTradeOff Valor Op-Coste'!R4))</calculatedColumnFormula>
    </tableColumn>
    <tableColumn id="17" xr3:uid="{68F69F94-F792-4AD3-B4A5-3CB6882ADD07}" name="I2" dataDxfId="77">
      <calculatedColumnFormula>IF($C4=S$3, 0, IF('MatrizTradeOff Valor Op-Coste'!S4=0, 9999, 1/'MatrizTradeOff Valor Op-Coste'!S4))</calculatedColumnFormula>
    </tableColumn>
    <tableColumn id="18" xr3:uid="{A0761CBC-6795-4860-A994-0B7EF9C7707D}" name="I3" dataDxfId="76">
      <calculatedColumnFormula>IF($C4=T$3, 0, IF('MatrizTradeOff Valor Op-Coste'!T4=0, 9999, 1/'MatrizTradeOff Valor Op-Coste'!T4))</calculatedColumnFormula>
    </tableColumn>
    <tableColumn id="19" xr3:uid="{FF1B7A97-08A4-40DA-8282-539CA2D97F83}" name="I4" dataDxfId="75">
      <calculatedColumnFormula>IF($C4=U$3, 0, IF('MatrizTradeOff Valor Op-Coste'!U4=0, 9999, 1/'MatrizTradeOff Valor Op-Coste'!U4))</calculatedColumnFormula>
    </tableColumn>
    <tableColumn id="20" xr3:uid="{1C97B292-9EEF-46E1-BB41-9C81E4731B7C}" name="I5" dataDxfId="74">
      <calculatedColumnFormula>IF($C4=V$3, 0, IF('MatrizTradeOff Valor Op-Coste'!V4=0, 9999, 1/'MatrizTradeOff Valor Op-Coste'!V4))</calculatedColumnFormula>
    </tableColumn>
    <tableColumn id="22" xr3:uid="{CBE4B5FB-EB08-4A79-8801-5471E85C6881}" name="I6" dataDxfId="73">
      <calculatedColumnFormula>IF($C4=W$3, 0, IF('MatrizTradeOff Valor Op-Coste'!W4=0, 9999, 1/'MatrizTradeOff Valor Op-Coste'!W4))</calculatedColumnFormula>
    </tableColumn>
    <tableColumn id="23" xr3:uid="{9000012F-9944-47EB-BF58-B8F80ABC7DE3}" name="I7" dataDxfId="72">
      <calculatedColumnFormula>IF($C4=X$3, 0, IF('MatrizTradeOff Valor Op-Coste'!X4=0, 9999, 1/'MatrizTradeOff Valor Op-Coste'!X4))</calculatedColumnFormula>
    </tableColumn>
    <tableColumn id="24" xr3:uid="{A94BB3FE-EF30-4EC1-9E74-93B7B31410C7}" name="I8" dataDxfId="71">
      <calculatedColumnFormula>IF($C4=Y$3, 0, IF('MatrizTradeOff Valor Op-Coste'!Y4=0, 9999, 1/'MatrizTradeOff Valor Op-Coste'!Y4))</calculatedColumnFormula>
    </tableColumn>
    <tableColumn id="25" xr3:uid="{5FE7827C-1609-4340-9B89-B4526BD571D7}" name="I9" dataDxfId="70">
      <calculatedColumnFormula>IF($C4=Z$3, 0, IF('MatrizTradeOff Valor Op-Coste'!Z4=0, 9999, 1/'MatrizTradeOff Valor Op-Coste'!Z4))</calculatedColumnFormula>
    </tableColumn>
    <tableColumn id="26" xr3:uid="{BEF536A2-1322-4DF2-8761-603BB8DE6CFA}" name="I10" dataDxfId="69">
      <calculatedColumnFormula>IF($C4=AA$3, 0, IF('MatrizTradeOff Valor Op-Coste'!AA4=0, 9999, 1/'MatrizTradeOff Valor Op-Coste'!AA4))</calculatedColumnFormula>
    </tableColumn>
    <tableColumn id="27" xr3:uid="{AF004CE3-8D52-418B-9829-1D2A7FBA3794}" name="I11" dataDxfId="68">
      <calculatedColumnFormula>IF($C4=AB$3, 0, IF('MatrizTradeOff Valor Op-Coste'!AB4=0, 9999, 1/'MatrizTradeOff Valor Op-Coste'!AB4))</calculatedColumnFormula>
    </tableColumn>
    <tableColumn id="28" xr3:uid="{9D14F282-59F1-4C93-A914-AE381DEA7DA8}" name="I12" dataDxfId="67">
      <calculatedColumnFormula>IF($C4=AC$3, 0, IF('MatrizTradeOff Valor Op-Coste'!AC4=0, 9999, 1/'MatrizTradeOff Valor Op-Coste'!AC4))</calculatedColumnFormula>
    </tableColumn>
    <tableColumn id="29" xr3:uid="{E154DF59-2F71-4142-8F03-EEAC96A9B1D0}" name="G1" dataDxfId="66">
      <calculatedColumnFormula>IF($C4=AD$3, 0, IF('MatrizTradeOff Valor Op-Coste'!AD4=0, 9999, 1/'MatrizTradeOff Valor Op-Coste'!AD4))</calculatedColumnFormula>
    </tableColumn>
    <tableColumn id="30" xr3:uid="{328D8BC7-9E19-4D0D-A201-16F4E93B4DD6}" name="G2" dataDxfId="65">
      <calculatedColumnFormula>IF($C4=AE$3, 0, IF('MatrizTradeOff Valor Op-Coste'!AE4=0, 9999, 1/'MatrizTradeOff Valor Op-Coste'!AE4))</calculatedColumnFormula>
    </tableColumn>
    <tableColumn id="31" xr3:uid="{714E6D47-1CD1-47D0-9FEB-734287933A5C}" name="G3" dataDxfId="64">
      <calculatedColumnFormula>IF($C4=AF$3, 0, IF('MatrizTradeOff Valor Op-Coste'!AF4=0, 9999, 1/'MatrizTradeOff Valor Op-Coste'!AF4))</calculatedColumnFormula>
    </tableColumn>
    <tableColumn id="32" xr3:uid="{B86D6D83-E226-4E83-BDCE-A4A8161A88CB}" name="G4" dataDxfId="63">
      <calculatedColumnFormula>IF($C4=AG$3, 0, IF('MatrizTradeOff Valor Op-Coste'!AG4=0, 9999, 1/'MatrizTradeOff Valor Op-Coste'!AG4))</calculatedColumnFormula>
    </tableColumn>
    <tableColumn id="33" xr3:uid="{52DF0BC0-8CCB-46C8-AD0A-BAAEC2B744B9}" name="D1" dataDxfId="62">
      <calculatedColumnFormula>IF($C4=AH$3, 0, IF('MatrizTradeOff Valor Op-Coste'!AH4=0, 9999, 1/'MatrizTradeOff Valor Op-Coste'!AH4))</calculatedColumnFormula>
    </tableColumn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MetricasNodos" displayName="tblMetricasNodos" ref="B3:H35" totalsRowCount="1" headerRowDxfId="60" dataDxfId="58" totalsRowDxfId="56" headerRowBorderDxfId="59" tableBorderDxfId="57" totalsRowBorderDxfId="55">
  <tableColumns count="7">
    <tableColumn id="21" xr3:uid="{00000000-0010-0000-0F00-000015000000}" name="Nombre Nodo" totalsRowLabel="Totales / Máximos / Mínimos" dataDxfId="54" totalsRowDxfId="53">
      <calculatedColumnFormula>VLOOKUP(tblMetricasNodos[[#This Row],[Nodo]],tblNodos[],2,FALSE)</calculatedColumnFormula>
    </tableColumn>
    <tableColumn id="1" xr3:uid="{00000000-0010-0000-0F00-000001000000}" name="Nodo" dataDxfId="52" totalsRowDxfId="51"/>
    <tableColumn id="2" xr3:uid="{00000000-0010-0000-0F00-000002000000}" name="Grado Ponderado de Entrada" dataDxfId="50" totalsRowDxfId="49">
      <calculatedColumnFormula>_xlfn.LET(_xlpm.n,tblMetricasNodos[[#This Row],[Nodo]],_xlpm.col,_xlfn.XLOOKUP(_xlpm.n,tblMatrizTradeOff[#Headers],tblMatrizTradeOff[#Data]),SUM(_xlpm.col))</calculatedColumnFormula>
    </tableColumn>
    <tableColumn id="3" xr3:uid="{00000000-0010-0000-0F00-000003000000}" name="Grado Ponderado de Salida" dataDxfId="48" totalsRowDxfId="47">
      <calculatedColumnFormula>_xlfn.LET(_xlpm.n,tblMetricasNodos[[#This Row],[Nodo]],_xlpm.row,_xlfn.XLOOKUP(_xlpm.n,tblMatrizTradeOff[Nodo Orig.\Dest.],tblMatrizTradeOff[[O1]:[I5]]),SUM(_xlpm.row))</calculatedColumnFormula>
    </tableColumn>
    <tableColumn id="4" xr3:uid="{00000000-0010-0000-0F00-000004000000}" name="Grado Ponderado Total" totalsRowFunction="max" dataDxfId="46" totalsRowDxfId="45">
      <calculatedColumnFormula>tblMetricasNodos[[#This Row],[Grado Ponderado de Entrada]]+tblMetricasNodos[[#This Row],[Grado Ponderado de Salida]]</calculatedColumnFormula>
    </tableColumn>
    <tableColumn id="6" xr3:uid="{00000000-0010-0000-0F00-000006000000}" name="Grado Normalizado" dataDxfId="44" totalsRowDxfId="43">
      <calculatedColumnFormula>tblMetricasNodos[[#This Row],[Grado Ponderado Total]]/tblMetricasNodos[[#Totals],[Grado Ponderado Total]]</calculatedColumnFormula>
    </tableColumn>
    <tableColumn id="5" xr3:uid="{1D1BFF03-DFC6-442E-A3A8-15C251344FFF}" name="Cercanía Armónica" dataDxfId="42" totalsRowDxfId="41">
      <calculatedColumnFormula array="1">SUMPRODUCT((tblMatrizDistanciasMínimas[[#This Row],[O1]:[D1]]&gt;0)*(tblMatrizDistanciasMínimas[[#This Row],[O1]:[D1]]&lt;999999)*(1/(tblMatrizDistanciasMínimas[[#This Row],[O1]:[D1]]+(tblMatrizDistanciasMínimas[[#This Row],[O1]:[D1]]=0))))</calculatedColumnFormula>
    </tableColumn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1945555-BE13-472D-A093-C6012AE653AC}" name="tblMatrizDistanciasMínimas" displayName="tblMatrizDistanciasMínimas" ref="B3:AH34" totalsRowShown="0" headerRowDxfId="37" dataDxfId="35" headerRowBorderDxfId="36" tableBorderDxfId="34" totalsRowBorderDxfId="33">
  <tableColumns count="33">
    <tableColumn id="21" xr3:uid="{C5AB7E1F-958A-437B-922A-4FBCDDF0E141}" name="Nombre Nodo" dataDxfId="32">
      <calculatedColumnFormula>VLOOKUP(tblMatrizDistanciasMínimas[[#This Row],[Nodo Orig.\Dest.]],tblNodos[],2,FALSE)</calculatedColumnFormula>
    </tableColumn>
    <tableColumn id="1" xr3:uid="{A415ABA6-AC01-44C6-AF09-1D445B5335CE}" name="Nodo Orig.\Dest." dataDxfId="31"/>
    <tableColumn id="2" xr3:uid="{B068D9AB-39F1-4D99-843D-69AA50188467}" name="O1" dataDxfId="30"/>
    <tableColumn id="3" xr3:uid="{57E28A03-3862-45DE-A75A-AC8F4FA6D534}" name="O2" dataDxfId="29"/>
    <tableColumn id="4" xr3:uid="{A9F8D494-57C1-400F-B37A-8A740CD57467}" name="O3" dataDxfId="28"/>
    <tableColumn id="5" xr3:uid="{71F520C0-495D-4E2A-841B-06AA409D9CE2}" name="O4" dataDxfId="27"/>
    <tableColumn id="6" xr3:uid="{87E0F2F5-8371-47B8-B978-6F6F1C93F2F8}" name="O5" dataDxfId="26"/>
    <tableColumn id="7" xr3:uid="{6653A23E-F3FA-4CA8-AA3C-16E9E428844A}" name="O6" dataDxfId="25"/>
    <tableColumn id="8" xr3:uid="{2356D268-F389-482F-A358-E71697AEABE8}" name="O7" dataDxfId="24"/>
    <tableColumn id="9" xr3:uid="{9BD9C6F4-68E7-4A58-93E3-BA4D42E723B4}" name="O8" dataDxfId="23"/>
    <tableColumn id="10" xr3:uid="{8A7F244A-79E8-47BE-93BA-A29DD7F2BDE1}" name="C1" dataDxfId="22"/>
    <tableColumn id="11" xr3:uid="{16D95864-5E12-47C8-AEE3-83D8D03D12E4}" name="C2" dataDxfId="21"/>
    <tableColumn id="12" xr3:uid="{9E89C1B7-B4C3-4FBF-B88F-D965D6078F28}" name="C3" dataDxfId="20"/>
    <tableColumn id="13" xr3:uid="{289FDA5F-F81A-4C2E-AF3F-19531EF5937B}" name="C4" dataDxfId="19"/>
    <tableColumn id="14" xr3:uid="{24A3B7D6-AA6A-483E-B83E-A5B7E58FB41C}" name="C5" dataDxfId="18"/>
    <tableColumn id="15" xr3:uid="{C4C3DBB2-D14D-4E81-9F5D-945256A70627}" name="C6" dataDxfId="17"/>
    <tableColumn id="16" xr3:uid="{DD335FE2-937D-44F3-AFE9-484A2087CDF6}" name="I1" dataDxfId="16"/>
    <tableColumn id="17" xr3:uid="{BF0A7083-9B53-47F0-B16D-8EF80CEB51AE}" name="I2" dataDxfId="15"/>
    <tableColumn id="18" xr3:uid="{559A8CDE-19E3-4C67-B954-BE48426A6BFE}" name="I3" dataDxfId="14"/>
    <tableColumn id="19" xr3:uid="{BFE50E6D-52E0-40B4-A140-71B586C4DA4C}" name="I4" dataDxfId="13"/>
    <tableColumn id="20" xr3:uid="{282F788F-604F-4A73-9348-DEEECBE1B759}" name="I5" dataDxfId="12"/>
    <tableColumn id="22" xr3:uid="{95587575-8947-4A84-95FE-A429B92E08BD}" name="I6" dataDxfId="11"/>
    <tableColumn id="23" xr3:uid="{C52739CE-63EC-45F5-9154-B2DA9DEFAC15}" name="I7" dataDxfId="10"/>
    <tableColumn id="24" xr3:uid="{434D82B0-7AEE-4757-B08E-AD763A453FC1}" name="I8" dataDxfId="9"/>
    <tableColumn id="25" xr3:uid="{12DBB722-1B3C-447B-9998-38A722C00A92}" name="I9" dataDxfId="8"/>
    <tableColumn id="26" xr3:uid="{C5847B01-6E98-46C4-BCDD-92A0B2532A02}" name="I10" dataDxfId="7"/>
    <tableColumn id="27" xr3:uid="{F98E2665-114B-45E8-B963-FB9FCE9CCE64}" name="I11" dataDxfId="6"/>
    <tableColumn id="28" xr3:uid="{AB93ED9B-DA97-4CFA-A71E-276ECF82EB69}" name="I12" dataDxfId="5"/>
    <tableColumn id="29" xr3:uid="{D87A75F6-8B2A-4125-9661-07322D407AEE}" name="G1" dataDxfId="4"/>
    <tableColumn id="30" xr3:uid="{8D7E0B48-5930-43CD-8368-225EAE8B71B6}" name="G2" dataDxfId="3"/>
    <tableColumn id="31" xr3:uid="{21E483D7-E44C-4BF2-935A-33003C725F3F}" name="G3" dataDxfId="2"/>
    <tableColumn id="32" xr3:uid="{8AC710EE-7D53-4D91-A116-B22A5DDE88E8}" name="G4" dataDxfId="1"/>
    <tableColumn id="33" xr3:uid="{2509D121-249B-4486-A6F6-080FB3AF72E8}" name="D1" dataDxfId="0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F761DDA-845D-458E-9579-DADAA1D17853}" name="tblMetricasNodos20" displayName="tblMetricasNodos20" ref="B3:E8" headerRowDxfId="382" dataDxfId="380" totalsRowDxfId="378" headerRowBorderDxfId="381" tableBorderDxfId="379" totalsRowBorderDxfId="377">
  <tableColumns count="4">
    <tableColumn id="21" xr3:uid="{992BA31C-BBEE-4D06-A369-03A196A8BFD7}" name="Métrica" dataDxfId="376" totalsRowDxfId="375"/>
    <tableColumn id="2" xr3:uid="{B4B16F43-71DE-4466-8FC2-F98C682BF2DC}" name="Valor" dataDxfId="374" totalsRowDxfId="373"/>
    <tableColumn id="3" xr3:uid="{193A5209-5F7C-4B17-8256-4F0BCC27F6D1}" name="Qué mide" dataDxfId="372" totalsRowDxfId="371"/>
    <tableColumn id="4" xr3:uid="{1CD5175F-47E8-4C52-AFE7-00E8E629941E}" name="Interpretación de los valores" dataDxfId="370" totalsRowDxfId="36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FB72-C86A-4D40-B7F8-02B68F58FEBF}">
  <sheetPr codeName="Hoja15"/>
  <dimension ref="B2:H18"/>
  <sheetViews>
    <sheetView workbookViewId="0">
      <selection activeCell="L8" sqref="L8"/>
    </sheetView>
  </sheetViews>
  <sheetFormatPr baseColWidth="10" defaultRowHeight="15" x14ac:dyDescent="0.25"/>
  <cols>
    <col min="2" max="2" width="42" customWidth="1"/>
    <col min="3" max="3" width="17.5703125" bestFit="1" customWidth="1"/>
    <col min="4" max="4" width="38.85546875" customWidth="1"/>
  </cols>
  <sheetData>
    <row r="2" spans="2:4" ht="18.75" x14ac:dyDescent="0.25">
      <c r="B2" s="110" t="s">
        <v>493</v>
      </c>
      <c r="C2" s="110"/>
      <c r="D2" s="110"/>
    </row>
    <row r="3" spans="2:4" x14ac:dyDescent="0.25">
      <c r="B3" t="s">
        <v>494</v>
      </c>
      <c r="C3" t="s">
        <v>2</v>
      </c>
      <c r="D3" s="104" t="s">
        <v>511</v>
      </c>
    </row>
    <row r="4" spans="2:4" x14ac:dyDescent="0.25">
      <c r="B4" t="s">
        <v>495</v>
      </c>
      <c r="C4" t="s">
        <v>496</v>
      </c>
      <c r="D4" s="103"/>
    </row>
    <row r="5" spans="2:4" x14ac:dyDescent="0.25">
      <c r="B5" t="s">
        <v>497</v>
      </c>
      <c r="C5" t="s">
        <v>496</v>
      </c>
      <c r="D5" s="103"/>
    </row>
    <row r="6" spans="2:4" x14ac:dyDescent="0.25">
      <c r="B6" t="s">
        <v>498</v>
      </c>
      <c r="C6" t="s">
        <v>496</v>
      </c>
      <c r="D6" s="103"/>
    </row>
    <row r="7" spans="2:4" x14ac:dyDescent="0.25">
      <c r="B7" t="s">
        <v>499</v>
      </c>
      <c r="C7" t="s">
        <v>496</v>
      </c>
      <c r="D7" s="103"/>
    </row>
    <row r="8" spans="2:4" x14ac:dyDescent="0.25">
      <c r="B8" t="s">
        <v>500</v>
      </c>
      <c r="C8" t="s">
        <v>496</v>
      </c>
      <c r="D8" s="103"/>
    </row>
    <row r="9" spans="2:4" x14ac:dyDescent="0.25">
      <c r="B9" t="s">
        <v>501</v>
      </c>
      <c r="C9" t="s">
        <v>496</v>
      </c>
      <c r="D9" s="103"/>
    </row>
    <row r="10" spans="2:4" x14ac:dyDescent="0.25">
      <c r="B10" t="s">
        <v>502</v>
      </c>
      <c r="C10" t="s">
        <v>496</v>
      </c>
      <c r="D10" s="103"/>
    </row>
    <row r="11" spans="2:4" x14ac:dyDescent="0.25">
      <c r="B11" t="s">
        <v>503</v>
      </c>
      <c r="C11" t="s">
        <v>496</v>
      </c>
      <c r="D11" s="103"/>
    </row>
    <row r="12" spans="2:4" x14ac:dyDescent="0.25">
      <c r="B12" t="s">
        <v>504</v>
      </c>
      <c r="C12" t="s">
        <v>496</v>
      </c>
      <c r="D12" s="103"/>
    </row>
    <row r="13" spans="2:4" x14ac:dyDescent="0.25">
      <c r="B13" t="s">
        <v>505</v>
      </c>
      <c r="C13" t="s">
        <v>496</v>
      </c>
      <c r="D13" s="103"/>
    </row>
    <row r="14" spans="2:4" x14ac:dyDescent="0.25">
      <c r="B14" t="s">
        <v>506</v>
      </c>
      <c r="C14" t="s">
        <v>496</v>
      </c>
      <c r="D14" s="103"/>
    </row>
    <row r="15" spans="2:4" x14ac:dyDescent="0.25">
      <c r="B15" t="s">
        <v>507</v>
      </c>
      <c r="C15" t="s">
        <v>496</v>
      </c>
      <c r="D15" s="103"/>
    </row>
    <row r="16" spans="2:4" x14ac:dyDescent="0.25">
      <c r="B16" t="s">
        <v>508</v>
      </c>
      <c r="C16" t="s">
        <v>496</v>
      </c>
      <c r="D16" s="103"/>
    </row>
    <row r="17" spans="2:8" x14ac:dyDescent="0.25">
      <c r="B17" t="s">
        <v>509</v>
      </c>
      <c r="C17" t="s">
        <v>496</v>
      </c>
      <c r="D17" s="103"/>
      <c r="H17" s="102"/>
    </row>
    <row r="18" spans="2:8" x14ac:dyDescent="0.25">
      <c r="B18" t="s">
        <v>510</v>
      </c>
      <c r="C18" t="s">
        <v>496</v>
      </c>
      <c r="D18" s="103"/>
    </row>
  </sheetData>
  <mergeCells count="1">
    <mergeCell ref="B2:D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E19"/>
  <sheetViews>
    <sheetView showGridLines="0" zoomScaleNormal="100" workbookViewId="0">
      <selection activeCell="C11" sqref="C11"/>
    </sheetView>
  </sheetViews>
  <sheetFormatPr baseColWidth="10" defaultColWidth="11.42578125" defaultRowHeight="16.5" customHeight="1" x14ac:dyDescent="0.25"/>
  <cols>
    <col min="1" max="1" width="3.28515625" style="10" customWidth="1"/>
    <col min="2" max="2" width="11.42578125" style="10" customWidth="1"/>
    <col min="3" max="3" width="19.85546875" style="10" customWidth="1"/>
    <col min="4" max="4" width="10.7109375" style="10" customWidth="1"/>
    <col min="5" max="5" width="70.42578125" style="11" customWidth="1"/>
    <col min="6" max="11" width="11.42578125" style="10" customWidth="1"/>
    <col min="12" max="16384" width="11.42578125" style="10"/>
  </cols>
  <sheetData>
    <row r="1" spans="2:5" ht="19.5" customHeight="1" x14ac:dyDescent="0.25"/>
    <row r="2" spans="2:5" ht="16.5" customHeight="1" x14ac:dyDescent="0.25">
      <c r="B2" s="111" t="s">
        <v>0</v>
      </c>
      <c r="C2" s="112"/>
      <c r="D2" s="112"/>
      <c r="E2" s="112"/>
    </row>
    <row r="3" spans="2:5" s="11" customFormat="1" ht="30.75" customHeight="1" x14ac:dyDescent="0.25">
      <c r="B3" s="2" t="s">
        <v>1</v>
      </c>
      <c r="C3" s="2" t="s">
        <v>2</v>
      </c>
      <c r="D3" s="2" t="s">
        <v>3</v>
      </c>
      <c r="E3" s="2" t="s">
        <v>4</v>
      </c>
    </row>
    <row r="4" spans="2:5" ht="43.5" customHeight="1" x14ac:dyDescent="0.25">
      <c r="B4" s="1" t="s">
        <v>5</v>
      </c>
      <c r="C4" s="1" t="s">
        <v>6</v>
      </c>
      <c r="D4" s="10">
        <v>1</v>
      </c>
      <c r="E4" s="24" t="s">
        <v>7</v>
      </c>
    </row>
    <row r="5" spans="2:5" ht="45.4" customHeight="1" x14ac:dyDescent="0.25">
      <c r="B5" s="1" t="s">
        <v>8</v>
      </c>
      <c r="C5" s="1" t="s">
        <v>9</v>
      </c>
      <c r="D5" s="10">
        <v>2</v>
      </c>
      <c r="E5" s="24" t="s">
        <v>10</v>
      </c>
    </row>
    <row r="6" spans="2:5" ht="44.25" customHeight="1" x14ac:dyDescent="0.25">
      <c r="B6" s="1" t="s">
        <v>11</v>
      </c>
      <c r="C6" s="1" t="s">
        <v>12</v>
      </c>
      <c r="D6" s="10">
        <v>3</v>
      </c>
      <c r="E6" s="24" t="s">
        <v>13</v>
      </c>
    </row>
    <row r="7" spans="2:5" ht="47.65" customHeight="1" x14ac:dyDescent="0.25">
      <c r="B7" s="1" t="s">
        <v>14</v>
      </c>
      <c r="C7" s="1" t="s">
        <v>15</v>
      </c>
      <c r="D7" s="1">
        <v>4</v>
      </c>
      <c r="E7" s="38" t="s">
        <v>16</v>
      </c>
    </row>
    <row r="8" spans="2:5" ht="41.45" customHeight="1" x14ac:dyDescent="0.25">
      <c r="B8" s="1" t="s">
        <v>17</v>
      </c>
      <c r="C8" s="1" t="s">
        <v>18</v>
      </c>
      <c r="D8" s="10">
        <v>5</v>
      </c>
      <c r="E8" s="24" t="s">
        <v>19</v>
      </c>
    </row>
    <row r="9" spans="2:5" ht="93.75" customHeight="1" x14ac:dyDescent="0.25">
      <c r="D9" s="51" t="s">
        <v>20</v>
      </c>
    </row>
    <row r="10" spans="2:5" ht="63" customHeight="1" x14ac:dyDescent="0.25">
      <c r="E10" s="50"/>
    </row>
    <row r="11" spans="2:5" ht="63" customHeight="1" x14ac:dyDescent="0.25">
      <c r="E11" s="50"/>
    </row>
    <row r="12" spans="2:5" ht="63" customHeight="1" x14ac:dyDescent="0.25">
      <c r="E12" s="50"/>
    </row>
    <row r="13" spans="2:5" ht="64.5" customHeight="1" x14ac:dyDescent="0.25">
      <c r="E13" s="50"/>
    </row>
    <row r="14" spans="2:5" ht="64.5" customHeight="1" x14ac:dyDescent="0.25">
      <c r="E14" s="50"/>
    </row>
    <row r="15" spans="2:5" ht="64.5" customHeight="1" x14ac:dyDescent="0.25"/>
    <row r="16" spans="2:5" ht="64.5" customHeight="1" x14ac:dyDescent="0.25"/>
    <row r="17" ht="64.5" customHeight="1" x14ac:dyDescent="0.25"/>
    <row r="18" ht="64.5" customHeight="1" x14ac:dyDescent="0.25"/>
    <row r="19" ht="64.5" customHeight="1" x14ac:dyDescent="0.25"/>
  </sheetData>
  <mergeCells count="1">
    <mergeCell ref="B2:E2"/>
  </mergeCells>
  <pageMargins left="0.23622047244094491" right="0.23622047244094491" top="0.74803149606299213" bottom="0.74803149606299213" header="0.31496062992125978" footer="0.31496062992125978"/>
  <pageSetup paperSize="8" fitToHeight="0"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E34"/>
  <sheetViews>
    <sheetView showGridLines="0" zoomScale="130" zoomScaleNormal="130" workbookViewId="0">
      <selection activeCell="C35" sqref="C35"/>
    </sheetView>
  </sheetViews>
  <sheetFormatPr baseColWidth="10" defaultRowHeight="12" x14ac:dyDescent="0.2"/>
  <cols>
    <col min="1" max="1" width="11.42578125" style="52" customWidth="1"/>
    <col min="2" max="2" width="13.5703125" style="52" customWidth="1"/>
    <col min="3" max="3" width="44" style="52" bestFit="1" customWidth="1"/>
    <col min="4" max="4" width="10.5703125" style="52" customWidth="1"/>
    <col min="5" max="5" width="14.42578125" style="52" customWidth="1"/>
    <col min="6" max="11" width="11.42578125" style="52" customWidth="1"/>
    <col min="12" max="16384" width="11.42578125" style="52"/>
  </cols>
  <sheetData>
    <row r="2" spans="2:5" ht="18" customHeight="1" x14ac:dyDescent="0.25">
      <c r="B2" s="111" t="s">
        <v>21</v>
      </c>
      <c r="C2" s="112"/>
      <c r="D2" s="112"/>
      <c r="E2" s="112"/>
    </row>
    <row r="3" spans="2:5" ht="12.75" customHeight="1" x14ac:dyDescent="0.2">
      <c r="B3" s="2" t="s">
        <v>22</v>
      </c>
      <c r="C3" s="2" t="s">
        <v>23</v>
      </c>
      <c r="D3" s="2" t="s">
        <v>1</v>
      </c>
      <c r="E3" s="2" t="s">
        <v>24</v>
      </c>
    </row>
    <row r="4" spans="2:5" x14ac:dyDescent="0.2">
      <c r="B4" s="52" t="s">
        <v>25</v>
      </c>
      <c r="C4" s="52" t="s">
        <v>26</v>
      </c>
      <c r="D4" s="52" t="s">
        <v>5</v>
      </c>
      <c r="E4" s="52">
        <v>1</v>
      </c>
    </row>
    <row r="5" spans="2:5" x14ac:dyDescent="0.2">
      <c r="B5" s="52" t="s">
        <v>27</v>
      </c>
      <c r="C5" s="52" t="s">
        <v>28</v>
      </c>
      <c r="D5" s="52" t="s">
        <v>5</v>
      </c>
      <c r="E5" s="52">
        <v>1</v>
      </c>
    </row>
    <row r="6" spans="2:5" x14ac:dyDescent="0.2">
      <c r="B6" s="52" t="s">
        <v>29</v>
      </c>
      <c r="C6" s="52" t="s">
        <v>30</v>
      </c>
      <c r="D6" s="52" t="s">
        <v>5</v>
      </c>
      <c r="E6" s="52">
        <v>1</v>
      </c>
    </row>
    <row r="7" spans="2:5" x14ac:dyDescent="0.2">
      <c r="B7" s="52" t="s">
        <v>31</v>
      </c>
      <c r="C7" s="52" t="s">
        <v>32</v>
      </c>
      <c r="D7" s="52" t="s">
        <v>5</v>
      </c>
      <c r="E7" s="52">
        <v>1</v>
      </c>
    </row>
    <row r="8" spans="2:5" x14ac:dyDescent="0.2">
      <c r="B8" s="52" t="s">
        <v>33</v>
      </c>
      <c r="C8" s="52" t="s">
        <v>34</v>
      </c>
      <c r="D8" s="52" t="s">
        <v>5</v>
      </c>
      <c r="E8" s="52">
        <v>1</v>
      </c>
    </row>
    <row r="9" spans="2:5" x14ac:dyDescent="0.2">
      <c r="B9" s="52" t="s">
        <v>35</v>
      </c>
      <c r="C9" s="52" t="s">
        <v>36</v>
      </c>
      <c r="D9" s="52" t="s">
        <v>5</v>
      </c>
      <c r="E9" s="52">
        <v>1</v>
      </c>
    </row>
    <row r="10" spans="2:5" x14ac:dyDescent="0.2">
      <c r="B10" s="52" t="s">
        <v>37</v>
      </c>
      <c r="C10" s="52" t="s">
        <v>38</v>
      </c>
      <c r="D10" s="52" t="s">
        <v>5</v>
      </c>
      <c r="E10" s="52">
        <v>1</v>
      </c>
    </row>
    <row r="11" spans="2:5" x14ac:dyDescent="0.2">
      <c r="B11" s="52" t="s">
        <v>39</v>
      </c>
      <c r="C11" s="52" t="s">
        <v>40</v>
      </c>
      <c r="D11" s="52" t="s">
        <v>5</v>
      </c>
      <c r="E11" s="52">
        <v>1</v>
      </c>
    </row>
    <row r="12" spans="2:5" x14ac:dyDescent="0.2">
      <c r="B12" s="52" t="s">
        <v>41</v>
      </c>
      <c r="C12" s="52" t="s">
        <v>42</v>
      </c>
      <c r="D12" s="52" t="s">
        <v>8</v>
      </c>
      <c r="E12" s="52">
        <v>1</v>
      </c>
    </row>
    <row r="13" spans="2:5" x14ac:dyDescent="0.2">
      <c r="B13" s="52" t="s">
        <v>43</v>
      </c>
      <c r="C13" s="52" t="s">
        <v>44</v>
      </c>
      <c r="D13" s="52" t="s">
        <v>8</v>
      </c>
      <c r="E13" s="52">
        <v>1</v>
      </c>
    </row>
    <row r="14" spans="2:5" x14ac:dyDescent="0.2">
      <c r="B14" s="52" t="s">
        <v>45</v>
      </c>
      <c r="C14" s="52" t="s">
        <v>46</v>
      </c>
      <c r="D14" s="52" t="s">
        <v>8</v>
      </c>
      <c r="E14" s="52">
        <v>1</v>
      </c>
    </row>
    <row r="15" spans="2:5" x14ac:dyDescent="0.2">
      <c r="B15" s="52" t="s">
        <v>47</v>
      </c>
      <c r="C15" s="52" t="s">
        <v>48</v>
      </c>
      <c r="D15" s="52" t="s">
        <v>8</v>
      </c>
      <c r="E15" s="52">
        <v>1</v>
      </c>
    </row>
    <row r="16" spans="2:5" x14ac:dyDescent="0.2">
      <c r="B16" s="52" t="s">
        <v>49</v>
      </c>
      <c r="C16" s="52" t="s">
        <v>50</v>
      </c>
      <c r="D16" s="52" t="s">
        <v>8</v>
      </c>
      <c r="E16" s="52">
        <v>1</v>
      </c>
    </row>
    <row r="17" spans="2:5" x14ac:dyDescent="0.2">
      <c r="B17" s="52" t="s">
        <v>51</v>
      </c>
      <c r="C17" s="52" t="s">
        <v>52</v>
      </c>
      <c r="D17" s="52" t="s">
        <v>8</v>
      </c>
      <c r="E17" s="52">
        <v>1</v>
      </c>
    </row>
    <row r="18" spans="2:5" x14ac:dyDescent="0.2">
      <c r="B18" s="52" t="s">
        <v>53</v>
      </c>
      <c r="C18" s="52" t="s">
        <v>54</v>
      </c>
      <c r="D18" s="52" t="s">
        <v>11</v>
      </c>
      <c r="E18" s="52">
        <v>1</v>
      </c>
    </row>
    <row r="19" spans="2:5" x14ac:dyDescent="0.2">
      <c r="B19" s="52" t="s">
        <v>55</v>
      </c>
      <c r="C19" s="52" t="s">
        <v>56</v>
      </c>
      <c r="D19" s="52" t="s">
        <v>11</v>
      </c>
      <c r="E19" s="52">
        <v>1</v>
      </c>
    </row>
    <row r="20" spans="2:5" x14ac:dyDescent="0.2">
      <c r="B20" s="52" t="s">
        <v>57</v>
      </c>
      <c r="C20" s="52" t="s">
        <v>58</v>
      </c>
      <c r="D20" s="52" t="s">
        <v>11</v>
      </c>
      <c r="E20" s="52">
        <v>1</v>
      </c>
    </row>
    <row r="21" spans="2:5" x14ac:dyDescent="0.2">
      <c r="B21" s="52" t="s">
        <v>59</v>
      </c>
      <c r="C21" s="52" t="s">
        <v>60</v>
      </c>
      <c r="D21" s="52" t="s">
        <v>11</v>
      </c>
      <c r="E21" s="52">
        <v>1</v>
      </c>
    </row>
    <row r="22" spans="2:5" x14ac:dyDescent="0.2">
      <c r="B22" s="52" t="s">
        <v>61</v>
      </c>
      <c r="C22" s="52" t="s">
        <v>62</v>
      </c>
      <c r="D22" s="52" t="s">
        <v>11</v>
      </c>
      <c r="E22" s="52">
        <v>1</v>
      </c>
    </row>
    <row r="23" spans="2:5" x14ac:dyDescent="0.2">
      <c r="B23" s="52" t="s">
        <v>63</v>
      </c>
      <c r="C23" s="52" t="s">
        <v>64</v>
      </c>
      <c r="D23" s="52" t="s">
        <v>11</v>
      </c>
      <c r="E23" s="52">
        <v>1</v>
      </c>
    </row>
    <row r="24" spans="2:5" x14ac:dyDescent="0.2">
      <c r="B24" s="52" t="s">
        <v>65</v>
      </c>
      <c r="C24" s="52" t="s">
        <v>66</v>
      </c>
      <c r="D24" s="52" t="s">
        <v>11</v>
      </c>
      <c r="E24" s="52">
        <v>1</v>
      </c>
    </row>
    <row r="25" spans="2:5" x14ac:dyDescent="0.2">
      <c r="B25" s="52" t="s">
        <v>67</v>
      </c>
      <c r="C25" s="52" t="s">
        <v>68</v>
      </c>
      <c r="D25" s="52" t="s">
        <v>11</v>
      </c>
      <c r="E25" s="52">
        <v>1</v>
      </c>
    </row>
    <row r="26" spans="2:5" x14ac:dyDescent="0.2">
      <c r="B26" s="52" t="s">
        <v>69</v>
      </c>
      <c r="C26" s="52" t="s">
        <v>70</v>
      </c>
      <c r="D26" s="52" t="s">
        <v>11</v>
      </c>
      <c r="E26" s="52">
        <v>1</v>
      </c>
    </row>
    <row r="27" spans="2:5" x14ac:dyDescent="0.2">
      <c r="B27" s="52" t="s">
        <v>71</v>
      </c>
      <c r="C27" s="52" t="s">
        <v>72</v>
      </c>
      <c r="D27" s="52" t="s">
        <v>11</v>
      </c>
      <c r="E27" s="52">
        <v>1</v>
      </c>
    </row>
    <row r="28" spans="2:5" x14ac:dyDescent="0.2">
      <c r="B28" s="52" t="s">
        <v>73</v>
      </c>
      <c r="C28" s="52" t="s">
        <v>74</v>
      </c>
      <c r="D28" s="52" t="s">
        <v>11</v>
      </c>
      <c r="E28" s="52">
        <v>1</v>
      </c>
    </row>
    <row r="29" spans="2:5" x14ac:dyDescent="0.2">
      <c r="B29" s="52" t="s">
        <v>75</v>
      </c>
      <c r="C29" s="52" t="s">
        <v>76</v>
      </c>
      <c r="D29" s="52" t="s">
        <v>11</v>
      </c>
      <c r="E29" s="52">
        <v>1</v>
      </c>
    </row>
    <row r="30" spans="2:5" x14ac:dyDescent="0.2">
      <c r="B30" s="52" t="s">
        <v>77</v>
      </c>
      <c r="C30" s="52" t="s">
        <v>78</v>
      </c>
      <c r="D30" s="52" t="s">
        <v>14</v>
      </c>
      <c r="E30" s="52">
        <v>1</v>
      </c>
    </row>
    <row r="31" spans="2:5" x14ac:dyDescent="0.2">
      <c r="B31" s="52" t="s">
        <v>79</v>
      </c>
      <c r="C31" s="52" t="s">
        <v>80</v>
      </c>
      <c r="D31" s="52" t="s">
        <v>14</v>
      </c>
      <c r="E31" s="52">
        <v>1</v>
      </c>
    </row>
    <row r="32" spans="2:5" x14ac:dyDescent="0.2">
      <c r="B32" s="52" t="s">
        <v>81</v>
      </c>
      <c r="C32" s="52" t="s">
        <v>82</v>
      </c>
      <c r="D32" s="52" t="s">
        <v>14</v>
      </c>
      <c r="E32" s="52">
        <v>1</v>
      </c>
    </row>
    <row r="33" spans="2:5" x14ac:dyDescent="0.2">
      <c r="B33" s="52" t="s">
        <v>83</v>
      </c>
      <c r="C33" s="52" t="s">
        <v>84</v>
      </c>
      <c r="D33" s="52" t="s">
        <v>14</v>
      </c>
      <c r="E33" s="52">
        <v>1</v>
      </c>
    </row>
    <row r="34" spans="2:5" x14ac:dyDescent="0.2">
      <c r="B34" s="52" t="s">
        <v>85</v>
      </c>
      <c r="C34" s="52" t="s">
        <v>86</v>
      </c>
      <c r="D34" s="52" t="s">
        <v>17</v>
      </c>
      <c r="E34" s="52">
        <v>1</v>
      </c>
    </row>
  </sheetData>
  <mergeCells count="1">
    <mergeCell ref="B2:E2"/>
  </mergeCells>
  <conditionalFormatting sqref="E4:E34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K12"/>
  <sheetViews>
    <sheetView showGridLines="0" workbookViewId="0">
      <selection activeCell="F29" sqref="F29"/>
    </sheetView>
  </sheetViews>
  <sheetFormatPr baseColWidth="10" defaultRowHeight="15" x14ac:dyDescent="0.25"/>
  <cols>
    <col min="2" max="2" width="18.5703125" customWidth="1"/>
    <col min="3" max="3" width="14.42578125" customWidth="1"/>
    <col min="5" max="5" width="18.42578125" customWidth="1"/>
  </cols>
  <sheetData>
    <row r="2" spans="2:11" ht="21.75" customHeight="1" x14ac:dyDescent="0.25">
      <c r="B2" s="113" t="s">
        <v>87</v>
      </c>
      <c r="C2" s="114"/>
      <c r="E2" s="113" t="s">
        <v>88</v>
      </c>
      <c r="F2" s="114"/>
      <c r="G2" s="114"/>
      <c r="H2" s="114"/>
      <c r="I2" s="114"/>
    </row>
    <row r="3" spans="2:11" ht="24" customHeight="1" x14ac:dyDescent="0.25">
      <c r="B3" s="25" t="s">
        <v>89</v>
      </c>
      <c r="C3" s="25" t="s">
        <v>90</v>
      </c>
      <c r="E3" s="25" t="s">
        <v>89</v>
      </c>
      <c r="F3" s="25" t="s">
        <v>91</v>
      </c>
      <c r="G3" s="25" t="s">
        <v>92</v>
      </c>
      <c r="H3" s="25" t="s">
        <v>93</v>
      </c>
      <c r="I3" s="25" t="s">
        <v>94</v>
      </c>
      <c r="J3" s="25" t="s">
        <v>95</v>
      </c>
      <c r="K3" s="15"/>
    </row>
    <row r="4" spans="2:11" ht="18.75" customHeight="1" x14ac:dyDescent="0.25">
      <c r="B4" s="55" t="s">
        <v>96</v>
      </c>
      <c r="C4" s="55">
        <v>5</v>
      </c>
      <c r="E4" s="55" t="s">
        <v>96</v>
      </c>
      <c r="F4" s="55">
        <v>1</v>
      </c>
      <c r="G4" s="55">
        <v>1</v>
      </c>
      <c r="H4" s="55">
        <v>5</v>
      </c>
      <c r="I4" s="55">
        <v>1</v>
      </c>
      <c r="J4" s="55">
        <v>1</v>
      </c>
      <c r="K4" s="15"/>
    </row>
    <row r="5" spans="2:11" ht="18.75" customHeight="1" x14ac:dyDescent="0.25">
      <c r="B5" s="55" t="s">
        <v>97</v>
      </c>
      <c r="C5" s="55">
        <v>4</v>
      </c>
      <c r="E5" s="55" t="s">
        <v>97</v>
      </c>
      <c r="F5" s="55">
        <v>2</v>
      </c>
      <c r="G5" s="55">
        <v>2</v>
      </c>
      <c r="H5" s="55">
        <v>4</v>
      </c>
      <c r="I5" s="55">
        <v>2</v>
      </c>
      <c r="J5" s="55">
        <v>2</v>
      </c>
      <c r="K5" s="15"/>
    </row>
    <row r="6" spans="2:11" ht="18.75" customHeight="1" x14ac:dyDescent="0.25">
      <c r="B6" s="55" t="s">
        <v>98</v>
      </c>
      <c r="C6" s="55">
        <v>3</v>
      </c>
      <c r="E6" s="55" t="s">
        <v>98</v>
      </c>
      <c r="F6" s="55">
        <v>3</v>
      </c>
      <c r="G6" s="55">
        <v>3</v>
      </c>
      <c r="H6" s="55">
        <v>3</v>
      </c>
      <c r="I6" s="55">
        <v>3</v>
      </c>
      <c r="J6" s="55">
        <v>3</v>
      </c>
      <c r="K6" s="15"/>
    </row>
    <row r="7" spans="2:11" ht="18.75" customHeight="1" x14ac:dyDescent="0.25">
      <c r="B7" s="55" t="s">
        <v>99</v>
      </c>
      <c r="C7" s="55">
        <v>2</v>
      </c>
      <c r="E7" s="55" t="s">
        <v>99</v>
      </c>
      <c r="F7" s="55">
        <v>4</v>
      </c>
      <c r="G7" s="55">
        <v>4</v>
      </c>
      <c r="H7" s="55">
        <v>2</v>
      </c>
      <c r="I7" s="55">
        <v>4</v>
      </c>
      <c r="J7" s="55">
        <v>4</v>
      </c>
      <c r="K7" s="15"/>
    </row>
    <row r="8" spans="2:11" ht="18.75" customHeight="1" x14ac:dyDescent="0.25">
      <c r="B8" s="55" t="s">
        <v>100</v>
      </c>
      <c r="C8" s="55">
        <v>1</v>
      </c>
      <c r="E8" s="55" t="s">
        <v>100</v>
      </c>
      <c r="F8" s="55">
        <v>5</v>
      </c>
      <c r="G8" s="55">
        <v>5</v>
      </c>
      <c r="H8" s="55">
        <v>1</v>
      </c>
      <c r="I8" s="55">
        <v>5</v>
      </c>
      <c r="J8" s="55">
        <v>5</v>
      </c>
      <c r="K8" s="15"/>
    </row>
    <row r="9" spans="2:11" x14ac:dyDescent="0.25">
      <c r="B9" s="55"/>
      <c r="C9" s="55"/>
      <c r="E9" s="55"/>
      <c r="F9" s="55"/>
      <c r="G9" s="55"/>
      <c r="H9" s="55"/>
      <c r="I9" s="55"/>
      <c r="J9" s="55"/>
    </row>
    <row r="10" spans="2:11" x14ac:dyDescent="0.25">
      <c r="B10" s="25" t="s">
        <v>101</v>
      </c>
      <c r="C10" s="25" t="s">
        <v>102</v>
      </c>
      <c r="E10" s="25" t="s">
        <v>101</v>
      </c>
      <c r="F10" s="25" t="s">
        <v>92</v>
      </c>
      <c r="G10" s="25" t="s">
        <v>93</v>
      </c>
      <c r="H10" s="25" t="s">
        <v>94</v>
      </c>
      <c r="I10" s="25" t="s">
        <v>95</v>
      </c>
      <c r="J10" s="25" t="s">
        <v>103</v>
      </c>
    </row>
    <row r="11" spans="2:11" ht="20.25" customHeight="1" x14ac:dyDescent="0.25">
      <c r="B11" s="55" t="s">
        <v>104</v>
      </c>
      <c r="C11" s="56">
        <f>MIN(tblPesosCoste[Peso])</f>
        <v>1</v>
      </c>
      <c r="E11" s="55" t="s">
        <v>104</v>
      </c>
      <c r="F11" s="56">
        <v>1</v>
      </c>
      <c r="G11" s="55">
        <v>1</v>
      </c>
      <c r="H11" s="56">
        <v>1</v>
      </c>
      <c r="I11" s="55">
        <v>1</v>
      </c>
      <c r="J11" s="56">
        <v>4</v>
      </c>
    </row>
    <row r="12" spans="2:11" ht="20.25" customHeight="1" x14ac:dyDescent="0.25">
      <c r="B12" s="55" t="s">
        <v>105</v>
      </c>
      <c r="C12" s="56">
        <f>MAX(tblPesosCoste[Peso])</f>
        <v>5</v>
      </c>
      <c r="E12" s="55" t="s">
        <v>105</v>
      </c>
      <c r="F12" s="56">
        <v>5</v>
      </c>
      <c r="G12" s="55">
        <v>5</v>
      </c>
      <c r="H12" s="56">
        <v>5</v>
      </c>
      <c r="I12" s="55">
        <v>5</v>
      </c>
      <c r="J12" s="56">
        <v>20</v>
      </c>
    </row>
  </sheetData>
  <mergeCells count="2">
    <mergeCell ref="B2:C2"/>
    <mergeCell ref="E2:I2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B2:Q59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5" sqref="A5"/>
      <selection pane="bottomRight" activeCell="G3" sqref="G3"/>
    </sheetView>
  </sheetViews>
  <sheetFormatPr baseColWidth="10" defaultColWidth="11.42578125" defaultRowHeight="12" x14ac:dyDescent="0.25"/>
  <cols>
    <col min="1" max="1" width="5" style="10" customWidth="1"/>
    <col min="2" max="2" width="19.85546875" style="10" customWidth="1"/>
    <col min="3" max="3" width="28.85546875" style="10" customWidth="1"/>
    <col min="4" max="4" width="4.5703125" style="10" customWidth="1"/>
    <col min="5" max="5" width="26.140625" style="10" customWidth="1"/>
    <col min="6" max="6" width="15.5703125" style="10" customWidth="1"/>
    <col min="7" max="7" width="14" style="10" customWidth="1"/>
    <col min="8" max="8" width="18.28515625" style="10" customWidth="1"/>
    <col min="9" max="9" width="15.42578125" style="10" customWidth="1"/>
    <col min="10" max="10" width="15.140625" style="10" customWidth="1"/>
    <col min="11" max="11" width="14.140625" style="10" customWidth="1"/>
    <col min="12" max="12" width="31.28515625" style="33" customWidth="1"/>
    <col min="13" max="17" width="33.7109375" style="10" customWidth="1"/>
    <col min="18" max="18" width="23.42578125" style="10" customWidth="1"/>
    <col min="19" max="24" width="11.42578125" style="10" customWidth="1"/>
    <col min="25" max="16384" width="11.42578125" style="10"/>
  </cols>
  <sheetData>
    <row r="2" spans="2:17" ht="18" customHeight="1" x14ac:dyDescent="0.25">
      <c r="B2" s="118" t="s">
        <v>106</v>
      </c>
      <c r="C2" s="119"/>
      <c r="D2" s="35"/>
      <c r="E2" s="115" t="s">
        <v>107</v>
      </c>
      <c r="F2" s="116"/>
      <c r="G2" s="116"/>
      <c r="H2" s="116"/>
      <c r="I2" s="116"/>
      <c r="J2" s="116"/>
      <c r="K2" s="116"/>
      <c r="L2" s="117"/>
      <c r="M2" s="116"/>
      <c r="N2" s="116"/>
      <c r="O2" s="116"/>
      <c r="P2" s="116"/>
      <c r="Q2" s="116"/>
    </row>
    <row r="3" spans="2:17" s="11" customFormat="1" ht="31.5" customHeight="1" x14ac:dyDescent="0.25">
      <c r="B3" s="31" t="s">
        <v>108</v>
      </c>
      <c r="C3" s="31" t="s">
        <v>109</v>
      </c>
      <c r="D3" s="35"/>
      <c r="E3" s="25" t="s">
        <v>110</v>
      </c>
      <c r="F3" s="57" t="s">
        <v>91</v>
      </c>
      <c r="G3" s="34" t="s">
        <v>102</v>
      </c>
      <c r="H3" s="25" t="s">
        <v>92</v>
      </c>
      <c r="I3" s="25" t="s">
        <v>93</v>
      </c>
      <c r="J3" s="25" t="s">
        <v>94</v>
      </c>
      <c r="K3" s="26" t="s">
        <v>95</v>
      </c>
      <c r="L3" s="32" t="s">
        <v>111</v>
      </c>
      <c r="M3" s="36" t="s">
        <v>112</v>
      </c>
      <c r="N3" s="32" t="s">
        <v>113</v>
      </c>
      <c r="O3" s="36" t="s">
        <v>114</v>
      </c>
      <c r="P3" s="36" t="s">
        <v>115</v>
      </c>
    </row>
    <row r="4" spans="2:17" ht="33.75" customHeight="1" x14ac:dyDescent="0.25">
      <c r="B4" s="27" t="s">
        <v>102</v>
      </c>
      <c r="C4" s="37" t="s">
        <v>116</v>
      </c>
      <c r="D4" s="35"/>
      <c r="E4" s="40" t="s">
        <v>117</v>
      </c>
      <c r="F4" s="10" t="s">
        <v>118</v>
      </c>
      <c r="G4" s="40" t="s">
        <v>119</v>
      </c>
      <c r="H4" s="40" t="s">
        <v>118</v>
      </c>
      <c r="I4" s="40" t="s">
        <v>120</v>
      </c>
      <c r="J4" s="40" t="s">
        <v>121</v>
      </c>
      <c r="K4" s="41" t="s">
        <v>121</v>
      </c>
      <c r="L4" s="42" t="s">
        <v>122</v>
      </c>
      <c r="M4" s="43" t="s">
        <v>123</v>
      </c>
      <c r="N4" s="42" t="s">
        <v>124</v>
      </c>
      <c r="O4" s="43" t="s">
        <v>125</v>
      </c>
      <c r="P4" s="43" t="s">
        <v>126</v>
      </c>
    </row>
    <row r="5" spans="2:17" ht="33.75" customHeight="1" x14ac:dyDescent="0.25">
      <c r="B5" s="27" t="s">
        <v>92</v>
      </c>
      <c r="C5" s="37" t="s">
        <v>127</v>
      </c>
      <c r="D5" s="35"/>
      <c r="E5" s="11" t="s">
        <v>128</v>
      </c>
      <c r="F5" s="10" t="s">
        <v>129</v>
      </c>
      <c r="G5" s="27" t="s">
        <v>119</v>
      </c>
      <c r="H5" s="27" t="s">
        <v>129</v>
      </c>
      <c r="I5" s="27" t="s">
        <v>121</v>
      </c>
      <c r="J5" s="27" t="s">
        <v>120</v>
      </c>
      <c r="K5" s="28" t="s">
        <v>118</v>
      </c>
      <c r="L5" s="44" t="s">
        <v>130</v>
      </c>
      <c r="M5" s="45" t="s">
        <v>131</v>
      </c>
      <c r="N5" s="44" t="s">
        <v>132</v>
      </c>
      <c r="O5" s="45" t="s">
        <v>133</v>
      </c>
      <c r="P5" s="45" t="s">
        <v>134</v>
      </c>
    </row>
    <row r="6" spans="2:17" ht="33.75" customHeight="1" x14ac:dyDescent="0.25">
      <c r="B6" s="27" t="s">
        <v>93</v>
      </c>
      <c r="C6" s="37" t="s">
        <v>135</v>
      </c>
      <c r="D6" s="35"/>
      <c r="E6" s="11" t="s">
        <v>136</v>
      </c>
      <c r="F6" s="10" t="s">
        <v>129</v>
      </c>
      <c r="G6" s="27" t="s">
        <v>129</v>
      </c>
      <c r="H6" s="27" t="s">
        <v>119</v>
      </c>
      <c r="I6" s="27" t="s">
        <v>121</v>
      </c>
      <c r="J6" s="27" t="s">
        <v>118</v>
      </c>
      <c r="K6" s="28" t="s">
        <v>118</v>
      </c>
      <c r="L6" s="44" t="s">
        <v>137</v>
      </c>
      <c r="M6" s="45" t="s">
        <v>138</v>
      </c>
      <c r="N6" s="44" t="s">
        <v>139</v>
      </c>
      <c r="O6" s="45" t="s">
        <v>140</v>
      </c>
      <c r="P6" s="45" t="s">
        <v>141</v>
      </c>
    </row>
    <row r="7" spans="2:17" ht="33.75" customHeight="1" x14ac:dyDescent="0.25">
      <c r="B7" s="27" t="s">
        <v>94</v>
      </c>
      <c r="C7" s="37" t="s">
        <v>142</v>
      </c>
      <c r="D7" s="35"/>
      <c r="E7" s="11" t="s">
        <v>143</v>
      </c>
      <c r="F7" s="10" t="s">
        <v>129</v>
      </c>
      <c r="G7" s="27" t="s">
        <v>129</v>
      </c>
      <c r="H7" s="27" t="s">
        <v>129</v>
      </c>
      <c r="I7" s="27" t="s">
        <v>118</v>
      </c>
      <c r="J7" s="27" t="s">
        <v>121</v>
      </c>
      <c r="K7" s="27" t="s">
        <v>120</v>
      </c>
      <c r="L7" s="44" t="s">
        <v>144</v>
      </c>
      <c r="M7" s="45" t="s">
        <v>145</v>
      </c>
      <c r="N7" s="44" t="s">
        <v>146</v>
      </c>
      <c r="O7" s="45" t="s">
        <v>147</v>
      </c>
      <c r="P7" s="45" t="s">
        <v>148</v>
      </c>
    </row>
    <row r="8" spans="2:17" ht="33.75" customHeight="1" x14ac:dyDescent="0.25">
      <c r="B8" s="27" t="s">
        <v>95</v>
      </c>
      <c r="C8" s="37" t="s">
        <v>149</v>
      </c>
      <c r="E8" s="11" t="s">
        <v>150</v>
      </c>
      <c r="F8" s="10" t="s">
        <v>129</v>
      </c>
      <c r="G8" s="27" t="s">
        <v>129</v>
      </c>
      <c r="H8" s="27" t="s">
        <v>119</v>
      </c>
      <c r="I8" s="27" t="s">
        <v>121</v>
      </c>
      <c r="J8" s="27" t="s">
        <v>120</v>
      </c>
      <c r="K8" s="27" t="s">
        <v>120</v>
      </c>
      <c r="L8" s="44" t="s">
        <v>151</v>
      </c>
      <c r="M8" s="45" t="s">
        <v>152</v>
      </c>
      <c r="N8" s="44" t="s">
        <v>153</v>
      </c>
      <c r="O8" s="45" t="s">
        <v>154</v>
      </c>
      <c r="P8" s="45" t="s">
        <v>155</v>
      </c>
    </row>
    <row r="9" spans="2:17" ht="33.75" customHeight="1" x14ac:dyDescent="0.25">
      <c r="E9" s="11" t="s">
        <v>156</v>
      </c>
      <c r="F9" s="10" t="s">
        <v>121</v>
      </c>
      <c r="G9" s="27" t="s">
        <v>119</v>
      </c>
      <c r="H9" s="27" t="s">
        <v>121</v>
      </c>
      <c r="I9" s="27" t="s">
        <v>119</v>
      </c>
      <c r="J9" s="27" t="s">
        <v>121</v>
      </c>
      <c r="K9" s="27" t="s">
        <v>121</v>
      </c>
      <c r="L9" s="44" t="s">
        <v>157</v>
      </c>
      <c r="M9" s="45" t="s">
        <v>158</v>
      </c>
      <c r="N9" s="44" t="s">
        <v>159</v>
      </c>
      <c r="O9" s="45" t="s">
        <v>160</v>
      </c>
      <c r="P9" s="45" t="s">
        <v>161</v>
      </c>
    </row>
    <row r="10" spans="2:17" ht="22.5" customHeight="1" x14ac:dyDescent="0.25">
      <c r="E10" s="11" t="s">
        <v>162</v>
      </c>
      <c r="F10" s="10" t="s">
        <v>121</v>
      </c>
      <c r="G10" s="27" t="s">
        <v>119</v>
      </c>
      <c r="H10" s="27" t="s">
        <v>121</v>
      </c>
      <c r="I10" s="27" t="s">
        <v>119</v>
      </c>
      <c r="J10" s="27" t="s">
        <v>121</v>
      </c>
      <c r="K10" s="27" t="s">
        <v>121</v>
      </c>
      <c r="L10" s="44" t="s">
        <v>163</v>
      </c>
      <c r="M10" s="45" t="s">
        <v>164</v>
      </c>
      <c r="N10" s="44" t="s">
        <v>165</v>
      </c>
      <c r="O10" s="45" t="s">
        <v>166</v>
      </c>
      <c r="P10" s="45" t="s">
        <v>167</v>
      </c>
    </row>
    <row r="11" spans="2:17" ht="33.75" customHeight="1" x14ac:dyDescent="0.25">
      <c r="E11" s="11" t="s">
        <v>168</v>
      </c>
      <c r="F11" s="10" t="s">
        <v>129</v>
      </c>
      <c r="G11" s="27" t="s">
        <v>129</v>
      </c>
      <c r="H11" s="27" t="s">
        <v>120</v>
      </c>
      <c r="I11" s="27" t="s">
        <v>118</v>
      </c>
      <c r="J11" s="27" t="s">
        <v>121</v>
      </c>
      <c r="K11" s="27" t="s">
        <v>121</v>
      </c>
      <c r="L11" s="44" t="s">
        <v>169</v>
      </c>
      <c r="M11" s="45" t="s">
        <v>170</v>
      </c>
      <c r="N11" s="44" t="s">
        <v>171</v>
      </c>
      <c r="O11" s="45" t="s">
        <v>172</v>
      </c>
      <c r="P11" s="45" t="s">
        <v>173</v>
      </c>
    </row>
    <row r="12" spans="2:17" ht="33.75" customHeight="1" x14ac:dyDescent="0.25">
      <c r="E12" s="11" t="s">
        <v>174</v>
      </c>
      <c r="F12" s="10" t="s">
        <v>120</v>
      </c>
      <c r="G12" s="27" t="s">
        <v>119</v>
      </c>
      <c r="H12" s="27" t="s">
        <v>118</v>
      </c>
      <c r="I12" s="27" t="s">
        <v>120</v>
      </c>
      <c r="J12" s="27" t="s">
        <v>121</v>
      </c>
      <c r="K12" s="27" t="s">
        <v>121</v>
      </c>
      <c r="L12" s="44" t="s">
        <v>175</v>
      </c>
      <c r="M12" s="45" t="s">
        <v>176</v>
      </c>
      <c r="N12" s="44" t="s">
        <v>177</v>
      </c>
      <c r="O12" s="45" t="s">
        <v>178</v>
      </c>
      <c r="P12" s="45" t="s">
        <v>179</v>
      </c>
    </row>
    <row r="13" spans="2:17" ht="33.75" customHeight="1" x14ac:dyDescent="0.25">
      <c r="E13" s="11" t="s">
        <v>180</v>
      </c>
      <c r="F13" s="10" t="s">
        <v>118</v>
      </c>
      <c r="G13" s="27" t="s">
        <v>119</v>
      </c>
      <c r="H13" s="27" t="s">
        <v>120</v>
      </c>
      <c r="I13" s="27" t="s">
        <v>120</v>
      </c>
      <c r="J13" s="27" t="s">
        <v>121</v>
      </c>
      <c r="K13" s="28" t="s">
        <v>121</v>
      </c>
      <c r="L13" s="44" t="s">
        <v>181</v>
      </c>
      <c r="M13" s="45" t="s">
        <v>182</v>
      </c>
      <c r="N13" s="44" t="s">
        <v>183</v>
      </c>
      <c r="O13" s="45" t="s">
        <v>184</v>
      </c>
      <c r="P13" s="45" t="s">
        <v>185</v>
      </c>
    </row>
    <row r="14" spans="2:17" ht="33.75" customHeight="1" x14ac:dyDescent="0.25">
      <c r="E14" s="11" t="s">
        <v>186</v>
      </c>
      <c r="F14" s="10" t="s">
        <v>118</v>
      </c>
      <c r="G14" s="27" t="s">
        <v>119</v>
      </c>
      <c r="H14" s="27" t="s">
        <v>120</v>
      </c>
      <c r="I14" s="27" t="s">
        <v>129</v>
      </c>
      <c r="J14" s="27" t="s">
        <v>121</v>
      </c>
      <c r="K14" s="28" t="s">
        <v>121</v>
      </c>
      <c r="L14" s="44" t="s">
        <v>187</v>
      </c>
      <c r="M14" s="45" t="s">
        <v>188</v>
      </c>
      <c r="N14" s="44" t="s">
        <v>189</v>
      </c>
      <c r="O14" s="45" t="s">
        <v>190</v>
      </c>
      <c r="P14" s="45" t="s">
        <v>191</v>
      </c>
    </row>
    <row r="15" spans="2:17" ht="33.75" customHeight="1" x14ac:dyDescent="0.25">
      <c r="E15" s="11" t="s">
        <v>192</v>
      </c>
      <c r="F15" s="10" t="s">
        <v>120</v>
      </c>
      <c r="G15" s="27" t="s">
        <v>119</v>
      </c>
      <c r="H15" s="27" t="s">
        <v>120</v>
      </c>
      <c r="I15" s="27" t="s">
        <v>120</v>
      </c>
      <c r="J15" s="27" t="s">
        <v>121</v>
      </c>
      <c r="K15" s="28" t="s">
        <v>121</v>
      </c>
      <c r="L15" s="44" t="s">
        <v>193</v>
      </c>
      <c r="M15" s="45" t="s">
        <v>194</v>
      </c>
      <c r="N15" s="44" t="s">
        <v>195</v>
      </c>
      <c r="O15" s="45" t="s">
        <v>196</v>
      </c>
      <c r="P15" s="45" t="s">
        <v>197</v>
      </c>
    </row>
    <row r="16" spans="2:17" ht="45" customHeight="1" x14ac:dyDescent="0.25">
      <c r="E16" s="11" t="s">
        <v>198</v>
      </c>
      <c r="F16" s="10" t="s">
        <v>129</v>
      </c>
      <c r="G16" s="27" t="s">
        <v>119</v>
      </c>
      <c r="H16" s="27" t="s">
        <v>120</v>
      </c>
      <c r="I16" s="27" t="s">
        <v>120</v>
      </c>
      <c r="J16" s="27" t="s">
        <v>120</v>
      </c>
      <c r="K16" s="28" t="s">
        <v>118</v>
      </c>
      <c r="L16" s="44" t="s">
        <v>199</v>
      </c>
      <c r="M16" s="45" t="s">
        <v>200</v>
      </c>
      <c r="N16" s="44" t="s">
        <v>201</v>
      </c>
      <c r="O16" s="45" t="s">
        <v>202</v>
      </c>
      <c r="P16" s="45" t="s">
        <v>203</v>
      </c>
    </row>
    <row r="17" spans="4:16" ht="33.75" customHeight="1" x14ac:dyDescent="0.25">
      <c r="E17" s="11" t="s">
        <v>204</v>
      </c>
      <c r="F17" s="10" t="s">
        <v>129</v>
      </c>
      <c r="G17" s="27" t="s">
        <v>129</v>
      </c>
      <c r="H17" s="27" t="s">
        <v>118</v>
      </c>
      <c r="I17" s="27" t="s">
        <v>120</v>
      </c>
      <c r="J17" s="27" t="s">
        <v>121</v>
      </c>
      <c r="K17" s="28" t="s">
        <v>120</v>
      </c>
      <c r="L17" s="44" t="s">
        <v>205</v>
      </c>
      <c r="M17" s="45" t="s">
        <v>206</v>
      </c>
      <c r="N17" s="44" t="s">
        <v>207</v>
      </c>
      <c r="O17" s="45" t="s">
        <v>208</v>
      </c>
      <c r="P17" s="45" t="s">
        <v>209</v>
      </c>
    </row>
    <row r="18" spans="4:16" ht="33.75" customHeight="1" x14ac:dyDescent="0.25">
      <c r="E18" s="11" t="s">
        <v>210</v>
      </c>
      <c r="F18" s="10" t="s">
        <v>118</v>
      </c>
      <c r="G18" s="29" t="s">
        <v>119</v>
      </c>
      <c r="H18" s="29" t="s">
        <v>120</v>
      </c>
      <c r="I18" s="29" t="s">
        <v>120</v>
      </c>
      <c r="J18" s="29" t="s">
        <v>121</v>
      </c>
      <c r="K18" s="30" t="s">
        <v>121</v>
      </c>
      <c r="L18" s="46" t="s">
        <v>211</v>
      </c>
      <c r="M18" s="45" t="s">
        <v>212</v>
      </c>
      <c r="N18" s="46" t="s">
        <v>213</v>
      </c>
      <c r="O18" s="45" t="s">
        <v>214</v>
      </c>
      <c r="P18" s="45" t="s">
        <v>215</v>
      </c>
    </row>
    <row r="19" spans="4:16" ht="33.75" customHeight="1" x14ac:dyDescent="0.25">
      <c r="E19" s="11" t="s">
        <v>216</v>
      </c>
      <c r="F19" s="10" t="s">
        <v>118</v>
      </c>
      <c r="G19" s="27" t="s">
        <v>119</v>
      </c>
      <c r="H19" s="27" t="s">
        <v>118</v>
      </c>
      <c r="I19" s="27" t="s">
        <v>120</v>
      </c>
      <c r="J19" s="27" t="s">
        <v>121</v>
      </c>
      <c r="K19" s="27" t="s">
        <v>121</v>
      </c>
      <c r="L19" s="44" t="s">
        <v>217</v>
      </c>
      <c r="M19" s="45" t="s">
        <v>218</v>
      </c>
      <c r="N19" s="44" t="s">
        <v>219</v>
      </c>
      <c r="O19" s="45" t="s">
        <v>220</v>
      </c>
      <c r="P19" s="45" t="s">
        <v>221</v>
      </c>
    </row>
    <row r="20" spans="4:16" ht="33.75" customHeight="1" x14ac:dyDescent="0.25">
      <c r="D20" s="11"/>
      <c r="E20" s="11" t="s">
        <v>222</v>
      </c>
      <c r="F20" s="10" t="s">
        <v>118</v>
      </c>
      <c r="G20" s="27" t="s">
        <v>119</v>
      </c>
      <c r="H20" s="27" t="s">
        <v>120</v>
      </c>
      <c r="I20" s="27" t="s">
        <v>120</v>
      </c>
      <c r="J20" s="27" t="s">
        <v>121</v>
      </c>
      <c r="K20" s="27" t="s">
        <v>121</v>
      </c>
      <c r="L20" s="44" t="s">
        <v>223</v>
      </c>
      <c r="M20" s="45" t="s">
        <v>224</v>
      </c>
      <c r="N20" s="44" t="s">
        <v>225</v>
      </c>
      <c r="O20" s="45" t="s">
        <v>226</v>
      </c>
      <c r="P20" s="45" t="s">
        <v>227</v>
      </c>
    </row>
    <row r="21" spans="4:16" ht="33.75" customHeight="1" x14ac:dyDescent="0.25">
      <c r="D21" s="11"/>
      <c r="E21" s="11" t="s">
        <v>228</v>
      </c>
      <c r="F21" s="10" t="s">
        <v>129</v>
      </c>
      <c r="G21" s="27" t="s">
        <v>120</v>
      </c>
      <c r="H21" s="27" t="s">
        <v>120</v>
      </c>
      <c r="I21" s="27" t="s">
        <v>120</v>
      </c>
      <c r="J21" s="27" t="s">
        <v>121</v>
      </c>
      <c r="K21" s="27" t="s">
        <v>120</v>
      </c>
      <c r="L21" s="44" t="s">
        <v>229</v>
      </c>
      <c r="M21" s="45" t="s">
        <v>230</v>
      </c>
      <c r="N21" s="44" t="s">
        <v>231</v>
      </c>
      <c r="O21" s="45" t="s">
        <v>232</v>
      </c>
      <c r="P21" s="45" t="s">
        <v>233</v>
      </c>
    </row>
    <row r="22" spans="4:16" ht="33.75" customHeight="1" x14ac:dyDescent="0.25">
      <c r="D22" s="11"/>
      <c r="E22" s="11" t="s">
        <v>234</v>
      </c>
      <c r="F22" s="10" t="s">
        <v>118</v>
      </c>
      <c r="G22" s="27" t="s">
        <v>129</v>
      </c>
      <c r="H22" s="27" t="s">
        <v>120</v>
      </c>
      <c r="I22" s="27" t="s">
        <v>120</v>
      </c>
      <c r="J22" s="27" t="s">
        <v>121</v>
      </c>
      <c r="K22" s="27" t="s">
        <v>121</v>
      </c>
      <c r="L22" s="44" t="s">
        <v>235</v>
      </c>
      <c r="M22" s="45" t="s">
        <v>236</v>
      </c>
      <c r="N22" s="44" t="s">
        <v>237</v>
      </c>
      <c r="O22" s="45" t="s">
        <v>238</v>
      </c>
      <c r="P22" s="45" t="s">
        <v>239</v>
      </c>
    </row>
    <row r="23" spans="4:16" ht="45" customHeight="1" x14ac:dyDescent="0.25">
      <c r="D23" s="11"/>
      <c r="E23" s="11" t="s">
        <v>240</v>
      </c>
      <c r="F23" s="10" t="s">
        <v>129</v>
      </c>
      <c r="G23" s="27" t="s">
        <v>119</v>
      </c>
      <c r="H23" s="27" t="s">
        <v>120</v>
      </c>
      <c r="I23" s="27" t="s">
        <v>118</v>
      </c>
      <c r="J23" s="27" t="s">
        <v>121</v>
      </c>
      <c r="K23" s="27" t="s">
        <v>121</v>
      </c>
      <c r="L23" s="44" t="s">
        <v>241</v>
      </c>
      <c r="M23" s="45" t="s">
        <v>242</v>
      </c>
      <c r="N23" s="44" t="s">
        <v>243</v>
      </c>
      <c r="O23" s="45" t="s">
        <v>244</v>
      </c>
      <c r="P23" s="45" t="s">
        <v>245</v>
      </c>
    </row>
    <row r="24" spans="4:16" ht="33.75" customHeight="1" x14ac:dyDescent="0.25">
      <c r="D24" s="11"/>
      <c r="E24" s="11" t="s">
        <v>246</v>
      </c>
      <c r="F24" s="10" t="s">
        <v>118</v>
      </c>
      <c r="G24" s="27" t="s">
        <v>119</v>
      </c>
      <c r="H24" s="27" t="s">
        <v>118</v>
      </c>
      <c r="I24" s="27" t="s">
        <v>120</v>
      </c>
      <c r="J24" s="27" t="s">
        <v>121</v>
      </c>
      <c r="K24" s="27" t="s">
        <v>121</v>
      </c>
      <c r="L24" s="44" t="s">
        <v>247</v>
      </c>
      <c r="M24" s="45" t="s">
        <v>248</v>
      </c>
      <c r="N24" s="44" t="s">
        <v>249</v>
      </c>
      <c r="O24" s="45" t="s">
        <v>250</v>
      </c>
      <c r="P24" s="45" t="s">
        <v>251</v>
      </c>
    </row>
    <row r="25" spans="4:16" ht="33.75" customHeight="1" x14ac:dyDescent="0.25">
      <c r="D25" s="11"/>
      <c r="E25" s="11" t="s">
        <v>252</v>
      </c>
      <c r="F25" s="10" t="s">
        <v>118</v>
      </c>
      <c r="G25" s="27" t="s">
        <v>119</v>
      </c>
      <c r="H25" s="27" t="s">
        <v>120</v>
      </c>
      <c r="I25" s="27" t="s">
        <v>120</v>
      </c>
      <c r="J25" s="27" t="s">
        <v>121</v>
      </c>
      <c r="K25" s="27" t="s">
        <v>121</v>
      </c>
      <c r="L25" s="44" t="s">
        <v>253</v>
      </c>
      <c r="M25" s="45" t="s">
        <v>254</v>
      </c>
      <c r="N25" s="44" t="s">
        <v>255</v>
      </c>
      <c r="O25" s="45" t="s">
        <v>256</v>
      </c>
      <c r="P25" s="45" t="s">
        <v>257</v>
      </c>
    </row>
    <row r="26" spans="4:16" ht="33.75" customHeight="1" x14ac:dyDescent="0.25">
      <c r="E26" s="11" t="s">
        <v>258</v>
      </c>
      <c r="F26" s="10" t="s">
        <v>129</v>
      </c>
      <c r="G26" s="27" t="s">
        <v>120</v>
      </c>
      <c r="H26" s="27" t="s">
        <v>121</v>
      </c>
      <c r="I26" s="27" t="s">
        <v>119</v>
      </c>
      <c r="J26" s="27" t="s">
        <v>118</v>
      </c>
      <c r="K26" s="27" t="s">
        <v>121</v>
      </c>
      <c r="L26" s="44" t="s">
        <v>259</v>
      </c>
      <c r="M26" s="45" t="s">
        <v>260</v>
      </c>
      <c r="N26" s="44" t="s">
        <v>261</v>
      </c>
      <c r="O26" s="45" t="s">
        <v>262</v>
      </c>
      <c r="P26" s="45" t="s">
        <v>263</v>
      </c>
    </row>
    <row r="27" spans="4:16" ht="33.75" customHeight="1" x14ac:dyDescent="0.25">
      <c r="E27" s="11" t="s">
        <v>264</v>
      </c>
      <c r="F27" s="10" t="s">
        <v>118</v>
      </c>
      <c r="G27" s="27" t="s">
        <v>119</v>
      </c>
      <c r="H27" s="27" t="s">
        <v>118</v>
      </c>
      <c r="I27" s="27" t="s">
        <v>120</v>
      </c>
      <c r="J27" s="27" t="s">
        <v>121</v>
      </c>
      <c r="K27" s="27" t="s">
        <v>121</v>
      </c>
      <c r="L27" s="44" t="s">
        <v>265</v>
      </c>
      <c r="M27" s="45" t="s">
        <v>266</v>
      </c>
      <c r="N27" s="44" t="s">
        <v>267</v>
      </c>
      <c r="O27" s="45" t="s">
        <v>268</v>
      </c>
      <c r="P27" s="45" t="s">
        <v>269</v>
      </c>
    </row>
    <row r="28" spans="4:16" ht="45" customHeight="1" x14ac:dyDescent="0.25">
      <c r="E28" s="11" t="s">
        <v>270</v>
      </c>
      <c r="F28" s="10" t="s">
        <v>118</v>
      </c>
      <c r="G28" s="27" t="s">
        <v>120</v>
      </c>
      <c r="H28" s="27" t="s">
        <v>120</v>
      </c>
      <c r="I28" s="27" t="s">
        <v>118</v>
      </c>
      <c r="J28" s="27" t="s">
        <v>118</v>
      </c>
      <c r="K28" s="27" t="s">
        <v>121</v>
      </c>
      <c r="L28" s="44" t="s">
        <v>271</v>
      </c>
      <c r="M28" s="45" t="s">
        <v>272</v>
      </c>
      <c r="N28" s="44" t="s">
        <v>273</v>
      </c>
      <c r="O28" s="45" t="s">
        <v>274</v>
      </c>
      <c r="P28" s="45" t="s">
        <v>275</v>
      </c>
    </row>
    <row r="29" spans="4:16" ht="33.75" customHeight="1" x14ac:dyDescent="0.25">
      <c r="E29" s="11" t="s">
        <v>276</v>
      </c>
      <c r="F29" s="10" t="s">
        <v>129</v>
      </c>
      <c r="G29" s="27" t="s">
        <v>129</v>
      </c>
      <c r="H29" s="27" t="s">
        <v>118</v>
      </c>
      <c r="I29" s="27" t="s">
        <v>120</v>
      </c>
      <c r="J29" s="27" t="s">
        <v>121</v>
      </c>
      <c r="K29" s="27" t="s">
        <v>121</v>
      </c>
      <c r="L29" s="44" t="s">
        <v>277</v>
      </c>
      <c r="M29" s="45" t="s">
        <v>278</v>
      </c>
      <c r="N29" s="44" t="s">
        <v>279</v>
      </c>
      <c r="O29" s="45" t="s">
        <v>280</v>
      </c>
      <c r="P29" s="45" t="s">
        <v>281</v>
      </c>
    </row>
    <row r="30" spans="4:16" ht="22.5" customHeight="1" x14ac:dyDescent="0.25">
      <c r="E30" s="11" t="s">
        <v>282</v>
      </c>
      <c r="F30" s="10" t="s">
        <v>118</v>
      </c>
      <c r="G30" s="27" t="s">
        <v>129</v>
      </c>
      <c r="H30" s="27" t="s">
        <v>118</v>
      </c>
      <c r="I30" s="27" t="s">
        <v>120</v>
      </c>
      <c r="J30" s="27" t="s">
        <v>121</v>
      </c>
      <c r="K30" s="27" t="s">
        <v>121</v>
      </c>
      <c r="L30" s="44" t="s">
        <v>283</v>
      </c>
      <c r="M30" s="45" t="s">
        <v>284</v>
      </c>
      <c r="N30" s="44" t="s">
        <v>285</v>
      </c>
      <c r="O30" s="45" t="s">
        <v>286</v>
      </c>
      <c r="P30" s="45" t="s">
        <v>287</v>
      </c>
    </row>
    <row r="31" spans="4:16" ht="33.75" customHeight="1" x14ac:dyDescent="0.25">
      <c r="E31" s="11" t="s">
        <v>288</v>
      </c>
      <c r="F31" s="10" t="s">
        <v>120</v>
      </c>
      <c r="G31" s="27" t="s">
        <v>119</v>
      </c>
      <c r="H31" s="27" t="s">
        <v>120</v>
      </c>
      <c r="I31" s="27" t="s">
        <v>120</v>
      </c>
      <c r="J31" s="27" t="s">
        <v>121</v>
      </c>
      <c r="K31" s="27" t="s">
        <v>121</v>
      </c>
      <c r="L31" s="44" t="s">
        <v>289</v>
      </c>
      <c r="M31" s="45" t="s">
        <v>290</v>
      </c>
      <c r="N31" s="44" t="s">
        <v>291</v>
      </c>
      <c r="O31" s="45" t="s">
        <v>292</v>
      </c>
      <c r="P31" s="45" t="s">
        <v>293</v>
      </c>
    </row>
    <row r="32" spans="4:16" ht="33.75" customHeight="1" x14ac:dyDescent="0.25">
      <c r="E32" s="11" t="s">
        <v>294</v>
      </c>
      <c r="F32" s="10" t="s">
        <v>129</v>
      </c>
      <c r="G32" s="27" t="s">
        <v>129</v>
      </c>
      <c r="H32" s="27" t="s">
        <v>121</v>
      </c>
      <c r="I32" s="27" t="s">
        <v>119</v>
      </c>
      <c r="J32" s="27" t="s">
        <v>118</v>
      </c>
      <c r="K32" s="27" t="s">
        <v>120</v>
      </c>
      <c r="L32" s="44" t="s">
        <v>295</v>
      </c>
      <c r="M32" s="45" t="s">
        <v>296</v>
      </c>
      <c r="N32" s="44" t="s">
        <v>297</v>
      </c>
      <c r="O32" s="45" t="s">
        <v>298</v>
      </c>
      <c r="P32" s="45" t="s">
        <v>299</v>
      </c>
    </row>
    <row r="33" spans="5:16" ht="33.75" customHeight="1" x14ac:dyDescent="0.25">
      <c r="E33" s="11" t="s">
        <v>300</v>
      </c>
      <c r="F33" s="10" t="s">
        <v>120</v>
      </c>
      <c r="G33" s="27" t="s">
        <v>119</v>
      </c>
      <c r="H33" s="27" t="s">
        <v>121</v>
      </c>
      <c r="I33" s="27" t="s">
        <v>129</v>
      </c>
      <c r="J33" s="27" t="s">
        <v>121</v>
      </c>
      <c r="K33" s="27" t="s">
        <v>121</v>
      </c>
      <c r="L33" s="44" t="s">
        <v>301</v>
      </c>
      <c r="M33" s="45" t="s">
        <v>302</v>
      </c>
      <c r="N33" s="44" t="s">
        <v>303</v>
      </c>
      <c r="O33" s="45" t="s">
        <v>304</v>
      </c>
      <c r="P33" s="45" t="s">
        <v>305</v>
      </c>
    </row>
    <row r="34" spans="5:16" ht="33.75" customHeight="1" x14ac:dyDescent="0.25">
      <c r="E34" s="11" t="s">
        <v>306</v>
      </c>
      <c r="F34" s="10" t="s">
        <v>118</v>
      </c>
      <c r="G34" s="27" t="s">
        <v>120</v>
      </c>
      <c r="H34" s="27" t="s">
        <v>120</v>
      </c>
      <c r="I34" s="27" t="s">
        <v>118</v>
      </c>
      <c r="J34" s="27" t="s">
        <v>118</v>
      </c>
      <c r="K34" s="27" t="s">
        <v>118</v>
      </c>
      <c r="L34" s="44" t="s">
        <v>307</v>
      </c>
      <c r="M34" s="45" t="s">
        <v>308</v>
      </c>
      <c r="N34" s="44" t="s">
        <v>309</v>
      </c>
      <c r="O34" s="45" t="s">
        <v>310</v>
      </c>
      <c r="P34" s="45" t="s">
        <v>311</v>
      </c>
    </row>
    <row r="35" spans="5:16" ht="33.75" customHeight="1" x14ac:dyDescent="0.25">
      <c r="E35" s="11" t="s">
        <v>312</v>
      </c>
      <c r="F35" s="10" t="s">
        <v>129</v>
      </c>
      <c r="G35" s="27" t="s">
        <v>118</v>
      </c>
      <c r="H35" s="27" t="s">
        <v>121</v>
      </c>
      <c r="I35" s="27" t="s">
        <v>129</v>
      </c>
      <c r="J35" s="27" t="s">
        <v>129</v>
      </c>
      <c r="K35" s="27" t="s">
        <v>129</v>
      </c>
      <c r="L35" s="44" t="s">
        <v>313</v>
      </c>
      <c r="M35" s="45" t="s">
        <v>314</v>
      </c>
      <c r="N35" s="44" t="s">
        <v>315</v>
      </c>
      <c r="O35" s="45" t="s">
        <v>316</v>
      </c>
      <c r="P35" s="45" t="s">
        <v>317</v>
      </c>
    </row>
    <row r="36" spans="5:16" ht="33.75" customHeight="1" x14ac:dyDescent="0.25">
      <c r="E36" s="11" t="s">
        <v>318</v>
      </c>
      <c r="F36" s="10" t="s">
        <v>129</v>
      </c>
      <c r="G36" s="27" t="s">
        <v>120</v>
      </c>
      <c r="H36" s="27" t="s">
        <v>121</v>
      </c>
      <c r="I36" s="27" t="s">
        <v>119</v>
      </c>
      <c r="J36" s="27" t="s">
        <v>120</v>
      </c>
      <c r="K36" s="27" t="s">
        <v>120</v>
      </c>
      <c r="L36" s="44" t="s">
        <v>319</v>
      </c>
      <c r="M36" s="45" t="s">
        <v>320</v>
      </c>
      <c r="N36" s="44" t="s">
        <v>321</v>
      </c>
      <c r="O36" s="45" t="s">
        <v>322</v>
      </c>
      <c r="P36" s="45" t="s">
        <v>323</v>
      </c>
    </row>
    <row r="37" spans="5:16" ht="33.75" customHeight="1" x14ac:dyDescent="0.25">
      <c r="E37" s="11" t="s">
        <v>324</v>
      </c>
      <c r="F37" s="10" t="s">
        <v>120</v>
      </c>
      <c r="G37" s="27" t="s">
        <v>119</v>
      </c>
      <c r="H37" s="27" t="s">
        <v>121</v>
      </c>
      <c r="I37" s="27" t="s">
        <v>129</v>
      </c>
      <c r="J37" s="27" t="s">
        <v>120</v>
      </c>
      <c r="K37" s="27" t="s">
        <v>121</v>
      </c>
      <c r="L37" s="44" t="s">
        <v>325</v>
      </c>
      <c r="M37" s="45" t="s">
        <v>326</v>
      </c>
      <c r="N37" s="44" t="s">
        <v>327</v>
      </c>
      <c r="O37" s="45" t="s">
        <v>328</v>
      </c>
      <c r="P37" s="45" t="s">
        <v>329</v>
      </c>
    </row>
    <row r="38" spans="5:16" ht="33.75" customHeight="1" x14ac:dyDescent="0.25">
      <c r="E38" s="11" t="s">
        <v>330</v>
      </c>
      <c r="F38" s="10" t="s">
        <v>120</v>
      </c>
      <c r="G38" s="27" t="s">
        <v>118</v>
      </c>
      <c r="H38" s="27" t="s">
        <v>121</v>
      </c>
      <c r="I38" s="27" t="s">
        <v>129</v>
      </c>
      <c r="J38" s="27" t="s">
        <v>120</v>
      </c>
      <c r="K38" s="27" t="s">
        <v>118</v>
      </c>
      <c r="L38" s="44" t="s">
        <v>331</v>
      </c>
      <c r="M38" s="45" t="s">
        <v>332</v>
      </c>
      <c r="N38" s="44" t="s">
        <v>333</v>
      </c>
      <c r="O38" s="45" t="s">
        <v>334</v>
      </c>
      <c r="P38" s="45" t="s">
        <v>335</v>
      </c>
    </row>
    <row r="39" spans="5:16" ht="33.75" customHeight="1" x14ac:dyDescent="0.25">
      <c r="E39" s="11" t="s">
        <v>336</v>
      </c>
      <c r="F39" s="10" t="s">
        <v>118</v>
      </c>
      <c r="G39" s="27" t="s">
        <v>120</v>
      </c>
      <c r="H39" s="27" t="s">
        <v>121</v>
      </c>
      <c r="I39" s="27" t="s">
        <v>129</v>
      </c>
      <c r="J39" s="27" t="s">
        <v>120</v>
      </c>
      <c r="K39" s="27" t="s">
        <v>121</v>
      </c>
      <c r="L39" s="44" t="s">
        <v>337</v>
      </c>
      <c r="M39" s="45" t="s">
        <v>338</v>
      </c>
      <c r="N39" s="44" t="s">
        <v>339</v>
      </c>
      <c r="O39" s="45" t="s">
        <v>340</v>
      </c>
      <c r="P39" s="45" t="s">
        <v>341</v>
      </c>
    </row>
    <row r="40" spans="5:16" ht="22.5" customHeight="1" x14ac:dyDescent="0.25">
      <c r="E40" s="11" t="s">
        <v>342</v>
      </c>
      <c r="F40" s="10" t="s">
        <v>120</v>
      </c>
      <c r="G40" s="27" t="s">
        <v>120</v>
      </c>
      <c r="H40" s="27" t="s">
        <v>121</v>
      </c>
      <c r="I40" s="27" t="s">
        <v>129</v>
      </c>
      <c r="J40" s="27" t="s">
        <v>120</v>
      </c>
      <c r="K40" s="27" t="s">
        <v>121</v>
      </c>
      <c r="L40" s="44" t="s">
        <v>343</v>
      </c>
      <c r="M40" s="45" t="s">
        <v>344</v>
      </c>
      <c r="N40" s="44" t="s">
        <v>345</v>
      </c>
      <c r="O40" s="45" t="s">
        <v>346</v>
      </c>
      <c r="P40" s="45" t="s">
        <v>347</v>
      </c>
    </row>
    <row r="41" spans="5:16" ht="33.75" customHeight="1" x14ac:dyDescent="0.25">
      <c r="E41" s="11" t="s">
        <v>348</v>
      </c>
      <c r="F41" s="10" t="s">
        <v>129</v>
      </c>
      <c r="G41" s="27" t="s">
        <v>120</v>
      </c>
      <c r="H41" s="27" t="s">
        <v>120</v>
      </c>
      <c r="I41" s="27" t="s">
        <v>120</v>
      </c>
      <c r="J41" s="27" t="s">
        <v>120</v>
      </c>
      <c r="K41" s="27" t="s">
        <v>121</v>
      </c>
      <c r="L41" s="44" t="s">
        <v>349</v>
      </c>
      <c r="M41" s="45" t="s">
        <v>350</v>
      </c>
      <c r="N41" s="44" t="s">
        <v>351</v>
      </c>
      <c r="O41" s="45" t="s">
        <v>352</v>
      </c>
      <c r="P41" s="45" t="s">
        <v>353</v>
      </c>
    </row>
    <row r="42" spans="5:16" ht="33.75" customHeight="1" x14ac:dyDescent="0.25">
      <c r="E42" s="11" t="s">
        <v>354</v>
      </c>
      <c r="F42" s="10" t="s">
        <v>129</v>
      </c>
      <c r="G42" s="27" t="s">
        <v>118</v>
      </c>
      <c r="H42" s="27" t="s">
        <v>120</v>
      </c>
      <c r="I42" s="27" t="s">
        <v>120</v>
      </c>
      <c r="J42" s="27" t="s">
        <v>120</v>
      </c>
      <c r="K42" s="27" t="s">
        <v>121</v>
      </c>
      <c r="L42" s="44" t="s">
        <v>355</v>
      </c>
      <c r="M42" s="45" t="s">
        <v>356</v>
      </c>
      <c r="N42" s="44" t="s">
        <v>357</v>
      </c>
      <c r="O42" s="45" t="s">
        <v>358</v>
      </c>
      <c r="P42" s="45" t="s">
        <v>359</v>
      </c>
    </row>
    <row r="43" spans="5:16" ht="33.75" customHeight="1" x14ac:dyDescent="0.25">
      <c r="E43" s="11" t="s">
        <v>360</v>
      </c>
      <c r="F43" s="10" t="s">
        <v>120</v>
      </c>
      <c r="G43" s="27" t="s">
        <v>120</v>
      </c>
      <c r="H43" s="27" t="s">
        <v>120</v>
      </c>
      <c r="I43" s="27" t="s">
        <v>120</v>
      </c>
      <c r="J43" s="27" t="s">
        <v>120</v>
      </c>
      <c r="K43" s="27" t="s">
        <v>121</v>
      </c>
      <c r="L43" s="44" t="s">
        <v>361</v>
      </c>
      <c r="M43" s="45" t="s">
        <v>362</v>
      </c>
      <c r="N43" s="44" t="s">
        <v>363</v>
      </c>
      <c r="O43" s="45" t="s">
        <v>364</v>
      </c>
      <c r="P43" s="45" t="s">
        <v>365</v>
      </c>
    </row>
    <row r="44" spans="5:16" ht="33.75" customHeight="1" x14ac:dyDescent="0.25">
      <c r="E44" s="11" t="s">
        <v>366</v>
      </c>
      <c r="F44" s="10" t="s">
        <v>120</v>
      </c>
      <c r="G44" s="27" t="s">
        <v>118</v>
      </c>
      <c r="H44" s="27" t="s">
        <v>120</v>
      </c>
      <c r="I44" s="27" t="s">
        <v>120</v>
      </c>
      <c r="J44" s="27" t="s">
        <v>129</v>
      </c>
      <c r="K44" s="27" t="s">
        <v>121</v>
      </c>
      <c r="L44" s="44" t="s">
        <v>367</v>
      </c>
      <c r="M44" s="45" t="s">
        <v>368</v>
      </c>
      <c r="N44" s="44" t="s">
        <v>369</v>
      </c>
      <c r="O44" s="45" t="s">
        <v>370</v>
      </c>
      <c r="P44" s="45" t="s">
        <v>371</v>
      </c>
    </row>
    <row r="45" spans="5:16" ht="33.75" customHeight="1" x14ac:dyDescent="0.25">
      <c r="E45" s="11" t="s">
        <v>372</v>
      </c>
      <c r="F45" s="10" t="s">
        <v>118</v>
      </c>
      <c r="G45" s="27" t="s">
        <v>119</v>
      </c>
      <c r="H45" s="27" t="s">
        <v>118</v>
      </c>
      <c r="I45" s="27" t="s">
        <v>129</v>
      </c>
      <c r="J45" s="27" t="s">
        <v>120</v>
      </c>
      <c r="K45" s="27" t="s">
        <v>121</v>
      </c>
      <c r="L45" s="44" t="s">
        <v>373</v>
      </c>
      <c r="M45" s="45" t="s">
        <v>374</v>
      </c>
      <c r="N45" s="44" t="s">
        <v>375</v>
      </c>
      <c r="O45" s="45" t="s">
        <v>376</v>
      </c>
      <c r="P45" s="45" t="s">
        <v>377</v>
      </c>
    </row>
    <row r="46" spans="5:16" ht="33.75" customHeight="1" x14ac:dyDescent="0.25">
      <c r="E46" s="11" t="s">
        <v>378</v>
      </c>
      <c r="F46" s="10" t="s">
        <v>118</v>
      </c>
      <c r="G46" s="27" t="s">
        <v>119</v>
      </c>
      <c r="H46" s="27" t="s">
        <v>118</v>
      </c>
      <c r="I46" s="27" t="s">
        <v>120</v>
      </c>
      <c r="J46" s="27" t="s">
        <v>121</v>
      </c>
      <c r="K46" s="27" t="s">
        <v>121</v>
      </c>
      <c r="L46" s="44" t="s">
        <v>379</v>
      </c>
      <c r="M46" s="45" t="s">
        <v>380</v>
      </c>
      <c r="N46" s="44" t="s">
        <v>381</v>
      </c>
      <c r="O46" s="45" t="s">
        <v>382</v>
      </c>
      <c r="P46" s="45" t="s">
        <v>383</v>
      </c>
    </row>
    <row r="47" spans="5:16" ht="33.75" customHeight="1" x14ac:dyDescent="0.25">
      <c r="E47" s="11" t="s">
        <v>384</v>
      </c>
      <c r="F47" s="10" t="s">
        <v>118</v>
      </c>
      <c r="G47" s="27" t="s">
        <v>119</v>
      </c>
      <c r="H47" s="27" t="s">
        <v>118</v>
      </c>
      <c r="I47" s="27" t="s">
        <v>129</v>
      </c>
      <c r="J47" s="27" t="s">
        <v>120</v>
      </c>
      <c r="K47" s="27" t="s">
        <v>121</v>
      </c>
      <c r="L47" s="44" t="s">
        <v>385</v>
      </c>
      <c r="M47" s="45" t="s">
        <v>386</v>
      </c>
      <c r="N47" s="44" t="s">
        <v>387</v>
      </c>
      <c r="O47" s="45" t="s">
        <v>388</v>
      </c>
      <c r="P47" s="45" t="s">
        <v>389</v>
      </c>
    </row>
    <row r="48" spans="5:16" ht="33.75" customHeight="1" x14ac:dyDescent="0.25">
      <c r="E48" s="11" t="s">
        <v>390</v>
      </c>
      <c r="F48" s="10" t="s">
        <v>129</v>
      </c>
      <c r="G48" s="27" t="s">
        <v>129</v>
      </c>
      <c r="H48" s="27" t="s">
        <v>120</v>
      </c>
      <c r="I48" s="27" t="s">
        <v>120</v>
      </c>
      <c r="J48" s="27" t="s">
        <v>120</v>
      </c>
      <c r="K48" s="27" t="s">
        <v>118</v>
      </c>
      <c r="L48" s="44" t="s">
        <v>391</v>
      </c>
      <c r="M48" s="45" t="s">
        <v>392</v>
      </c>
      <c r="N48" s="44" t="s">
        <v>393</v>
      </c>
      <c r="O48" s="45" t="s">
        <v>394</v>
      </c>
      <c r="P48" s="45" t="s">
        <v>395</v>
      </c>
    </row>
    <row r="49" spans="5:16" ht="33.75" customHeight="1" x14ac:dyDescent="0.25">
      <c r="E49" s="11" t="s">
        <v>396</v>
      </c>
      <c r="F49" s="10" t="s">
        <v>129</v>
      </c>
      <c r="G49" s="27" t="s">
        <v>129</v>
      </c>
      <c r="H49" s="27" t="s">
        <v>129</v>
      </c>
      <c r="I49" s="27" t="s">
        <v>118</v>
      </c>
      <c r="J49" s="27" t="s">
        <v>121</v>
      </c>
      <c r="K49" s="27" t="s">
        <v>120</v>
      </c>
      <c r="L49" s="44" t="s">
        <v>397</v>
      </c>
      <c r="M49" s="45" t="s">
        <v>398</v>
      </c>
      <c r="N49" s="44" t="s">
        <v>399</v>
      </c>
      <c r="O49" s="45" t="s">
        <v>400</v>
      </c>
      <c r="P49" s="45" t="s">
        <v>401</v>
      </c>
    </row>
    <row r="50" spans="5:16" ht="33.75" customHeight="1" x14ac:dyDescent="0.25">
      <c r="E50" s="11" t="s">
        <v>402</v>
      </c>
      <c r="F50" s="10" t="s">
        <v>129</v>
      </c>
      <c r="G50" s="27" t="s">
        <v>120</v>
      </c>
      <c r="H50" s="27" t="s">
        <v>118</v>
      </c>
      <c r="I50" s="27" t="s">
        <v>129</v>
      </c>
      <c r="J50" s="27" t="s">
        <v>120</v>
      </c>
      <c r="K50" s="27" t="s">
        <v>121</v>
      </c>
      <c r="L50" s="44" t="s">
        <v>403</v>
      </c>
      <c r="M50" s="45" t="s">
        <v>404</v>
      </c>
      <c r="N50" s="44" t="s">
        <v>405</v>
      </c>
      <c r="O50" s="45" t="s">
        <v>406</v>
      </c>
      <c r="P50" s="45" t="s">
        <v>407</v>
      </c>
    </row>
    <row r="51" spans="5:16" ht="33.75" customHeight="1" x14ac:dyDescent="0.25">
      <c r="E51" s="11" t="s">
        <v>408</v>
      </c>
      <c r="F51" s="10" t="s">
        <v>129</v>
      </c>
      <c r="G51" s="27" t="s">
        <v>118</v>
      </c>
      <c r="H51" s="27" t="s">
        <v>120</v>
      </c>
      <c r="I51" s="27" t="s">
        <v>120</v>
      </c>
      <c r="J51" s="27" t="s">
        <v>121</v>
      </c>
      <c r="K51" s="27" t="s">
        <v>120</v>
      </c>
      <c r="L51" s="44" t="s">
        <v>409</v>
      </c>
      <c r="M51" s="45" t="s">
        <v>410</v>
      </c>
      <c r="N51" s="44" t="s">
        <v>411</v>
      </c>
      <c r="O51" s="45" t="s">
        <v>412</v>
      </c>
      <c r="P51" s="45" t="s">
        <v>413</v>
      </c>
    </row>
    <row r="52" spans="5:16" ht="33.75" customHeight="1" x14ac:dyDescent="0.25">
      <c r="E52" s="11" t="s">
        <v>414</v>
      </c>
      <c r="F52" s="10" t="s">
        <v>129</v>
      </c>
      <c r="G52" s="27" t="s">
        <v>120</v>
      </c>
      <c r="H52" s="27" t="s">
        <v>118</v>
      </c>
      <c r="I52" s="27" t="s">
        <v>120</v>
      </c>
      <c r="J52" s="27" t="s">
        <v>121</v>
      </c>
      <c r="K52" s="27" t="s">
        <v>120</v>
      </c>
      <c r="L52" s="44" t="s">
        <v>415</v>
      </c>
      <c r="M52" s="45" t="s">
        <v>416</v>
      </c>
      <c r="N52" s="44" t="s">
        <v>417</v>
      </c>
      <c r="O52" s="45" t="s">
        <v>418</v>
      </c>
      <c r="P52" s="45" t="s">
        <v>419</v>
      </c>
    </row>
    <row r="53" spans="5:16" ht="33.75" customHeight="1" x14ac:dyDescent="0.25">
      <c r="E53" s="11" t="s">
        <v>420</v>
      </c>
      <c r="F53" s="10" t="s">
        <v>129</v>
      </c>
      <c r="G53" s="27" t="s">
        <v>118</v>
      </c>
      <c r="H53" s="27" t="s">
        <v>120</v>
      </c>
      <c r="I53" s="27" t="s">
        <v>120</v>
      </c>
      <c r="J53" s="27" t="s">
        <v>121</v>
      </c>
      <c r="K53" s="27" t="s">
        <v>129</v>
      </c>
      <c r="L53" s="44" t="s">
        <v>421</v>
      </c>
      <c r="M53" s="45" t="s">
        <v>422</v>
      </c>
      <c r="N53" s="44" t="s">
        <v>423</v>
      </c>
      <c r="O53" s="45" t="s">
        <v>424</v>
      </c>
      <c r="P53" s="45" t="s">
        <v>425</v>
      </c>
    </row>
    <row r="54" spans="5:16" ht="33.75" customHeight="1" x14ac:dyDescent="0.25">
      <c r="E54" s="11" t="s">
        <v>426</v>
      </c>
      <c r="F54" s="10" t="s">
        <v>129</v>
      </c>
      <c r="G54" s="27" t="s">
        <v>118</v>
      </c>
      <c r="H54" s="27" t="s">
        <v>121</v>
      </c>
      <c r="I54" s="27" t="s">
        <v>129</v>
      </c>
      <c r="J54" s="27" t="s">
        <v>120</v>
      </c>
      <c r="K54" s="27" t="s">
        <v>120</v>
      </c>
      <c r="L54" s="44" t="s">
        <v>427</v>
      </c>
      <c r="M54" s="45" t="s">
        <v>428</v>
      </c>
      <c r="N54" s="44" t="s">
        <v>429</v>
      </c>
      <c r="O54" s="45" t="s">
        <v>430</v>
      </c>
      <c r="P54" s="45" t="s">
        <v>431</v>
      </c>
    </row>
    <row r="55" spans="5:16" ht="22.5" customHeight="1" x14ac:dyDescent="0.25">
      <c r="E55" s="11" t="s">
        <v>432</v>
      </c>
      <c r="F55" s="10" t="s">
        <v>118</v>
      </c>
      <c r="G55" s="27" t="s">
        <v>120</v>
      </c>
      <c r="H55" s="27" t="s">
        <v>121</v>
      </c>
      <c r="I55" s="27" t="s">
        <v>129</v>
      </c>
      <c r="J55" s="27" t="s">
        <v>120</v>
      </c>
      <c r="K55" s="27" t="s">
        <v>118</v>
      </c>
      <c r="L55" s="44" t="s">
        <v>433</v>
      </c>
      <c r="M55" s="45" t="s">
        <v>434</v>
      </c>
      <c r="N55" s="44" t="s">
        <v>435</v>
      </c>
      <c r="O55" s="45" t="s">
        <v>436</v>
      </c>
      <c r="P55" s="45" t="s">
        <v>437</v>
      </c>
    </row>
    <row r="56" spans="5:16" ht="33.75" customHeight="1" x14ac:dyDescent="0.25">
      <c r="E56" s="11" t="s">
        <v>438</v>
      </c>
      <c r="F56" s="10" t="s">
        <v>118</v>
      </c>
      <c r="G56" s="27" t="s">
        <v>120</v>
      </c>
      <c r="H56" s="27" t="s">
        <v>121</v>
      </c>
      <c r="I56" s="27" t="s">
        <v>129</v>
      </c>
      <c r="J56" s="27" t="s">
        <v>120</v>
      </c>
      <c r="K56" s="27" t="s">
        <v>120</v>
      </c>
      <c r="L56" s="44" t="s">
        <v>439</v>
      </c>
      <c r="M56" s="45" t="s">
        <v>440</v>
      </c>
      <c r="N56" s="44" t="s">
        <v>441</v>
      </c>
      <c r="O56" s="45" t="s">
        <v>442</v>
      </c>
      <c r="P56" s="45" t="s">
        <v>443</v>
      </c>
    </row>
    <row r="57" spans="5:16" ht="33.75" customHeight="1" x14ac:dyDescent="0.25">
      <c r="E57" s="11" t="s">
        <v>444</v>
      </c>
      <c r="F57" s="10" t="s">
        <v>119</v>
      </c>
      <c r="G57" s="27" t="s">
        <v>118</v>
      </c>
      <c r="H57" s="27" t="s">
        <v>120</v>
      </c>
      <c r="I57" s="27" t="s">
        <v>129</v>
      </c>
      <c r="J57" s="27" t="s">
        <v>121</v>
      </c>
      <c r="K57" s="27" t="s">
        <v>129</v>
      </c>
      <c r="L57" s="44" t="s">
        <v>445</v>
      </c>
      <c r="M57" s="45" t="s">
        <v>446</v>
      </c>
      <c r="N57" s="44" t="s">
        <v>447</v>
      </c>
      <c r="O57" s="45" t="s">
        <v>448</v>
      </c>
      <c r="P57" s="45" t="s">
        <v>449</v>
      </c>
    </row>
    <row r="58" spans="5:16" ht="33.75" customHeight="1" x14ac:dyDescent="0.25">
      <c r="E58" s="11" t="s">
        <v>450</v>
      </c>
      <c r="F58" s="10" t="s">
        <v>119</v>
      </c>
      <c r="G58" s="27" t="s">
        <v>120</v>
      </c>
      <c r="H58" s="27" t="s">
        <v>118</v>
      </c>
      <c r="I58" s="27" t="s">
        <v>129</v>
      </c>
      <c r="J58" s="27" t="s">
        <v>121</v>
      </c>
      <c r="K58" s="27" t="s">
        <v>129</v>
      </c>
      <c r="L58" s="44" t="s">
        <v>451</v>
      </c>
      <c r="M58" s="45" t="s">
        <v>452</v>
      </c>
      <c r="N58" s="44" t="s">
        <v>453</v>
      </c>
      <c r="O58" s="45" t="s">
        <v>454</v>
      </c>
      <c r="P58" s="45" t="s">
        <v>455</v>
      </c>
    </row>
    <row r="59" spans="5:16" ht="33.75" customHeight="1" x14ac:dyDescent="0.25">
      <c r="E59" s="11" t="s">
        <v>456</v>
      </c>
      <c r="F59" s="10" t="s">
        <v>119</v>
      </c>
      <c r="G59" s="27" t="s">
        <v>121</v>
      </c>
      <c r="H59" s="27" t="s">
        <v>120</v>
      </c>
      <c r="I59" s="27" t="s">
        <v>120</v>
      </c>
      <c r="J59" s="27" t="s">
        <v>120</v>
      </c>
      <c r="K59" s="27" t="s">
        <v>119</v>
      </c>
      <c r="L59" s="44" t="s">
        <v>457</v>
      </c>
      <c r="M59" s="47" t="s">
        <v>458</v>
      </c>
      <c r="N59" s="44" t="s">
        <v>459</v>
      </c>
      <c r="O59" s="47" t="s">
        <v>460</v>
      </c>
      <c r="P59" s="47" t="s">
        <v>461</v>
      </c>
    </row>
  </sheetData>
  <mergeCells count="2">
    <mergeCell ref="E2:Q2"/>
    <mergeCell ref="B2:C2"/>
  </mergeCells>
  <pageMargins left="0.25" right="0.25" top="0.75" bottom="0.75" header="0.3" footer="0.3"/>
  <pageSetup paperSize="8" scale="75" fitToHeight="0" orientation="landscape"/>
  <rowBreaks count="1" manualBreakCount="1">
    <brk id="12" max="16383" man="1"/>
  </rowBreaks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2:P436"/>
  <sheetViews>
    <sheetView showGridLines="0" zoomScaleNormal="100" workbookViewId="0">
      <pane ySplit="3" topLeftCell="A4" activePane="bottomLeft" state="frozen"/>
      <selection activeCell="B1" sqref="B1"/>
      <selection pane="bottomLeft" activeCell="H8" sqref="H8"/>
    </sheetView>
  </sheetViews>
  <sheetFormatPr baseColWidth="10" defaultColWidth="11.42578125" defaultRowHeight="16.5" customHeight="1" x14ac:dyDescent="0.25"/>
  <cols>
    <col min="1" max="1" width="3.85546875" style="10" customWidth="1"/>
    <col min="2" max="2" width="10" style="10" customWidth="1"/>
    <col min="3" max="3" width="9.5703125" style="10" bestFit="1" customWidth="1"/>
    <col min="4" max="4" width="34.42578125" style="10" customWidth="1"/>
    <col min="5" max="5" width="10" style="10" customWidth="1"/>
    <col min="6" max="6" width="32.28515625" style="10" customWidth="1"/>
    <col min="7" max="7" width="37.42578125" style="10" customWidth="1"/>
    <col min="8" max="8" width="7.85546875" style="10" customWidth="1"/>
    <col min="9" max="9" width="10.42578125" style="58" customWidth="1"/>
    <col min="10" max="10" width="12.5703125" style="65" customWidth="1"/>
    <col min="11" max="11" width="9.5703125" style="10" customWidth="1"/>
    <col min="12" max="13" width="11" style="10" customWidth="1"/>
    <col min="14" max="14" width="12.140625" style="10" customWidth="1"/>
    <col min="15" max="15" width="12.7109375" style="10" customWidth="1"/>
    <col min="16" max="16" width="11.42578125" style="10" customWidth="1"/>
    <col min="17" max="17" width="4.42578125" style="10" customWidth="1"/>
    <col min="18" max="23" width="11.42578125" style="10" customWidth="1"/>
    <col min="24" max="16384" width="11.42578125" style="10"/>
  </cols>
  <sheetData>
    <row r="2" spans="2:16" ht="16.5" customHeight="1" x14ac:dyDescent="0.25">
      <c r="B2" s="115" t="s">
        <v>462</v>
      </c>
      <c r="C2" s="116"/>
      <c r="D2" s="116"/>
      <c r="E2" s="116"/>
      <c r="F2" s="116"/>
      <c r="G2" s="116"/>
      <c r="H2" s="116"/>
      <c r="I2" s="120"/>
      <c r="J2" s="121"/>
      <c r="K2" s="116"/>
      <c r="L2" s="116"/>
      <c r="M2" s="116"/>
      <c r="N2" s="116"/>
      <c r="O2" s="116"/>
      <c r="P2" s="116"/>
    </row>
    <row r="3" spans="2:16" s="11" customFormat="1" ht="30" customHeight="1" x14ac:dyDescent="0.25">
      <c r="B3" s="59" t="s">
        <v>463</v>
      </c>
      <c r="C3" s="59" t="s">
        <v>464</v>
      </c>
      <c r="D3" s="59" t="s">
        <v>465</v>
      </c>
      <c r="E3" s="59" t="s">
        <v>466</v>
      </c>
      <c r="F3" s="59" t="s">
        <v>467</v>
      </c>
      <c r="G3" s="59" t="s">
        <v>110</v>
      </c>
      <c r="H3" s="59" t="s">
        <v>24</v>
      </c>
      <c r="I3" s="60" t="s">
        <v>91</v>
      </c>
      <c r="J3" s="60" t="s">
        <v>468</v>
      </c>
      <c r="K3" s="61" t="s">
        <v>87</v>
      </c>
      <c r="L3" s="54" t="s">
        <v>92</v>
      </c>
      <c r="M3" s="54" t="s">
        <v>93</v>
      </c>
      <c r="N3" s="54" t="s">
        <v>94</v>
      </c>
      <c r="O3" s="54" t="s">
        <v>95</v>
      </c>
      <c r="P3" s="54" t="s">
        <v>469</v>
      </c>
    </row>
    <row r="4" spans="2:16" ht="19.5" customHeight="1" x14ac:dyDescent="0.25">
      <c r="B4" s="66" t="str">
        <f t="array" ref="B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E001</v>
      </c>
      <c r="C4" s="39" t="s">
        <v>25</v>
      </c>
      <c r="D4" s="10" t="str">
        <f>VLOOKUP(tblEnlaces[[#This Row],[Nodo Inicial]],tblNodos[],2,FALSE)</f>
        <v>Recursos personales lícitos</v>
      </c>
      <c r="E4" s="39" t="s">
        <v>47</v>
      </c>
      <c r="F4" s="10" t="str">
        <f>VLOOKUP(tblEnlaces[[#This Row],[Nodo Final]],tblNodos[],2,FALSE)</f>
        <v>Colectores digitales instrumentales</v>
      </c>
      <c r="G4" s="39" t="s">
        <v>117</v>
      </c>
      <c r="H4" s="39">
        <v>1</v>
      </c>
      <c r="I4" s="53">
        <f>IFERROR(_xlfn.XLOOKUP(VLOOKUP(tblEnlaces[[#This Row],[Canal]],tblCanales[#All],2,FALSE),tblPesosValorOperativo[Valor],tblPesosValorOperativo[Frecuencia de Uso],0),0)</f>
        <v>4</v>
      </c>
      <c r="J4" s="63">
        <f>IF(tblEnlaces[[#This Row],[Activo]]&lt;&gt;1,0,IFERROR(tblEnlaces[[#This Row],[Frecuencia de Uso]]/SUMIFS(tblEnlaces[Frecuencia de Uso],tblEnlaces[Enlace],tblEnlaces[[#This Row],[Enlace]],tblEnlaces[Activo],1),0))</f>
        <v>1</v>
      </c>
      <c r="K4" s="62">
        <f>IFERROR(_xlfn.XLOOKUP(VLOOKUP(tblEnlaces[[#This Row],[Canal]],tblCanales[#All],3,FALSE),tblPesosCoste[Valor],tblPesosCoste[Peso],0),0)</f>
        <v>5</v>
      </c>
      <c r="L4" s="10">
        <f>IFERROR(_xlfn.XLOOKUP(VLOOKUP(tblEnlaces[[#This Row],[Canal]],tblCanales[#All],5,FALSE),tblPesosValorOperativo[Valor],tblPesosValorOperativo[Opacidad],0),0)</f>
        <v>3</v>
      </c>
      <c r="M4" s="14">
        <f>IFERROR(_xlfn.XLOOKUP(VLOOKUP(tblEnlaces[[#This Row],[Canal]],tblCanales[#All],6,FALSE),tblPesosValorOperativo[Valor],tblPesosValorOperativo[Trazabilidad],0),0)</f>
        <v>1</v>
      </c>
      <c r="N4" s="14">
        <f>IFERROR(_xlfn.XLOOKUP(VLOOKUP(tblEnlaces[[#This Row],[Canal]],tblCanales[#All],7,FALSE),tblPesosValorOperativo[Valor],tblPesosValorOperativo[Velocidad],0),0)</f>
        <v>5</v>
      </c>
      <c r="O4" s="14">
        <f>IFERROR(_xlfn.XLOOKUP(VLOOKUP(tblEnlaces[[#This Row],[Canal]],tblCanales[#All],8,FALSE),tblPesosValorOperativo[Valor],tblPesosValorOperativo[Escalabilidad],0),0)</f>
        <v>0</v>
      </c>
      <c r="P4" s="53">
        <f>tblEnlaces[[#This Row],[Opacidad]]+tblEnlaces[[#This Row],[Escalabilidad]]+tblEnlaces[[#This Row],[Velocidad]]+tblEnlaces[[#This Row],[Trazabilidad]]</f>
        <v>9</v>
      </c>
    </row>
    <row r="5" spans="2:16" ht="19.5" customHeight="1" x14ac:dyDescent="0.25">
      <c r="B5" s="66" t="str">
        <f t="array" ref="B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E002</v>
      </c>
      <c r="C5" s="39" t="s">
        <v>25</v>
      </c>
      <c r="D5" s="10" t="str">
        <f>VLOOKUP(tblEnlaces[[#This Row],[Nodo Inicial]],tblNodos[],2,FALSE)</f>
        <v>Recursos personales lícitos</v>
      </c>
      <c r="E5" s="39" t="s">
        <v>61</v>
      </c>
      <c r="F5" s="10" t="str">
        <f>VLOOKUP(tblEnlaces[[#This Row],[Nodo Final]],tblNodos[],2,FALSE)</f>
        <v>Intermediarios bancarios formales</v>
      </c>
      <c r="G5" s="39" t="s">
        <v>128</v>
      </c>
      <c r="H5" s="39">
        <v>1</v>
      </c>
      <c r="I5" s="53">
        <f>IFERROR(_xlfn.XLOOKUP(VLOOKUP(tblEnlaces[[#This Row],[Canal]],tblCanales[#All],2,FALSE),tblPesosValorOperativo[Valor],tblPesosValorOperativo[Frecuencia de Uso],0),0)</f>
        <v>2</v>
      </c>
      <c r="J5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5" s="62">
        <f>IFERROR(_xlfn.XLOOKUP(VLOOKUP(tblEnlaces[[#This Row],[Canal]],tblCanales[#All],3,FALSE),tblPesosCoste[Valor],tblPesosCoste[Peso],0),0)</f>
        <v>5</v>
      </c>
      <c r="L5" s="10">
        <f>IFERROR(_xlfn.XLOOKUP(VLOOKUP(tblEnlaces[[#This Row],[Canal]],tblCanales[#All],5,FALSE),tblPesosValorOperativo[Valor],tblPesosValorOperativo[Opacidad],0),0)</f>
        <v>5</v>
      </c>
      <c r="M5" s="14">
        <f>IFERROR(_xlfn.XLOOKUP(VLOOKUP(tblEnlaces[[#This Row],[Canal]],tblCanales[#All],6,FALSE),tblPesosValorOperativo[Valor],tblPesosValorOperativo[Trazabilidad],0),0)</f>
        <v>3</v>
      </c>
      <c r="N5" s="14">
        <f>IFERROR(_xlfn.XLOOKUP(VLOOKUP(tblEnlaces[[#This Row],[Canal]],tblCanales[#All],7,FALSE),tblPesosValorOperativo[Valor],tblPesosValorOperativo[Velocidad],0),0)</f>
        <v>4</v>
      </c>
      <c r="O5" s="14">
        <f>IFERROR(_xlfn.XLOOKUP(VLOOKUP(tblEnlaces[[#This Row],[Canal]],tblCanales[#All],8,FALSE),tblPesosValorOperativo[Valor],tblPesosValorOperativo[Escalabilidad],0),0)</f>
        <v>0</v>
      </c>
      <c r="P5" s="53">
        <f>tblEnlaces[[#This Row],[Opacidad]]+tblEnlaces[[#This Row],[Escalabilidad]]+tblEnlaces[[#This Row],[Velocidad]]+tblEnlaces[[#This Row],[Trazabilidad]]</f>
        <v>12</v>
      </c>
    </row>
    <row r="6" spans="2:16" ht="19.5" customHeight="1" x14ac:dyDescent="0.25">
      <c r="B6" s="66" t="str">
        <f t="array" ref="B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E002</v>
      </c>
      <c r="C6" s="39" t="s">
        <v>25</v>
      </c>
      <c r="D6" s="10" t="str">
        <f>VLOOKUP(tblEnlaces[[#This Row],[Nodo Inicial]],tblNodos[],2,FALSE)</f>
        <v>Recursos personales lícitos</v>
      </c>
      <c r="E6" s="39" t="s">
        <v>61</v>
      </c>
      <c r="F6" s="10" t="str">
        <f>VLOOKUP(tblEnlaces[[#This Row],[Nodo Final]],tblNodos[],2,FALSE)</f>
        <v>Intermediarios bancarios formales</v>
      </c>
      <c r="G6" s="39" t="s">
        <v>136</v>
      </c>
      <c r="H6" s="39">
        <v>1</v>
      </c>
      <c r="I6" s="53">
        <f>IFERROR(_xlfn.XLOOKUP(VLOOKUP(tblEnlaces[[#This Row],[Canal]],tblCanales[#All],2,FALSE),tblPesosValorOperativo[Valor],tblPesosValorOperativo[Frecuencia de Uso],0),0)</f>
        <v>2</v>
      </c>
      <c r="J6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6" s="62">
        <f>IFERROR(_xlfn.XLOOKUP(VLOOKUP(tblEnlaces[[#This Row],[Canal]],tblCanales[#All],3,FALSE),tblPesosCoste[Valor],tblPesosCoste[Peso],0),0)</f>
        <v>4</v>
      </c>
      <c r="L6" s="10">
        <f>IFERROR(_xlfn.XLOOKUP(VLOOKUP(tblEnlaces[[#This Row],[Canal]],tblCanales[#All],5,FALSE),tblPesosValorOperativo[Valor],tblPesosValorOperativo[Opacidad],0),0)</f>
        <v>5</v>
      </c>
      <c r="M6" s="14">
        <f>IFERROR(_xlfn.XLOOKUP(VLOOKUP(tblEnlaces[[#This Row],[Canal]],tblCanales[#All],6,FALSE),tblPesosValorOperativo[Valor],tblPesosValorOperativo[Trazabilidad],0),0)</f>
        <v>2</v>
      </c>
      <c r="N6" s="14">
        <f>IFERROR(_xlfn.XLOOKUP(VLOOKUP(tblEnlaces[[#This Row],[Canal]],tblCanales[#All],7,FALSE),tblPesosValorOperativo[Valor],tblPesosValorOperativo[Velocidad],0),0)</f>
        <v>4</v>
      </c>
      <c r="O6" s="14">
        <f>IFERROR(_xlfn.XLOOKUP(VLOOKUP(tblEnlaces[[#This Row],[Canal]],tblCanales[#All],8,FALSE),tblPesosValorOperativo[Valor],tblPesosValorOperativo[Escalabilidad],0),0)</f>
        <v>0</v>
      </c>
      <c r="P6" s="53">
        <f>tblEnlaces[[#This Row],[Opacidad]]+tblEnlaces[[#This Row],[Escalabilidad]]+tblEnlaces[[#This Row],[Velocidad]]+tblEnlaces[[#This Row],[Trazabilidad]]</f>
        <v>11</v>
      </c>
    </row>
    <row r="7" spans="2:16" ht="19.5" customHeight="1" x14ac:dyDescent="0.25">
      <c r="B7" s="66" t="str">
        <f t="array" ref="B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E002</v>
      </c>
      <c r="C7" s="39" t="s">
        <v>25</v>
      </c>
      <c r="D7" s="10" t="str">
        <f>VLOOKUP(tblEnlaces[[#This Row],[Nodo Inicial]],tblNodos[],2,FALSE)</f>
        <v>Recursos personales lícitos</v>
      </c>
      <c r="E7" s="39" t="s">
        <v>61</v>
      </c>
      <c r="F7" s="10" t="str">
        <f>VLOOKUP(tblEnlaces[[#This Row],[Nodo Final]],tblNodos[],2,FALSE)</f>
        <v>Intermediarios bancarios formales</v>
      </c>
      <c r="G7" s="39" t="s">
        <v>143</v>
      </c>
      <c r="H7" s="39">
        <v>1</v>
      </c>
      <c r="I7" s="53">
        <f>IFERROR(_xlfn.XLOOKUP(VLOOKUP(tblEnlaces[[#This Row],[Canal]],tblCanales[#All],2,FALSE),tblPesosValorOperativo[Valor],tblPesosValorOperativo[Frecuencia de Uso],0),0)</f>
        <v>2</v>
      </c>
      <c r="J7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7" s="62">
        <f>IFERROR(_xlfn.XLOOKUP(VLOOKUP(tblEnlaces[[#This Row],[Canal]],tblCanales[#All],3,FALSE),tblPesosCoste[Valor],tblPesosCoste[Peso],0),0)</f>
        <v>4</v>
      </c>
      <c r="L7" s="10">
        <f>IFERROR(_xlfn.XLOOKUP(VLOOKUP(tblEnlaces[[#This Row],[Canal]],tblCanales[#All],5,FALSE),tblPesosValorOperativo[Valor],tblPesosValorOperativo[Opacidad],0),0)</f>
        <v>4</v>
      </c>
      <c r="M7" s="14">
        <f>IFERROR(_xlfn.XLOOKUP(VLOOKUP(tblEnlaces[[#This Row],[Canal]],tblCanales[#All],6,FALSE),tblPesosValorOperativo[Valor],tblPesosValorOperativo[Trazabilidad],0),0)</f>
        <v>1</v>
      </c>
      <c r="N7" s="14">
        <f>IFERROR(_xlfn.XLOOKUP(VLOOKUP(tblEnlaces[[#This Row],[Canal]],tblCanales[#All],7,FALSE),tblPesosValorOperativo[Valor],tblPesosValorOperativo[Velocidad],0),0)</f>
        <v>3</v>
      </c>
      <c r="O7" s="14">
        <f>IFERROR(_xlfn.XLOOKUP(VLOOKUP(tblEnlaces[[#This Row],[Canal]],tblCanales[#All],8,FALSE),tblPesosValorOperativo[Valor],tblPesosValorOperativo[Escalabilidad],0),0)</f>
        <v>0</v>
      </c>
      <c r="P7" s="53">
        <f>tblEnlaces[[#This Row],[Opacidad]]+tblEnlaces[[#This Row],[Escalabilidad]]+tblEnlaces[[#This Row],[Velocidad]]+tblEnlaces[[#This Row],[Trazabilidad]]</f>
        <v>8</v>
      </c>
    </row>
    <row r="8" spans="2:16" ht="19.5" customHeight="1" x14ac:dyDescent="0.25">
      <c r="B8" s="66" t="str">
        <f t="array" ref="B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E002</v>
      </c>
      <c r="C8" s="39" t="s">
        <v>25</v>
      </c>
      <c r="D8" s="10" t="str">
        <f>VLOOKUP(tblEnlaces[[#This Row],[Nodo Inicial]],tblNodos[],2,FALSE)</f>
        <v>Recursos personales lícitos</v>
      </c>
      <c r="E8" s="39" t="s">
        <v>61</v>
      </c>
      <c r="F8" s="10" t="str">
        <f>VLOOKUP(tblEnlaces[[#This Row],[Nodo Final]],tblNodos[],2,FALSE)</f>
        <v>Intermediarios bancarios formales</v>
      </c>
      <c r="G8" s="39" t="s">
        <v>150</v>
      </c>
      <c r="H8" s="39">
        <v>1</v>
      </c>
      <c r="I8" s="53">
        <f>IFERROR(_xlfn.XLOOKUP(VLOOKUP(tblEnlaces[[#This Row],[Canal]],tblCanales[#All],2,FALSE),tblPesosValorOperativo[Valor],tblPesosValorOperativo[Frecuencia de Uso],0),0)</f>
        <v>2</v>
      </c>
      <c r="J8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8" s="62">
        <f>IFERROR(_xlfn.XLOOKUP(VLOOKUP(tblEnlaces[[#This Row],[Canal]],tblCanales[#All],3,FALSE),tblPesosCoste[Valor],tblPesosCoste[Peso],0),0)</f>
        <v>4</v>
      </c>
      <c r="L8" s="10">
        <f>IFERROR(_xlfn.XLOOKUP(VLOOKUP(tblEnlaces[[#This Row],[Canal]],tblCanales[#All],5,FALSE),tblPesosValorOperativo[Valor],tblPesosValorOperativo[Opacidad],0),0)</f>
        <v>5</v>
      </c>
      <c r="M8" s="14">
        <f>IFERROR(_xlfn.XLOOKUP(VLOOKUP(tblEnlaces[[#This Row],[Canal]],tblCanales[#All],6,FALSE),tblPesosValorOperativo[Valor],tblPesosValorOperativo[Trazabilidad],0),0)</f>
        <v>3</v>
      </c>
      <c r="N8" s="14">
        <f>IFERROR(_xlfn.XLOOKUP(VLOOKUP(tblEnlaces[[#This Row],[Canal]],tblCanales[#All],7,FALSE),tblPesosValorOperativo[Valor],tblPesosValorOperativo[Velocidad],0),0)</f>
        <v>3</v>
      </c>
      <c r="O8" s="14">
        <f>IFERROR(_xlfn.XLOOKUP(VLOOKUP(tblEnlaces[[#This Row],[Canal]],tblCanales[#All],8,FALSE),tblPesosValorOperativo[Valor],tblPesosValorOperativo[Escalabilidad],0),0)</f>
        <v>0</v>
      </c>
      <c r="P8" s="53">
        <f>tblEnlaces[[#This Row],[Opacidad]]+tblEnlaces[[#This Row],[Escalabilidad]]+tblEnlaces[[#This Row],[Velocidad]]+tblEnlaces[[#This Row],[Trazabilidad]]</f>
        <v>11</v>
      </c>
    </row>
    <row r="9" spans="2:16" ht="19.5" customHeight="1" x14ac:dyDescent="0.25">
      <c r="B9" s="66" t="str">
        <f t="array" ref="B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E003</v>
      </c>
      <c r="C9" s="10" t="s">
        <v>27</v>
      </c>
      <c r="D9" s="10" t="str">
        <f>VLOOKUP(tblEnlaces[[#This Row],[Nodo Inicial]],tblNodos[],2,FALSE)</f>
        <v>Donaciones y apoyo individual / comunitario</v>
      </c>
      <c r="E9" s="39" t="s">
        <v>75</v>
      </c>
      <c r="F9" s="10" t="str">
        <f>VLOOKUP(tblEnlaces[[#This Row],[Nodo Final]],tblNodos[],2,FALSE)</f>
        <v>Intermediarios de negociación y rescate</v>
      </c>
      <c r="G9" s="39" t="s">
        <v>156</v>
      </c>
      <c r="H9" s="39">
        <v>1</v>
      </c>
      <c r="I9" s="53">
        <f>IFERROR(_xlfn.XLOOKUP(VLOOKUP(tblEnlaces[[#This Row],[Canal]],tblCanales[#All],2,FALSE),tblPesosValorOperativo[Valor],tblPesosValorOperativo[Frecuencia de Uso],0),0)</f>
        <v>5</v>
      </c>
      <c r="J9" s="63">
        <f>IF(tblEnlaces[[#This Row],[Activo]]&lt;&gt;1,0,IFERROR(tblEnlaces[[#This Row],[Frecuencia de Uso]]/SUMIFS(tblEnlaces[Frecuencia de Uso],tblEnlaces[Enlace],tblEnlaces[[#This Row],[Enlace]],tblEnlaces[Activo],1),0))</f>
        <v>0.29411764705882354</v>
      </c>
      <c r="K9" s="62">
        <f>IFERROR(_xlfn.XLOOKUP(VLOOKUP(tblEnlaces[[#This Row],[Canal]],tblCanales[#All],3,FALSE),tblPesosCoste[Valor],tblPesosCoste[Peso],0),0)</f>
        <v>5</v>
      </c>
      <c r="L9" s="10">
        <f>IFERROR(_xlfn.XLOOKUP(VLOOKUP(tblEnlaces[[#This Row],[Canal]],tblCanales[#All],5,FALSE),tblPesosValorOperativo[Valor],tblPesosValorOperativo[Opacidad],0),0)</f>
        <v>1</v>
      </c>
      <c r="M9" s="14">
        <f>IFERROR(_xlfn.XLOOKUP(VLOOKUP(tblEnlaces[[#This Row],[Canal]],tblCanales[#All],6,FALSE),tblPesosValorOperativo[Valor],tblPesosValorOperativo[Trazabilidad],0),0)</f>
        <v>1</v>
      </c>
      <c r="N9" s="14">
        <f>IFERROR(_xlfn.XLOOKUP(VLOOKUP(tblEnlaces[[#This Row],[Canal]],tblCanales[#All],7,FALSE),tblPesosValorOperativo[Valor],tblPesosValorOperativo[Velocidad],0),0)</f>
        <v>5</v>
      </c>
      <c r="O9" s="14">
        <f>IFERROR(_xlfn.XLOOKUP(VLOOKUP(tblEnlaces[[#This Row],[Canal]],tblCanales[#All],8,FALSE),tblPesosValorOperativo[Valor],tblPesosValorOperativo[Escalabilidad],0),0)</f>
        <v>0</v>
      </c>
      <c r="P9" s="53">
        <f>tblEnlaces[[#This Row],[Opacidad]]+tblEnlaces[[#This Row],[Escalabilidad]]+tblEnlaces[[#This Row],[Velocidad]]+tblEnlaces[[#This Row],[Trazabilidad]]</f>
        <v>7</v>
      </c>
    </row>
    <row r="10" spans="2:16" ht="19.5" customHeight="1" x14ac:dyDescent="0.25">
      <c r="B10" s="66" t="str">
        <f t="array" ref="B1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E003</v>
      </c>
      <c r="C10" s="10" t="s">
        <v>27</v>
      </c>
      <c r="D10" s="10" t="str">
        <f>VLOOKUP(tblEnlaces[[#This Row],[Nodo Inicial]],tblNodos[],2,FALSE)</f>
        <v>Donaciones y apoyo individual / comunitario</v>
      </c>
      <c r="E10" s="39" t="s">
        <v>75</v>
      </c>
      <c r="F10" s="10" t="str">
        <f>VLOOKUP(tblEnlaces[[#This Row],[Nodo Final]],tblNodos[],2,FALSE)</f>
        <v>Intermediarios de negociación y rescate</v>
      </c>
      <c r="G10" s="39" t="s">
        <v>162</v>
      </c>
      <c r="H10" s="39">
        <v>1</v>
      </c>
      <c r="I10" s="53">
        <f>IFERROR(_xlfn.XLOOKUP(VLOOKUP(tblEnlaces[[#This Row],[Canal]],tblCanales[#All],2,FALSE),tblPesosValorOperativo[Valor],tblPesosValorOperativo[Frecuencia de Uso],0),0)</f>
        <v>5</v>
      </c>
      <c r="J10" s="63">
        <f>IF(tblEnlaces[[#This Row],[Activo]]&lt;&gt;1,0,IFERROR(tblEnlaces[[#This Row],[Frecuencia de Uso]]/SUMIFS(tblEnlaces[Frecuencia de Uso],tblEnlaces[Enlace],tblEnlaces[[#This Row],[Enlace]],tblEnlaces[Activo],1),0))</f>
        <v>0.29411764705882354</v>
      </c>
      <c r="K10" s="62">
        <f>IFERROR(_xlfn.XLOOKUP(VLOOKUP(tblEnlaces[[#This Row],[Canal]],tblCanales[#All],3,FALSE),tblPesosCoste[Valor],tblPesosCoste[Peso],0),0)</f>
        <v>5</v>
      </c>
      <c r="L10" s="10">
        <f>IFERROR(_xlfn.XLOOKUP(VLOOKUP(tblEnlaces[[#This Row],[Canal]],tblCanales[#All],5,FALSE),tblPesosValorOperativo[Valor],tblPesosValorOperativo[Opacidad],0),0)</f>
        <v>1</v>
      </c>
      <c r="M10" s="14">
        <f>IFERROR(_xlfn.XLOOKUP(VLOOKUP(tblEnlaces[[#This Row],[Canal]],tblCanales[#All],6,FALSE),tblPesosValorOperativo[Valor],tblPesosValorOperativo[Trazabilidad],0),0)</f>
        <v>1</v>
      </c>
      <c r="N10" s="14">
        <f>IFERROR(_xlfn.XLOOKUP(VLOOKUP(tblEnlaces[[#This Row],[Canal]],tblCanales[#All],7,FALSE),tblPesosValorOperativo[Valor],tblPesosValorOperativo[Velocidad],0),0)</f>
        <v>5</v>
      </c>
      <c r="O10" s="14">
        <f>IFERROR(_xlfn.XLOOKUP(VLOOKUP(tblEnlaces[[#This Row],[Canal]],tblCanales[#All],8,FALSE),tblPesosValorOperativo[Valor],tblPesosValorOperativo[Escalabilidad],0),0)</f>
        <v>0</v>
      </c>
      <c r="P10" s="53">
        <f>tblEnlaces[[#This Row],[Opacidad]]+tblEnlaces[[#This Row],[Escalabilidad]]+tblEnlaces[[#This Row],[Velocidad]]+tblEnlaces[[#This Row],[Trazabilidad]]</f>
        <v>7</v>
      </c>
    </row>
    <row r="11" spans="2:16" ht="19.5" customHeight="1" x14ac:dyDescent="0.25">
      <c r="B11" s="66" t="str">
        <f t="array" ref="B1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E003</v>
      </c>
      <c r="C11" s="10" t="s">
        <v>27</v>
      </c>
      <c r="D11" s="10" t="str">
        <f>VLOOKUP(tblEnlaces[[#This Row],[Nodo Inicial]],tblNodos[],2,FALSE)</f>
        <v>Donaciones y apoyo individual / comunitario</v>
      </c>
      <c r="E11" s="39" t="s">
        <v>75</v>
      </c>
      <c r="F11" s="10" t="str">
        <f>VLOOKUP(tblEnlaces[[#This Row],[Nodo Final]],tblNodos[],2,FALSE)</f>
        <v>Intermediarios de negociación y rescate</v>
      </c>
      <c r="G11" s="39" t="s">
        <v>168</v>
      </c>
      <c r="H11" s="39">
        <v>1</v>
      </c>
      <c r="I11" s="53">
        <f>IFERROR(_xlfn.XLOOKUP(VLOOKUP(tblEnlaces[[#This Row],[Canal]],tblCanales[#All],2,FALSE),tblPesosValorOperativo[Valor],tblPesosValorOperativo[Frecuencia de Uso],0),0)</f>
        <v>2</v>
      </c>
      <c r="J11" s="63">
        <f>IF(tblEnlaces[[#This Row],[Activo]]&lt;&gt;1,0,IFERROR(tblEnlaces[[#This Row],[Frecuencia de Uso]]/SUMIFS(tblEnlaces[Frecuencia de Uso],tblEnlaces[Enlace],tblEnlaces[[#This Row],[Enlace]],tblEnlaces[Activo],1),0))</f>
        <v>0.11764705882352941</v>
      </c>
      <c r="K11" s="62">
        <f>IFERROR(_xlfn.XLOOKUP(VLOOKUP(tblEnlaces[[#This Row],[Canal]],tblCanales[#All],3,FALSE),tblPesosCoste[Valor],tblPesosCoste[Peso],0),0)</f>
        <v>4</v>
      </c>
      <c r="L11" s="10">
        <f>IFERROR(_xlfn.XLOOKUP(VLOOKUP(tblEnlaces[[#This Row],[Canal]],tblCanales[#All],5,FALSE),tblPesosValorOperativo[Valor],tblPesosValorOperativo[Opacidad],0),0)</f>
        <v>4</v>
      </c>
      <c r="M11" s="14">
        <f>IFERROR(_xlfn.XLOOKUP(VLOOKUP(tblEnlaces[[#This Row],[Canal]],tblCanales[#All],6,FALSE),tblPesosValorOperativo[Valor],tblPesosValorOperativo[Trazabilidad],0),0)</f>
        <v>1</v>
      </c>
      <c r="N11" s="14">
        <f>IFERROR(_xlfn.XLOOKUP(VLOOKUP(tblEnlaces[[#This Row],[Canal]],tblCanales[#All],7,FALSE),tblPesosValorOperativo[Valor],tblPesosValorOperativo[Velocidad],0),0)</f>
        <v>5</v>
      </c>
      <c r="O11" s="14">
        <f>IFERROR(_xlfn.XLOOKUP(VLOOKUP(tblEnlaces[[#This Row],[Canal]],tblCanales[#All],8,FALSE),tblPesosValorOperativo[Valor],tblPesosValorOperativo[Escalabilidad],0),0)</f>
        <v>0</v>
      </c>
      <c r="P11" s="53">
        <f>tblEnlaces[[#This Row],[Opacidad]]+tblEnlaces[[#This Row],[Escalabilidad]]+tblEnlaces[[#This Row],[Velocidad]]+tblEnlaces[[#This Row],[Trazabilidad]]</f>
        <v>10</v>
      </c>
    </row>
    <row r="12" spans="2:16" ht="19.5" customHeight="1" x14ac:dyDescent="0.25">
      <c r="B12" s="66" t="str">
        <f t="array" ref="B1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E003</v>
      </c>
      <c r="C12" s="10" t="s">
        <v>27</v>
      </c>
      <c r="D12" s="10" t="str">
        <f>VLOOKUP(tblEnlaces[[#This Row],[Nodo Inicial]],tblNodos[],2,FALSE)</f>
        <v>Donaciones y apoyo individual / comunitario</v>
      </c>
      <c r="E12" s="39" t="s">
        <v>75</v>
      </c>
      <c r="F12" s="10" t="str">
        <f>VLOOKUP(tblEnlaces[[#This Row],[Nodo Final]],tblNodos[],2,FALSE)</f>
        <v>Intermediarios de negociación y rescate</v>
      </c>
      <c r="G12" s="39" t="s">
        <v>174</v>
      </c>
      <c r="H12" s="39">
        <v>1</v>
      </c>
      <c r="I12" s="53">
        <f>IFERROR(_xlfn.XLOOKUP(VLOOKUP(tblEnlaces[[#This Row],[Canal]],tblCanales[#All],2,FALSE),tblPesosValorOperativo[Valor],tblPesosValorOperativo[Frecuencia de Uso],0),0)</f>
        <v>3</v>
      </c>
      <c r="J12" s="63">
        <f>IF(tblEnlaces[[#This Row],[Activo]]&lt;&gt;1,0,IFERROR(tblEnlaces[[#This Row],[Frecuencia de Uso]]/SUMIFS(tblEnlaces[Frecuencia de Uso],tblEnlaces[Enlace],tblEnlaces[[#This Row],[Enlace]],tblEnlaces[Activo],1),0))</f>
        <v>0.17647058823529413</v>
      </c>
      <c r="K12" s="62">
        <f>IFERROR(_xlfn.XLOOKUP(VLOOKUP(tblEnlaces[[#This Row],[Canal]],tblCanales[#All],3,FALSE),tblPesosCoste[Valor],tblPesosCoste[Peso],0),0)</f>
        <v>5</v>
      </c>
      <c r="L12" s="10">
        <f>IFERROR(_xlfn.XLOOKUP(VLOOKUP(tblEnlaces[[#This Row],[Canal]],tblCanales[#All],5,FALSE),tblPesosValorOperativo[Valor],tblPesosValorOperativo[Opacidad],0),0)</f>
        <v>3</v>
      </c>
      <c r="M12" s="14">
        <f>IFERROR(_xlfn.XLOOKUP(VLOOKUP(tblEnlaces[[#This Row],[Canal]],tblCanales[#All],6,FALSE),tblPesosValorOperativo[Valor],tblPesosValorOperativo[Trazabilidad],0),0)</f>
        <v>1</v>
      </c>
      <c r="N12" s="14">
        <f>IFERROR(_xlfn.XLOOKUP(VLOOKUP(tblEnlaces[[#This Row],[Canal]],tblCanales[#All],7,FALSE),tblPesosValorOperativo[Valor],tblPesosValorOperativo[Velocidad],0),0)</f>
        <v>5</v>
      </c>
      <c r="O12" s="14">
        <f>IFERROR(_xlfn.XLOOKUP(VLOOKUP(tblEnlaces[[#This Row],[Canal]],tblCanales[#All],8,FALSE),tblPesosValorOperativo[Valor],tblPesosValorOperativo[Escalabilidad],0),0)</f>
        <v>0</v>
      </c>
      <c r="P12" s="53">
        <f>tblEnlaces[[#This Row],[Opacidad]]+tblEnlaces[[#This Row],[Escalabilidad]]+tblEnlaces[[#This Row],[Velocidad]]+tblEnlaces[[#This Row],[Trazabilidad]]</f>
        <v>9</v>
      </c>
    </row>
    <row r="13" spans="2:16" ht="19.5" customHeight="1" x14ac:dyDescent="0.25">
      <c r="B13" s="66" t="str">
        <f t="array" ref="B1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E003</v>
      </c>
      <c r="C13" s="10" t="s">
        <v>27</v>
      </c>
      <c r="D13" s="10" t="str">
        <f>VLOOKUP(tblEnlaces[[#This Row],[Nodo Inicial]],tblNodos[],2,FALSE)</f>
        <v>Donaciones y apoyo individual / comunitario</v>
      </c>
      <c r="E13" s="39" t="s">
        <v>75</v>
      </c>
      <c r="F13" s="10" t="str">
        <f>VLOOKUP(tblEnlaces[[#This Row],[Nodo Final]],tblNodos[],2,FALSE)</f>
        <v>Intermediarios de negociación y rescate</v>
      </c>
      <c r="G13" s="39" t="s">
        <v>312</v>
      </c>
      <c r="H13" s="39">
        <v>1</v>
      </c>
      <c r="I13" s="53">
        <f>IFERROR(_xlfn.XLOOKUP(VLOOKUP(tblEnlaces[[#This Row],[Canal]],tblCanales[#All],2,FALSE),tblPesosValorOperativo[Valor],tblPesosValorOperativo[Frecuencia de Uso],0),0)</f>
        <v>2</v>
      </c>
      <c r="J13" s="63">
        <f>IF(tblEnlaces[[#This Row],[Activo]]&lt;&gt;1,0,IFERROR(tblEnlaces[[#This Row],[Frecuencia de Uso]]/SUMIFS(tblEnlaces[Frecuencia de Uso],tblEnlaces[Enlace],tblEnlaces[[#This Row],[Enlace]],tblEnlaces[Activo],1),0))</f>
        <v>0.11764705882352941</v>
      </c>
      <c r="K13" s="62">
        <f>IFERROR(_xlfn.XLOOKUP(VLOOKUP(tblEnlaces[[#This Row],[Canal]],tblCanales[#All],3,FALSE),tblPesosCoste[Valor],tblPesosCoste[Peso],0),0)</f>
        <v>2</v>
      </c>
      <c r="L13" s="10">
        <f>IFERROR(_xlfn.XLOOKUP(VLOOKUP(tblEnlaces[[#This Row],[Canal]],tblCanales[#All],5,FALSE),tblPesosValorOperativo[Valor],tblPesosValorOperativo[Opacidad],0),0)</f>
        <v>2</v>
      </c>
      <c r="M13" s="14">
        <f>IFERROR(_xlfn.XLOOKUP(VLOOKUP(tblEnlaces[[#This Row],[Canal]],tblCanales[#All],6,FALSE),tblPesosValorOperativo[Valor],tblPesosValorOperativo[Trazabilidad],0),0)</f>
        <v>4</v>
      </c>
      <c r="N13" s="14">
        <f>IFERROR(_xlfn.XLOOKUP(VLOOKUP(tblEnlaces[[#This Row],[Canal]],tblCanales[#All],7,FALSE),tblPesosValorOperativo[Valor],tblPesosValorOperativo[Velocidad],0),0)</f>
        <v>2</v>
      </c>
      <c r="O13" s="14">
        <f>IFERROR(_xlfn.XLOOKUP(VLOOKUP(tblEnlaces[[#This Row],[Canal]],tblCanales[#All],8,FALSE),tblPesosValorOperativo[Valor],tblPesosValorOperativo[Escalabilidad],0),0)</f>
        <v>0</v>
      </c>
      <c r="P13" s="53">
        <f>tblEnlaces[[#This Row],[Opacidad]]+tblEnlaces[[#This Row],[Escalabilidad]]+tblEnlaces[[#This Row],[Velocidad]]+tblEnlaces[[#This Row],[Trazabilidad]]</f>
        <v>8</v>
      </c>
    </row>
    <row r="14" spans="2:16" ht="19.5" customHeight="1" x14ac:dyDescent="0.25">
      <c r="B14" s="66" t="str">
        <f t="array" ref="B1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E004</v>
      </c>
      <c r="C14" s="10" t="s">
        <v>27</v>
      </c>
      <c r="D14" s="10" t="str">
        <f>VLOOKUP(tblEnlaces[[#This Row],[Nodo Inicial]],tblNodos[],2,FALSE)</f>
        <v>Donaciones y apoyo individual / comunitario</v>
      </c>
      <c r="E14" s="39" t="s">
        <v>47</v>
      </c>
      <c r="F14" s="10" t="str">
        <f>VLOOKUP(tblEnlaces[[#This Row],[Nodo Final]],tblNodos[],2,FALSE)</f>
        <v>Colectores digitales instrumentales</v>
      </c>
      <c r="G14" s="39" t="s">
        <v>180</v>
      </c>
      <c r="H14" s="39">
        <v>1</v>
      </c>
      <c r="I14" s="53">
        <f>IFERROR(_xlfn.XLOOKUP(VLOOKUP(tblEnlaces[[#This Row],[Canal]],tblCanales[#All],2,FALSE),tblPesosValorOperativo[Valor],tblPesosValorOperativo[Frecuencia de Uso],0),0)</f>
        <v>4</v>
      </c>
      <c r="J14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4" s="62">
        <f>IFERROR(_xlfn.XLOOKUP(VLOOKUP(tblEnlaces[[#This Row],[Canal]],tblCanales[#All],3,FALSE),tblPesosCoste[Valor],tblPesosCoste[Peso],0),0)</f>
        <v>5</v>
      </c>
      <c r="L14" s="10">
        <f>IFERROR(_xlfn.XLOOKUP(VLOOKUP(tblEnlaces[[#This Row],[Canal]],tblCanales[#All],5,FALSE),tblPesosValorOperativo[Valor],tblPesosValorOperativo[Opacidad],0),0)</f>
        <v>3</v>
      </c>
      <c r="M14" s="14">
        <f>IFERROR(_xlfn.XLOOKUP(VLOOKUP(tblEnlaces[[#This Row],[Canal]],tblCanales[#All],6,FALSE),tblPesosValorOperativo[Valor],tblPesosValorOperativo[Trazabilidad],0),0)</f>
        <v>1</v>
      </c>
      <c r="N14" s="14">
        <f>IFERROR(_xlfn.XLOOKUP(VLOOKUP(tblEnlaces[[#This Row],[Canal]],tblCanales[#All],7,FALSE),tblPesosValorOperativo[Valor],tblPesosValorOperativo[Velocidad],0),0)</f>
        <v>5</v>
      </c>
      <c r="O14" s="14">
        <f>IFERROR(_xlfn.XLOOKUP(VLOOKUP(tblEnlaces[[#This Row],[Canal]],tblCanales[#All],8,FALSE),tblPesosValorOperativo[Valor],tblPesosValorOperativo[Escalabilidad],0),0)</f>
        <v>0</v>
      </c>
      <c r="P14" s="53">
        <f>tblEnlaces[[#This Row],[Opacidad]]+tblEnlaces[[#This Row],[Escalabilidad]]+tblEnlaces[[#This Row],[Velocidad]]+tblEnlaces[[#This Row],[Trazabilidad]]</f>
        <v>9</v>
      </c>
    </row>
    <row r="15" spans="2:16" ht="19.5" customHeight="1" x14ac:dyDescent="0.25">
      <c r="B15" s="66" t="str">
        <f t="array" ref="B1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E004</v>
      </c>
      <c r="C15" s="10" t="s">
        <v>27</v>
      </c>
      <c r="D15" s="10" t="str">
        <f>VLOOKUP(tblEnlaces[[#This Row],[Nodo Inicial]],tblNodos[],2,FALSE)</f>
        <v>Donaciones y apoyo individual / comunitario</v>
      </c>
      <c r="E15" s="39" t="s">
        <v>47</v>
      </c>
      <c r="F15" s="10" t="str">
        <f>VLOOKUP(tblEnlaces[[#This Row],[Nodo Final]],tblNodos[],2,FALSE)</f>
        <v>Colectores digitales instrumentales</v>
      </c>
      <c r="G15" s="39" t="s">
        <v>186</v>
      </c>
      <c r="H15" s="39">
        <v>1</v>
      </c>
      <c r="I15" s="53">
        <f>IFERROR(_xlfn.XLOOKUP(VLOOKUP(tblEnlaces[[#This Row],[Canal]],tblCanales[#All],2,FALSE),tblPesosValorOperativo[Valor],tblPesosValorOperativo[Frecuencia de Uso],0),0)</f>
        <v>4</v>
      </c>
      <c r="J15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5" s="62">
        <f>IFERROR(_xlfn.XLOOKUP(VLOOKUP(tblEnlaces[[#This Row],[Canal]],tblCanales[#All],3,FALSE),tblPesosCoste[Valor],tblPesosCoste[Peso],0),0)</f>
        <v>5</v>
      </c>
      <c r="L15" s="10">
        <f>IFERROR(_xlfn.XLOOKUP(VLOOKUP(tblEnlaces[[#This Row],[Canal]],tblCanales[#All],5,FALSE),tblPesosValorOperativo[Valor],tblPesosValorOperativo[Opacidad],0),0)</f>
        <v>2</v>
      </c>
      <c r="M15" s="14">
        <f>IFERROR(_xlfn.XLOOKUP(VLOOKUP(tblEnlaces[[#This Row],[Canal]],tblCanales[#All],6,FALSE),tblPesosValorOperativo[Valor],tblPesosValorOperativo[Trazabilidad],0),0)</f>
        <v>1</v>
      </c>
      <c r="N15" s="14">
        <f>IFERROR(_xlfn.XLOOKUP(VLOOKUP(tblEnlaces[[#This Row],[Canal]],tblCanales[#All],7,FALSE),tblPesosValorOperativo[Valor],tblPesosValorOperativo[Velocidad],0),0)</f>
        <v>5</v>
      </c>
      <c r="O15" s="14">
        <f>IFERROR(_xlfn.XLOOKUP(VLOOKUP(tblEnlaces[[#This Row],[Canal]],tblCanales[#All],8,FALSE),tblPesosValorOperativo[Valor],tblPesosValorOperativo[Escalabilidad],0),0)</f>
        <v>0</v>
      </c>
      <c r="P15" s="53">
        <f>tblEnlaces[[#This Row],[Opacidad]]+tblEnlaces[[#This Row],[Escalabilidad]]+tblEnlaces[[#This Row],[Velocidad]]+tblEnlaces[[#This Row],[Trazabilidad]]</f>
        <v>8</v>
      </c>
    </row>
    <row r="16" spans="2:16" ht="19.5" customHeight="1" x14ac:dyDescent="0.25">
      <c r="B16" s="66" t="str">
        <f t="array" ref="B1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E005</v>
      </c>
      <c r="C16" s="10" t="s">
        <v>27</v>
      </c>
      <c r="D16" s="10" t="str">
        <f>VLOOKUP(tblEnlaces[[#This Row],[Nodo Inicial]],tblNodos[],2,FALSE)</f>
        <v>Donaciones y apoyo individual / comunitario</v>
      </c>
      <c r="E16" s="39" t="s">
        <v>41</v>
      </c>
      <c r="F16" s="10" t="str">
        <f>VLOOKUP(tblEnlaces[[#This Row],[Nodo Final]],tblNodos[],2,FALSE)</f>
        <v>Recaudación directa</v>
      </c>
      <c r="G16" s="39" t="s">
        <v>192</v>
      </c>
      <c r="H16" s="39">
        <v>1</v>
      </c>
      <c r="I16" s="53">
        <f>IFERROR(_xlfn.XLOOKUP(VLOOKUP(tblEnlaces[[#This Row],[Canal]],tblCanales[#All],2,FALSE),tblPesosValorOperativo[Valor],tblPesosValorOperativo[Frecuencia de Uso],0),0)</f>
        <v>3</v>
      </c>
      <c r="J16" s="63">
        <f>IF(tblEnlaces[[#This Row],[Activo]]&lt;&gt;1,0,IFERROR(tblEnlaces[[#This Row],[Frecuencia de Uso]]/SUMIFS(tblEnlaces[Frecuencia de Uso],tblEnlaces[Enlace],tblEnlaces[[#This Row],[Enlace]],tblEnlaces[Activo],1),0))</f>
        <v>0.27272727272727271</v>
      </c>
      <c r="K16" s="62">
        <f>IFERROR(_xlfn.XLOOKUP(VLOOKUP(tblEnlaces[[#This Row],[Canal]],tblCanales[#All],3,FALSE),tblPesosCoste[Valor],tblPesosCoste[Peso],0),0)</f>
        <v>5</v>
      </c>
      <c r="L16" s="10">
        <f>IFERROR(_xlfn.XLOOKUP(VLOOKUP(tblEnlaces[[#This Row],[Canal]],tblCanales[#All],5,FALSE),tblPesosValorOperativo[Valor],tblPesosValorOperativo[Opacidad],0),0)</f>
        <v>3</v>
      </c>
      <c r="M16" s="14">
        <f>IFERROR(_xlfn.XLOOKUP(VLOOKUP(tblEnlaces[[#This Row],[Canal]],tblCanales[#All],6,FALSE),tblPesosValorOperativo[Valor],tblPesosValorOperativo[Trazabilidad],0),0)</f>
        <v>1</v>
      </c>
      <c r="N16" s="14">
        <f>IFERROR(_xlfn.XLOOKUP(VLOOKUP(tblEnlaces[[#This Row],[Canal]],tblCanales[#All],7,FALSE),tblPesosValorOperativo[Valor],tblPesosValorOperativo[Velocidad],0),0)</f>
        <v>5</v>
      </c>
      <c r="O16" s="14">
        <f>IFERROR(_xlfn.XLOOKUP(VLOOKUP(tblEnlaces[[#This Row],[Canal]],tblCanales[#All],8,FALSE),tblPesosValorOperativo[Valor],tblPesosValorOperativo[Escalabilidad],0),0)</f>
        <v>0</v>
      </c>
      <c r="P16" s="53">
        <f>tblEnlaces[[#This Row],[Opacidad]]+tblEnlaces[[#This Row],[Escalabilidad]]+tblEnlaces[[#This Row],[Velocidad]]+tblEnlaces[[#This Row],[Trazabilidad]]</f>
        <v>9</v>
      </c>
    </row>
    <row r="17" spans="2:16" ht="19.5" customHeight="1" x14ac:dyDescent="0.25">
      <c r="B17" s="66" t="str">
        <f t="array" ref="B1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E005</v>
      </c>
      <c r="C17" s="10" t="s">
        <v>27</v>
      </c>
      <c r="D17" s="10" t="str">
        <f>VLOOKUP(tblEnlaces[[#This Row],[Nodo Inicial]],tblNodos[],2,FALSE)</f>
        <v>Donaciones y apoyo individual / comunitario</v>
      </c>
      <c r="E17" s="39" t="s">
        <v>41</v>
      </c>
      <c r="F17" s="10" t="str">
        <f>VLOOKUP(tblEnlaces[[#This Row],[Nodo Final]],tblNodos[],2,FALSE)</f>
        <v>Recaudación directa</v>
      </c>
      <c r="G17" s="39" t="s">
        <v>198</v>
      </c>
      <c r="H17" s="39">
        <v>1</v>
      </c>
      <c r="I17" s="53">
        <f>IFERROR(_xlfn.XLOOKUP(VLOOKUP(tblEnlaces[[#This Row],[Canal]],tblCanales[#All],2,FALSE),tblPesosValorOperativo[Valor],tblPesosValorOperativo[Frecuencia de Uso],0),0)</f>
        <v>2</v>
      </c>
      <c r="J17" s="63">
        <f>IF(tblEnlaces[[#This Row],[Activo]]&lt;&gt;1,0,IFERROR(tblEnlaces[[#This Row],[Frecuencia de Uso]]/SUMIFS(tblEnlaces[Frecuencia de Uso],tblEnlaces[Enlace],tblEnlaces[[#This Row],[Enlace]],tblEnlaces[Activo],1),0))</f>
        <v>0.18181818181818182</v>
      </c>
      <c r="K17" s="62">
        <f>IFERROR(_xlfn.XLOOKUP(VLOOKUP(tblEnlaces[[#This Row],[Canal]],tblCanales[#All],3,FALSE),tblPesosCoste[Valor],tblPesosCoste[Peso],0),0)</f>
        <v>5</v>
      </c>
      <c r="L17" s="10">
        <f>IFERROR(_xlfn.XLOOKUP(VLOOKUP(tblEnlaces[[#This Row],[Canal]],tblCanales[#All],5,FALSE),tblPesosValorOperativo[Valor],tblPesosValorOperativo[Opacidad],0),0)</f>
        <v>3</v>
      </c>
      <c r="M17" s="14">
        <f>IFERROR(_xlfn.XLOOKUP(VLOOKUP(tblEnlaces[[#This Row],[Canal]],tblCanales[#All],6,FALSE),tblPesosValorOperativo[Valor],tblPesosValorOperativo[Trazabilidad],0),0)</f>
        <v>3</v>
      </c>
      <c r="N17" s="14">
        <f>IFERROR(_xlfn.XLOOKUP(VLOOKUP(tblEnlaces[[#This Row],[Canal]],tblCanales[#All],7,FALSE),tblPesosValorOperativo[Valor],tblPesosValorOperativo[Velocidad],0),0)</f>
        <v>4</v>
      </c>
      <c r="O17" s="14">
        <f>IFERROR(_xlfn.XLOOKUP(VLOOKUP(tblEnlaces[[#This Row],[Canal]],tblCanales[#All],8,FALSE),tblPesosValorOperativo[Valor],tblPesosValorOperativo[Escalabilidad],0),0)</f>
        <v>0</v>
      </c>
      <c r="P17" s="53">
        <f>tblEnlaces[[#This Row],[Opacidad]]+tblEnlaces[[#This Row],[Escalabilidad]]+tblEnlaces[[#This Row],[Velocidad]]+tblEnlaces[[#This Row],[Trazabilidad]]</f>
        <v>10</v>
      </c>
    </row>
    <row r="18" spans="2:16" ht="19.5" customHeight="1" x14ac:dyDescent="0.25">
      <c r="B18" s="66" t="str">
        <f t="array" ref="B1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E005</v>
      </c>
      <c r="C18" s="10" t="s">
        <v>27</v>
      </c>
      <c r="D18" s="10" t="str">
        <f>VLOOKUP(tblEnlaces[[#This Row],[Nodo Inicial]],tblNodos[],2,FALSE)</f>
        <v>Donaciones y apoyo individual / comunitario</v>
      </c>
      <c r="E18" s="39" t="s">
        <v>41</v>
      </c>
      <c r="F18" s="10" t="str">
        <f>VLOOKUP(tblEnlaces[[#This Row],[Nodo Final]],tblNodos[],2,FALSE)</f>
        <v>Recaudación directa</v>
      </c>
      <c r="G18" s="39" t="s">
        <v>204</v>
      </c>
      <c r="H18" s="39">
        <v>1</v>
      </c>
      <c r="I18" s="53">
        <f>IFERROR(_xlfn.XLOOKUP(VLOOKUP(tblEnlaces[[#This Row],[Canal]],tblCanales[#All],2,FALSE),tblPesosValorOperativo[Valor],tblPesosValorOperativo[Frecuencia de Uso],0),0)</f>
        <v>2</v>
      </c>
      <c r="J18" s="63">
        <f>IF(tblEnlaces[[#This Row],[Activo]]&lt;&gt;1,0,IFERROR(tblEnlaces[[#This Row],[Frecuencia de Uso]]/SUMIFS(tblEnlaces[Frecuencia de Uso],tblEnlaces[Enlace],tblEnlaces[[#This Row],[Enlace]],tblEnlaces[Activo],1),0))</f>
        <v>0.18181818181818182</v>
      </c>
      <c r="K18" s="62">
        <f>IFERROR(_xlfn.XLOOKUP(VLOOKUP(tblEnlaces[[#This Row],[Canal]],tblCanales[#All],3,FALSE),tblPesosCoste[Valor],tblPesosCoste[Peso],0),0)</f>
        <v>4</v>
      </c>
      <c r="L18" s="10">
        <f>IFERROR(_xlfn.XLOOKUP(VLOOKUP(tblEnlaces[[#This Row],[Canal]],tblCanales[#All],5,FALSE),tblPesosValorOperativo[Valor],tblPesosValorOperativo[Opacidad],0),0)</f>
        <v>3</v>
      </c>
      <c r="M18" s="14">
        <f>IFERROR(_xlfn.XLOOKUP(VLOOKUP(tblEnlaces[[#This Row],[Canal]],tblCanales[#All],6,FALSE),tblPesosValorOperativo[Valor],tblPesosValorOperativo[Trazabilidad],0),0)</f>
        <v>1</v>
      </c>
      <c r="N18" s="14">
        <f>IFERROR(_xlfn.XLOOKUP(VLOOKUP(tblEnlaces[[#This Row],[Canal]],tblCanales[#All],7,FALSE),tblPesosValorOperativo[Valor],tblPesosValorOperativo[Velocidad],0),0)</f>
        <v>3</v>
      </c>
      <c r="O18" s="14">
        <f>IFERROR(_xlfn.XLOOKUP(VLOOKUP(tblEnlaces[[#This Row],[Canal]],tblCanales[#All],8,FALSE),tblPesosValorOperativo[Valor],tblPesosValorOperativo[Escalabilidad],0),0)</f>
        <v>0</v>
      </c>
      <c r="P18" s="53">
        <f>tblEnlaces[[#This Row],[Opacidad]]+tblEnlaces[[#This Row],[Escalabilidad]]+tblEnlaces[[#This Row],[Velocidad]]+tblEnlaces[[#This Row],[Trazabilidad]]</f>
        <v>7</v>
      </c>
    </row>
    <row r="19" spans="2:16" ht="19.5" customHeight="1" x14ac:dyDescent="0.25">
      <c r="B19" s="66" t="str">
        <f t="array" ref="B1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E005</v>
      </c>
      <c r="C19" s="10" t="s">
        <v>27</v>
      </c>
      <c r="D19" s="10" t="str">
        <f>VLOOKUP(tblEnlaces[[#This Row],[Nodo Inicial]],tblNodos[],2,FALSE)</f>
        <v>Donaciones y apoyo individual / comunitario</v>
      </c>
      <c r="E19" s="39" t="s">
        <v>41</v>
      </c>
      <c r="F19" s="10" t="str">
        <f>VLOOKUP(tblEnlaces[[#This Row],[Nodo Final]],tblNodos[],2,FALSE)</f>
        <v>Recaudación directa</v>
      </c>
      <c r="G19" s="39" t="s">
        <v>180</v>
      </c>
      <c r="H19" s="39">
        <v>1</v>
      </c>
      <c r="I19" s="53">
        <f>IFERROR(_xlfn.XLOOKUP(VLOOKUP(tblEnlaces[[#This Row],[Canal]],tblCanales[#All],2,FALSE),tblPesosValorOperativo[Valor],tblPesosValorOperativo[Frecuencia de Uso],0),0)</f>
        <v>4</v>
      </c>
      <c r="J19" s="63">
        <f>IF(tblEnlaces[[#This Row],[Activo]]&lt;&gt;1,0,IFERROR(tblEnlaces[[#This Row],[Frecuencia de Uso]]/SUMIFS(tblEnlaces[Frecuencia de Uso],tblEnlaces[Enlace],tblEnlaces[[#This Row],[Enlace]],tblEnlaces[Activo],1),0))</f>
        <v>0.36363636363636365</v>
      </c>
      <c r="K19" s="62">
        <f>IFERROR(_xlfn.XLOOKUP(VLOOKUP(tblEnlaces[[#This Row],[Canal]],tblCanales[#All],3,FALSE),tblPesosCoste[Valor],tblPesosCoste[Peso],0),0)</f>
        <v>5</v>
      </c>
      <c r="L19" s="10">
        <f>IFERROR(_xlfn.XLOOKUP(VLOOKUP(tblEnlaces[[#This Row],[Canal]],tblCanales[#All],5,FALSE),tblPesosValorOperativo[Valor],tblPesosValorOperativo[Opacidad],0),0)</f>
        <v>3</v>
      </c>
      <c r="M19" s="14">
        <f>IFERROR(_xlfn.XLOOKUP(VLOOKUP(tblEnlaces[[#This Row],[Canal]],tblCanales[#All],6,FALSE),tblPesosValorOperativo[Valor],tblPesosValorOperativo[Trazabilidad],0),0)</f>
        <v>1</v>
      </c>
      <c r="N19" s="14">
        <f>IFERROR(_xlfn.XLOOKUP(VLOOKUP(tblEnlaces[[#This Row],[Canal]],tblCanales[#All],7,FALSE),tblPesosValorOperativo[Valor],tblPesosValorOperativo[Velocidad],0),0)</f>
        <v>5</v>
      </c>
      <c r="O19" s="14">
        <f>IFERROR(_xlfn.XLOOKUP(VLOOKUP(tblEnlaces[[#This Row],[Canal]],tblCanales[#All],8,FALSE),tblPesosValorOperativo[Valor],tblPesosValorOperativo[Escalabilidad],0),0)</f>
        <v>0</v>
      </c>
      <c r="P19" s="53">
        <f>tblEnlaces[[#This Row],[Opacidad]]+tblEnlaces[[#This Row],[Escalabilidad]]+tblEnlaces[[#This Row],[Velocidad]]+tblEnlaces[[#This Row],[Trazabilidad]]</f>
        <v>9</v>
      </c>
    </row>
    <row r="20" spans="2:16" ht="19.5" customHeight="1" x14ac:dyDescent="0.25">
      <c r="B20" s="66" t="str">
        <f t="array" ref="B2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E006</v>
      </c>
      <c r="C20" s="10" t="s">
        <v>27</v>
      </c>
      <c r="D20" s="10" t="str">
        <f>VLOOKUP(tblEnlaces[[#This Row],[Nodo Inicial]],tblNodos[],2,FALSE)</f>
        <v>Donaciones y apoyo individual / comunitario</v>
      </c>
      <c r="E20" s="39" t="s">
        <v>45</v>
      </c>
      <c r="F20" s="10" t="str">
        <f>VLOOKUP(tblEnlaces[[#This Row],[Nodo Final]],tblNodos[],2,FALSE)</f>
        <v>Estructuras organizadas de captación</v>
      </c>
      <c r="G20" s="39" t="s">
        <v>210</v>
      </c>
      <c r="H20" s="39">
        <v>1</v>
      </c>
      <c r="I20" s="53">
        <f>IFERROR(_xlfn.XLOOKUP(VLOOKUP(tblEnlaces[[#This Row],[Canal]],tblCanales[#All],2,FALSE),tblPesosValorOperativo[Valor],tblPesosValorOperativo[Frecuencia de Uso],0),0)</f>
        <v>4</v>
      </c>
      <c r="J20" s="63">
        <f>IF(tblEnlaces[[#This Row],[Activo]]&lt;&gt;1,0,IFERROR(tblEnlaces[[#This Row],[Frecuencia de Uso]]/SUMIFS(tblEnlaces[Frecuencia de Uso],tblEnlaces[Enlace],tblEnlaces[[#This Row],[Enlace]],tblEnlaces[Activo],1),0))</f>
        <v>0.12903225806451613</v>
      </c>
      <c r="K20" s="62">
        <f>IFERROR(_xlfn.XLOOKUP(VLOOKUP(tblEnlaces[[#This Row],[Canal]],tblCanales[#All],3,FALSE),tblPesosCoste[Valor],tblPesosCoste[Peso],0),0)</f>
        <v>5</v>
      </c>
      <c r="L20" s="10">
        <f>IFERROR(_xlfn.XLOOKUP(VLOOKUP(tblEnlaces[[#This Row],[Canal]],tblCanales[#All],5,FALSE),tblPesosValorOperativo[Valor],tblPesosValorOperativo[Opacidad],0),0)</f>
        <v>3</v>
      </c>
      <c r="M20" s="14">
        <f>IFERROR(_xlfn.XLOOKUP(VLOOKUP(tblEnlaces[[#This Row],[Canal]],tblCanales[#All],6,FALSE),tblPesosValorOperativo[Valor],tblPesosValorOperativo[Trazabilidad],0),0)</f>
        <v>1</v>
      </c>
      <c r="N20" s="14">
        <f>IFERROR(_xlfn.XLOOKUP(VLOOKUP(tblEnlaces[[#This Row],[Canal]],tblCanales[#All],7,FALSE),tblPesosValorOperativo[Valor],tblPesosValorOperativo[Velocidad],0),0)</f>
        <v>5</v>
      </c>
      <c r="O20" s="14">
        <f>IFERROR(_xlfn.XLOOKUP(VLOOKUP(tblEnlaces[[#This Row],[Canal]],tblCanales[#All],8,FALSE),tblPesosValorOperativo[Valor],tblPesosValorOperativo[Escalabilidad],0),0)</f>
        <v>0</v>
      </c>
      <c r="P20" s="53">
        <f>tblEnlaces[[#This Row],[Opacidad]]+tblEnlaces[[#This Row],[Escalabilidad]]+tblEnlaces[[#This Row],[Velocidad]]+tblEnlaces[[#This Row],[Trazabilidad]]</f>
        <v>9</v>
      </c>
    </row>
    <row r="21" spans="2:16" ht="19.5" customHeight="1" x14ac:dyDescent="0.25">
      <c r="B21" s="66" t="str">
        <f t="array" ref="B2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E006</v>
      </c>
      <c r="C21" s="10" t="s">
        <v>27</v>
      </c>
      <c r="D21" s="10" t="str">
        <f>VLOOKUP(tblEnlaces[[#This Row],[Nodo Inicial]],tblNodos[],2,FALSE)</f>
        <v>Donaciones y apoyo individual / comunitario</v>
      </c>
      <c r="E21" s="39" t="s">
        <v>45</v>
      </c>
      <c r="F21" s="10" t="str">
        <f>VLOOKUP(tblEnlaces[[#This Row],[Nodo Final]],tblNodos[],2,FALSE)</f>
        <v>Estructuras organizadas de captación</v>
      </c>
      <c r="G21" s="39" t="s">
        <v>216</v>
      </c>
      <c r="H21" s="39">
        <v>1</v>
      </c>
      <c r="I21" s="53">
        <f>IFERROR(_xlfn.XLOOKUP(VLOOKUP(tblEnlaces[[#This Row],[Canal]],tblCanales[#All],2,FALSE),tblPesosValorOperativo[Valor],tblPesosValorOperativo[Frecuencia de Uso],0),0)</f>
        <v>4</v>
      </c>
      <c r="J21" s="63">
        <f>IF(tblEnlaces[[#This Row],[Activo]]&lt;&gt;1,0,IFERROR(tblEnlaces[[#This Row],[Frecuencia de Uso]]/SUMIFS(tblEnlaces[Frecuencia de Uso],tblEnlaces[Enlace],tblEnlaces[[#This Row],[Enlace]],tblEnlaces[Activo],1),0))</f>
        <v>0.12903225806451613</v>
      </c>
      <c r="K21" s="62">
        <f>IFERROR(_xlfn.XLOOKUP(VLOOKUP(tblEnlaces[[#This Row],[Canal]],tblCanales[#All],3,FALSE),tblPesosCoste[Valor],tblPesosCoste[Peso],0),0)</f>
        <v>5</v>
      </c>
      <c r="L21" s="10">
        <f>IFERROR(_xlfn.XLOOKUP(VLOOKUP(tblEnlaces[[#This Row],[Canal]],tblCanales[#All],5,FALSE),tblPesosValorOperativo[Valor],tblPesosValorOperativo[Opacidad],0),0)</f>
        <v>3</v>
      </c>
      <c r="M21" s="14">
        <f>IFERROR(_xlfn.XLOOKUP(VLOOKUP(tblEnlaces[[#This Row],[Canal]],tblCanales[#All],6,FALSE),tblPesosValorOperativo[Valor],tblPesosValorOperativo[Trazabilidad],0),0)</f>
        <v>1</v>
      </c>
      <c r="N21" s="14">
        <f>IFERROR(_xlfn.XLOOKUP(VLOOKUP(tblEnlaces[[#This Row],[Canal]],tblCanales[#All],7,FALSE),tblPesosValorOperativo[Valor],tblPesosValorOperativo[Velocidad],0),0)</f>
        <v>5</v>
      </c>
      <c r="O21" s="14">
        <f>IFERROR(_xlfn.XLOOKUP(VLOOKUP(tblEnlaces[[#This Row],[Canal]],tblCanales[#All],8,FALSE),tblPesosValorOperativo[Valor],tblPesosValorOperativo[Escalabilidad],0),0)</f>
        <v>0</v>
      </c>
      <c r="P21" s="53">
        <f>tblEnlaces[[#This Row],[Opacidad]]+tblEnlaces[[#This Row],[Escalabilidad]]+tblEnlaces[[#This Row],[Velocidad]]+tblEnlaces[[#This Row],[Trazabilidad]]</f>
        <v>9</v>
      </c>
    </row>
    <row r="22" spans="2:16" ht="19.5" customHeight="1" x14ac:dyDescent="0.25">
      <c r="B22" s="66" t="str">
        <f t="array" ref="B2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E006</v>
      </c>
      <c r="C22" s="10" t="s">
        <v>27</v>
      </c>
      <c r="D22" s="10" t="str">
        <f>VLOOKUP(tblEnlaces[[#This Row],[Nodo Inicial]],tblNodos[],2,FALSE)</f>
        <v>Donaciones y apoyo individual / comunitario</v>
      </c>
      <c r="E22" s="39" t="s">
        <v>45</v>
      </c>
      <c r="F22" s="10" t="str">
        <f>VLOOKUP(tblEnlaces[[#This Row],[Nodo Final]],tblNodos[],2,FALSE)</f>
        <v>Estructuras organizadas de captación</v>
      </c>
      <c r="G22" s="39" t="s">
        <v>222</v>
      </c>
      <c r="H22" s="39">
        <v>1</v>
      </c>
      <c r="I22" s="53">
        <f>IFERROR(_xlfn.XLOOKUP(VLOOKUP(tblEnlaces[[#This Row],[Canal]],tblCanales[#All],2,FALSE),tblPesosValorOperativo[Valor],tblPesosValorOperativo[Frecuencia de Uso],0),0)</f>
        <v>4</v>
      </c>
      <c r="J22" s="63">
        <f>IF(tblEnlaces[[#This Row],[Activo]]&lt;&gt;1,0,IFERROR(tblEnlaces[[#This Row],[Frecuencia de Uso]]/SUMIFS(tblEnlaces[Frecuencia de Uso],tblEnlaces[Enlace],tblEnlaces[[#This Row],[Enlace]],tblEnlaces[Activo],1),0))</f>
        <v>0.12903225806451613</v>
      </c>
      <c r="K22" s="62">
        <f>IFERROR(_xlfn.XLOOKUP(VLOOKUP(tblEnlaces[[#This Row],[Canal]],tblCanales[#All],3,FALSE),tblPesosCoste[Valor],tblPesosCoste[Peso],0),0)</f>
        <v>5</v>
      </c>
      <c r="L22" s="10">
        <f>IFERROR(_xlfn.XLOOKUP(VLOOKUP(tblEnlaces[[#This Row],[Canal]],tblCanales[#All],5,FALSE),tblPesosValorOperativo[Valor],tblPesosValorOperativo[Opacidad],0),0)</f>
        <v>3</v>
      </c>
      <c r="M22" s="14">
        <f>IFERROR(_xlfn.XLOOKUP(VLOOKUP(tblEnlaces[[#This Row],[Canal]],tblCanales[#All],6,FALSE),tblPesosValorOperativo[Valor],tblPesosValorOperativo[Trazabilidad],0),0)</f>
        <v>1</v>
      </c>
      <c r="N22" s="14">
        <f>IFERROR(_xlfn.XLOOKUP(VLOOKUP(tblEnlaces[[#This Row],[Canal]],tblCanales[#All],7,FALSE),tblPesosValorOperativo[Valor],tblPesosValorOperativo[Velocidad],0),0)</f>
        <v>5</v>
      </c>
      <c r="O22" s="14">
        <f>IFERROR(_xlfn.XLOOKUP(VLOOKUP(tblEnlaces[[#This Row],[Canal]],tblCanales[#All],8,FALSE),tblPesosValorOperativo[Valor],tblPesosValorOperativo[Escalabilidad],0),0)</f>
        <v>0</v>
      </c>
      <c r="P22" s="53">
        <f>tblEnlaces[[#This Row],[Opacidad]]+tblEnlaces[[#This Row],[Escalabilidad]]+tblEnlaces[[#This Row],[Velocidad]]+tblEnlaces[[#This Row],[Trazabilidad]]</f>
        <v>9</v>
      </c>
    </row>
    <row r="23" spans="2:16" ht="19.5" customHeight="1" x14ac:dyDescent="0.25">
      <c r="B23" s="66" t="str">
        <f t="array" ref="B2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E006</v>
      </c>
      <c r="C23" s="10" t="s">
        <v>27</v>
      </c>
      <c r="D23" s="10" t="str">
        <f>VLOOKUP(tblEnlaces[[#This Row],[Nodo Inicial]],tblNodos[],2,FALSE)</f>
        <v>Donaciones y apoyo individual / comunitario</v>
      </c>
      <c r="E23" s="39" t="s">
        <v>45</v>
      </c>
      <c r="F23" s="10" t="str">
        <f>VLOOKUP(tblEnlaces[[#This Row],[Nodo Final]],tblNodos[],2,FALSE)</f>
        <v>Estructuras organizadas de captación</v>
      </c>
      <c r="G23" s="39" t="s">
        <v>228</v>
      </c>
      <c r="H23" s="39">
        <v>1</v>
      </c>
      <c r="I23" s="53">
        <f>IFERROR(_xlfn.XLOOKUP(VLOOKUP(tblEnlaces[[#This Row],[Canal]],tblCanales[#All],2,FALSE),tblPesosValorOperativo[Valor],tblPesosValorOperativo[Frecuencia de Uso],0),0)</f>
        <v>2</v>
      </c>
      <c r="J23" s="63">
        <f>IF(tblEnlaces[[#This Row],[Activo]]&lt;&gt;1,0,IFERROR(tblEnlaces[[#This Row],[Frecuencia de Uso]]/SUMIFS(tblEnlaces[Frecuencia de Uso],tblEnlaces[Enlace],tblEnlaces[[#This Row],[Enlace]],tblEnlaces[Activo],1),0))</f>
        <v>6.4516129032258063E-2</v>
      </c>
      <c r="K23" s="62">
        <f>IFERROR(_xlfn.XLOOKUP(VLOOKUP(tblEnlaces[[#This Row],[Canal]],tblCanales[#All],3,FALSE),tblPesosCoste[Valor],tblPesosCoste[Peso],0),0)</f>
        <v>3</v>
      </c>
      <c r="L23" s="10">
        <f>IFERROR(_xlfn.XLOOKUP(VLOOKUP(tblEnlaces[[#This Row],[Canal]],tblCanales[#All],5,FALSE),tblPesosValorOperativo[Valor],tblPesosValorOperativo[Opacidad],0),0)</f>
        <v>3</v>
      </c>
      <c r="M23" s="14">
        <f>IFERROR(_xlfn.XLOOKUP(VLOOKUP(tblEnlaces[[#This Row],[Canal]],tblCanales[#All],6,FALSE),tblPesosValorOperativo[Valor],tblPesosValorOperativo[Trazabilidad],0),0)</f>
        <v>1</v>
      </c>
      <c r="N23" s="14">
        <f>IFERROR(_xlfn.XLOOKUP(VLOOKUP(tblEnlaces[[#This Row],[Canal]],tblCanales[#All],7,FALSE),tblPesosValorOperativo[Valor],tblPesosValorOperativo[Velocidad],0),0)</f>
        <v>3</v>
      </c>
      <c r="O23" s="14">
        <f>IFERROR(_xlfn.XLOOKUP(VLOOKUP(tblEnlaces[[#This Row],[Canal]],tblCanales[#All],8,FALSE),tblPesosValorOperativo[Valor],tblPesosValorOperativo[Escalabilidad],0),0)</f>
        <v>0</v>
      </c>
      <c r="P23" s="53">
        <f>tblEnlaces[[#This Row],[Opacidad]]+tblEnlaces[[#This Row],[Escalabilidad]]+tblEnlaces[[#This Row],[Velocidad]]+tblEnlaces[[#This Row],[Trazabilidad]]</f>
        <v>7</v>
      </c>
    </row>
    <row r="24" spans="2:16" ht="19.5" customHeight="1" x14ac:dyDescent="0.25">
      <c r="B24" s="66" t="str">
        <f t="array" ref="B2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E006</v>
      </c>
      <c r="C24" s="10" t="s">
        <v>27</v>
      </c>
      <c r="D24" s="10" t="str">
        <f>VLOOKUP(tblEnlaces[[#This Row],[Nodo Inicial]],tblNodos[],2,FALSE)</f>
        <v>Donaciones y apoyo individual / comunitario</v>
      </c>
      <c r="E24" s="39" t="s">
        <v>45</v>
      </c>
      <c r="F24" s="10" t="str">
        <f>VLOOKUP(tblEnlaces[[#This Row],[Nodo Final]],tblNodos[],2,FALSE)</f>
        <v>Estructuras organizadas de captación</v>
      </c>
      <c r="G24" s="39" t="s">
        <v>162</v>
      </c>
      <c r="H24" s="39">
        <v>1</v>
      </c>
      <c r="I24" s="53">
        <f>IFERROR(_xlfn.XLOOKUP(VLOOKUP(tblEnlaces[[#This Row],[Canal]],tblCanales[#All],2,FALSE),tblPesosValorOperativo[Valor],tblPesosValorOperativo[Frecuencia de Uso],0),0)</f>
        <v>5</v>
      </c>
      <c r="J24" s="63">
        <f>IF(tblEnlaces[[#This Row],[Activo]]&lt;&gt;1,0,IFERROR(tblEnlaces[[#This Row],[Frecuencia de Uso]]/SUMIFS(tblEnlaces[Frecuencia de Uso],tblEnlaces[Enlace],tblEnlaces[[#This Row],[Enlace]],tblEnlaces[Activo],1),0))</f>
        <v>0.16129032258064516</v>
      </c>
      <c r="K24" s="62">
        <f>IFERROR(_xlfn.XLOOKUP(VLOOKUP(tblEnlaces[[#This Row],[Canal]],tblCanales[#All],3,FALSE),tblPesosCoste[Valor],tblPesosCoste[Peso],0),0)</f>
        <v>5</v>
      </c>
      <c r="L24" s="10">
        <f>IFERROR(_xlfn.XLOOKUP(VLOOKUP(tblEnlaces[[#This Row],[Canal]],tblCanales[#All],5,FALSE),tblPesosValorOperativo[Valor],tblPesosValorOperativo[Opacidad],0),0)</f>
        <v>1</v>
      </c>
      <c r="M24" s="14">
        <f>IFERROR(_xlfn.XLOOKUP(VLOOKUP(tblEnlaces[[#This Row],[Canal]],tblCanales[#All],6,FALSE),tblPesosValorOperativo[Valor],tblPesosValorOperativo[Trazabilidad],0),0)</f>
        <v>1</v>
      </c>
      <c r="N24" s="14">
        <f>IFERROR(_xlfn.XLOOKUP(VLOOKUP(tblEnlaces[[#This Row],[Canal]],tblCanales[#All],7,FALSE),tblPesosValorOperativo[Valor],tblPesosValorOperativo[Velocidad],0),0)</f>
        <v>5</v>
      </c>
      <c r="O24" s="14">
        <f>IFERROR(_xlfn.XLOOKUP(VLOOKUP(tblEnlaces[[#This Row],[Canal]],tblCanales[#All],8,FALSE),tblPesosValorOperativo[Valor],tblPesosValorOperativo[Escalabilidad],0),0)</f>
        <v>0</v>
      </c>
      <c r="P24" s="53">
        <f>tblEnlaces[[#This Row],[Opacidad]]+tblEnlaces[[#This Row],[Escalabilidad]]+tblEnlaces[[#This Row],[Velocidad]]+tblEnlaces[[#This Row],[Trazabilidad]]</f>
        <v>7</v>
      </c>
    </row>
    <row r="25" spans="2:16" ht="19.5" customHeight="1" x14ac:dyDescent="0.25">
      <c r="B25" s="66" t="str">
        <f t="array" ref="B2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E006</v>
      </c>
      <c r="C25" s="10" t="s">
        <v>27</v>
      </c>
      <c r="D25" s="10" t="str">
        <f>VLOOKUP(tblEnlaces[[#This Row],[Nodo Inicial]],tblNodos[],2,FALSE)</f>
        <v>Donaciones y apoyo individual / comunitario</v>
      </c>
      <c r="E25" s="39" t="s">
        <v>45</v>
      </c>
      <c r="F25" s="10" t="str">
        <f>VLOOKUP(tblEnlaces[[#This Row],[Nodo Final]],tblNodos[],2,FALSE)</f>
        <v>Estructuras organizadas de captación</v>
      </c>
      <c r="G25" s="39" t="s">
        <v>234</v>
      </c>
      <c r="H25" s="39">
        <v>1</v>
      </c>
      <c r="I25" s="53">
        <f>IFERROR(_xlfn.XLOOKUP(VLOOKUP(tblEnlaces[[#This Row],[Canal]],tblCanales[#All],2,FALSE),tblPesosValorOperativo[Valor],tblPesosValorOperativo[Frecuencia de Uso],0),0)</f>
        <v>4</v>
      </c>
      <c r="J25" s="63">
        <f>IF(tblEnlaces[[#This Row],[Activo]]&lt;&gt;1,0,IFERROR(tblEnlaces[[#This Row],[Frecuencia de Uso]]/SUMIFS(tblEnlaces[Frecuencia de Uso],tblEnlaces[Enlace],tblEnlaces[[#This Row],[Enlace]],tblEnlaces[Activo],1),0))</f>
        <v>0.12903225806451613</v>
      </c>
      <c r="K25" s="62">
        <f>IFERROR(_xlfn.XLOOKUP(VLOOKUP(tblEnlaces[[#This Row],[Canal]],tblCanales[#All],3,FALSE),tblPesosCoste[Valor],tblPesosCoste[Peso],0),0)</f>
        <v>4</v>
      </c>
      <c r="L25" s="10">
        <f>IFERROR(_xlfn.XLOOKUP(VLOOKUP(tblEnlaces[[#This Row],[Canal]],tblCanales[#All],5,FALSE),tblPesosValorOperativo[Valor],tblPesosValorOperativo[Opacidad],0),0)</f>
        <v>3</v>
      </c>
      <c r="M25" s="14">
        <f>IFERROR(_xlfn.XLOOKUP(VLOOKUP(tblEnlaces[[#This Row],[Canal]],tblCanales[#All],6,FALSE),tblPesosValorOperativo[Valor],tblPesosValorOperativo[Trazabilidad],0),0)</f>
        <v>1</v>
      </c>
      <c r="N25" s="14">
        <f>IFERROR(_xlfn.XLOOKUP(VLOOKUP(tblEnlaces[[#This Row],[Canal]],tblCanales[#All],7,FALSE),tblPesosValorOperativo[Valor],tblPesosValorOperativo[Velocidad],0),0)</f>
        <v>5</v>
      </c>
      <c r="O25" s="14">
        <f>IFERROR(_xlfn.XLOOKUP(VLOOKUP(tblEnlaces[[#This Row],[Canal]],tblCanales[#All],8,FALSE),tblPesosValorOperativo[Valor],tblPesosValorOperativo[Escalabilidad],0),0)</f>
        <v>0</v>
      </c>
      <c r="P25" s="53">
        <f>tblEnlaces[[#This Row],[Opacidad]]+tblEnlaces[[#This Row],[Escalabilidad]]+tblEnlaces[[#This Row],[Velocidad]]+tblEnlaces[[#This Row],[Trazabilidad]]</f>
        <v>9</v>
      </c>
    </row>
    <row r="26" spans="2:16" ht="19.5" customHeight="1" x14ac:dyDescent="0.25">
      <c r="B26" s="66" t="str">
        <f t="array" ref="B2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E006</v>
      </c>
      <c r="C26" s="10" t="s">
        <v>27</v>
      </c>
      <c r="D26" s="10" t="str">
        <f>VLOOKUP(tblEnlaces[[#This Row],[Nodo Inicial]],tblNodos[],2,FALSE)</f>
        <v>Donaciones y apoyo individual / comunitario</v>
      </c>
      <c r="E26" s="39" t="s">
        <v>45</v>
      </c>
      <c r="F26" s="10" t="str">
        <f>VLOOKUP(tblEnlaces[[#This Row],[Nodo Final]],tblNodos[],2,FALSE)</f>
        <v>Estructuras organizadas de captación</v>
      </c>
      <c r="G26" s="39" t="s">
        <v>228</v>
      </c>
      <c r="H26" s="39">
        <v>1</v>
      </c>
      <c r="I26" s="53">
        <f>IFERROR(_xlfn.XLOOKUP(VLOOKUP(tblEnlaces[[#This Row],[Canal]],tblCanales[#All],2,FALSE),tblPesosValorOperativo[Valor],tblPesosValorOperativo[Frecuencia de Uso],0),0)</f>
        <v>2</v>
      </c>
      <c r="J26" s="63">
        <f>IF(tblEnlaces[[#This Row],[Activo]]&lt;&gt;1,0,IFERROR(tblEnlaces[[#This Row],[Frecuencia de Uso]]/SUMIFS(tblEnlaces[Frecuencia de Uso],tblEnlaces[Enlace],tblEnlaces[[#This Row],[Enlace]],tblEnlaces[Activo],1),0))</f>
        <v>6.4516129032258063E-2</v>
      </c>
      <c r="K26" s="62">
        <f>IFERROR(_xlfn.XLOOKUP(VLOOKUP(tblEnlaces[[#This Row],[Canal]],tblCanales[#All],3,FALSE),tblPesosCoste[Valor],tblPesosCoste[Peso],0),0)</f>
        <v>3</v>
      </c>
      <c r="L26" s="10">
        <f>IFERROR(_xlfn.XLOOKUP(VLOOKUP(tblEnlaces[[#This Row],[Canal]],tblCanales[#All],5,FALSE),tblPesosValorOperativo[Valor],tblPesosValorOperativo[Opacidad],0),0)</f>
        <v>3</v>
      </c>
      <c r="M26" s="14">
        <f>IFERROR(_xlfn.XLOOKUP(VLOOKUP(tblEnlaces[[#This Row],[Canal]],tblCanales[#All],6,FALSE),tblPesosValorOperativo[Valor],tblPesosValorOperativo[Trazabilidad],0),0)</f>
        <v>1</v>
      </c>
      <c r="N26" s="14">
        <f>IFERROR(_xlfn.XLOOKUP(VLOOKUP(tblEnlaces[[#This Row],[Canal]],tblCanales[#All],7,FALSE),tblPesosValorOperativo[Valor],tblPesosValorOperativo[Velocidad],0),0)</f>
        <v>3</v>
      </c>
      <c r="O26" s="14">
        <f>IFERROR(_xlfn.XLOOKUP(VLOOKUP(tblEnlaces[[#This Row],[Canal]],tblCanales[#All],8,FALSE),tblPesosValorOperativo[Valor],tblPesosValorOperativo[Escalabilidad],0),0)</f>
        <v>0</v>
      </c>
      <c r="P26" s="53">
        <f>tblEnlaces[[#This Row],[Opacidad]]+tblEnlaces[[#This Row],[Escalabilidad]]+tblEnlaces[[#This Row],[Velocidad]]+tblEnlaces[[#This Row],[Trazabilidad]]</f>
        <v>7</v>
      </c>
    </row>
    <row r="27" spans="2:16" ht="19.5" customHeight="1" x14ac:dyDescent="0.25">
      <c r="B27" s="66" t="str">
        <f t="array" ref="B2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E006</v>
      </c>
      <c r="C27" s="10" t="s">
        <v>27</v>
      </c>
      <c r="D27" s="10" t="str">
        <f>VLOOKUP(tblEnlaces[[#This Row],[Nodo Inicial]],tblNodos[],2,FALSE)</f>
        <v>Donaciones y apoyo individual / comunitario</v>
      </c>
      <c r="E27" s="39" t="s">
        <v>45</v>
      </c>
      <c r="F27" s="10" t="str">
        <f>VLOOKUP(tblEnlaces[[#This Row],[Nodo Final]],tblNodos[],2,FALSE)</f>
        <v>Estructuras organizadas de captación</v>
      </c>
      <c r="G27" s="39" t="s">
        <v>136</v>
      </c>
      <c r="H27" s="39">
        <v>1</v>
      </c>
      <c r="I27" s="53">
        <f>IFERROR(_xlfn.XLOOKUP(VLOOKUP(tblEnlaces[[#This Row],[Canal]],tblCanales[#All],2,FALSE),tblPesosValorOperativo[Valor],tblPesosValorOperativo[Frecuencia de Uso],0),0)</f>
        <v>2</v>
      </c>
      <c r="J27" s="63">
        <f>IF(tblEnlaces[[#This Row],[Activo]]&lt;&gt;1,0,IFERROR(tblEnlaces[[#This Row],[Frecuencia de Uso]]/SUMIFS(tblEnlaces[Frecuencia de Uso],tblEnlaces[Enlace],tblEnlaces[[#This Row],[Enlace]],tblEnlaces[Activo],1),0))</f>
        <v>6.4516129032258063E-2</v>
      </c>
      <c r="K27" s="62">
        <f>IFERROR(_xlfn.XLOOKUP(VLOOKUP(tblEnlaces[[#This Row],[Canal]],tblCanales[#All],3,FALSE),tblPesosCoste[Valor],tblPesosCoste[Peso],0),0)</f>
        <v>4</v>
      </c>
      <c r="L27" s="10">
        <f>IFERROR(_xlfn.XLOOKUP(VLOOKUP(tblEnlaces[[#This Row],[Canal]],tblCanales[#All],5,FALSE),tblPesosValorOperativo[Valor],tblPesosValorOperativo[Opacidad],0),0)</f>
        <v>5</v>
      </c>
      <c r="M27" s="14">
        <f>IFERROR(_xlfn.XLOOKUP(VLOOKUP(tblEnlaces[[#This Row],[Canal]],tblCanales[#All],6,FALSE),tblPesosValorOperativo[Valor],tblPesosValorOperativo[Trazabilidad],0),0)</f>
        <v>2</v>
      </c>
      <c r="N27" s="14">
        <f>IFERROR(_xlfn.XLOOKUP(VLOOKUP(tblEnlaces[[#This Row],[Canal]],tblCanales[#All],7,FALSE),tblPesosValorOperativo[Valor],tblPesosValorOperativo[Velocidad],0),0)</f>
        <v>4</v>
      </c>
      <c r="O27" s="14">
        <f>IFERROR(_xlfn.XLOOKUP(VLOOKUP(tblEnlaces[[#This Row],[Canal]],tblCanales[#All],8,FALSE),tblPesosValorOperativo[Valor],tblPesosValorOperativo[Escalabilidad],0),0)</f>
        <v>0</v>
      </c>
      <c r="P27" s="53">
        <f>tblEnlaces[[#This Row],[Opacidad]]+tblEnlaces[[#This Row],[Escalabilidad]]+tblEnlaces[[#This Row],[Velocidad]]+tblEnlaces[[#This Row],[Trazabilidad]]</f>
        <v>11</v>
      </c>
    </row>
    <row r="28" spans="2:16" ht="19.5" customHeight="1" x14ac:dyDescent="0.25">
      <c r="B28" s="66" t="str">
        <f t="array" ref="B2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E006</v>
      </c>
      <c r="C28" s="10" t="s">
        <v>27</v>
      </c>
      <c r="D28" s="10" t="str">
        <f>VLOOKUP(tblEnlaces[[#This Row],[Nodo Inicial]],tblNodos[],2,FALSE)</f>
        <v>Donaciones y apoyo individual / comunitario</v>
      </c>
      <c r="E28" s="39" t="s">
        <v>45</v>
      </c>
      <c r="F28" s="10" t="str">
        <f>VLOOKUP(tblEnlaces[[#This Row],[Nodo Final]],tblNodos[],2,FALSE)</f>
        <v>Estructuras organizadas de captación</v>
      </c>
      <c r="G28" s="39" t="s">
        <v>240</v>
      </c>
      <c r="H28" s="39">
        <v>1</v>
      </c>
      <c r="I28" s="53">
        <f>IFERROR(_xlfn.XLOOKUP(VLOOKUP(tblEnlaces[[#This Row],[Canal]],tblCanales[#All],2,FALSE),tblPesosValorOperativo[Valor],tblPesosValorOperativo[Frecuencia de Uso],0),0)</f>
        <v>2</v>
      </c>
      <c r="J28" s="63">
        <f>IF(tblEnlaces[[#This Row],[Activo]]&lt;&gt;1,0,IFERROR(tblEnlaces[[#This Row],[Frecuencia de Uso]]/SUMIFS(tblEnlaces[Frecuencia de Uso],tblEnlaces[Enlace],tblEnlaces[[#This Row],[Enlace]],tblEnlaces[Activo],1),0))</f>
        <v>6.4516129032258063E-2</v>
      </c>
      <c r="K28" s="62">
        <f>IFERROR(_xlfn.XLOOKUP(VLOOKUP(tblEnlaces[[#This Row],[Canal]],tblCanales[#All],3,FALSE),tblPesosCoste[Valor],tblPesosCoste[Peso],0),0)</f>
        <v>5</v>
      </c>
      <c r="L28" s="10">
        <f>IFERROR(_xlfn.XLOOKUP(VLOOKUP(tblEnlaces[[#This Row],[Canal]],tblCanales[#All],5,FALSE),tblPesosValorOperativo[Valor],tblPesosValorOperativo[Opacidad],0),0)</f>
        <v>4</v>
      </c>
      <c r="M28" s="14">
        <f>IFERROR(_xlfn.XLOOKUP(VLOOKUP(tblEnlaces[[#This Row],[Canal]],tblCanales[#All],6,FALSE),tblPesosValorOperativo[Valor],tblPesosValorOperativo[Trazabilidad],0),0)</f>
        <v>1</v>
      </c>
      <c r="N28" s="14">
        <f>IFERROR(_xlfn.XLOOKUP(VLOOKUP(tblEnlaces[[#This Row],[Canal]],tblCanales[#All],7,FALSE),tblPesosValorOperativo[Valor],tblPesosValorOperativo[Velocidad],0),0)</f>
        <v>5</v>
      </c>
      <c r="O28" s="14">
        <f>IFERROR(_xlfn.XLOOKUP(VLOOKUP(tblEnlaces[[#This Row],[Canal]],tblCanales[#All],8,FALSE),tblPesosValorOperativo[Valor],tblPesosValorOperativo[Escalabilidad],0),0)</f>
        <v>0</v>
      </c>
      <c r="P28" s="53">
        <f>tblEnlaces[[#This Row],[Opacidad]]+tblEnlaces[[#This Row],[Escalabilidad]]+tblEnlaces[[#This Row],[Velocidad]]+tblEnlaces[[#This Row],[Trazabilidad]]</f>
        <v>10</v>
      </c>
    </row>
    <row r="29" spans="2:16" ht="19.5" customHeight="1" x14ac:dyDescent="0.25">
      <c r="B29" s="66" t="str">
        <f t="array" ref="B2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E006</v>
      </c>
      <c r="C29" s="10" t="s">
        <v>27</v>
      </c>
      <c r="D29" s="10" t="str">
        <f>VLOOKUP(tblEnlaces[[#This Row],[Nodo Inicial]],tblNodos[],2,FALSE)</f>
        <v>Donaciones y apoyo individual / comunitario</v>
      </c>
      <c r="E29" s="39" t="s">
        <v>45</v>
      </c>
      <c r="F29" s="10" t="str">
        <f>VLOOKUP(tblEnlaces[[#This Row],[Nodo Final]],tblNodos[],2,FALSE)</f>
        <v>Estructuras organizadas de captación</v>
      </c>
      <c r="G29" s="39" t="s">
        <v>128</v>
      </c>
      <c r="H29" s="39">
        <v>1</v>
      </c>
      <c r="I29" s="53">
        <f>IFERROR(_xlfn.XLOOKUP(VLOOKUP(tblEnlaces[[#This Row],[Canal]],tblCanales[#All],2,FALSE),tblPesosValorOperativo[Valor],tblPesosValorOperativo[Frecuencia de Uso],0),0)</f>
        <v>2</v>
      </c>
      <c r="J29" s="63">
        <f>IF(tblEnlaces[[#This Row],[Activo]]&lt;&gt;1,0,IFERROR(tblEnlaces[[#This Row],[Frecuencia de Uso]]/SUMIFS(tblEnlaces[Frecuencia de Uso],tblEnlaces[Enlace],tblEnlaces[[#This Row],[Enlace]],tblEnlaces[Activo],1),0))</f>
        <v>6.4516129032258063E-2</v>
      </c>
      <c r="K29" s="62">
        <f>IFERROR(_xlfn.XLOOKUP(VLOOKUP(tblEnlaces[[#This Row],[Canal]],tblCanales[#All],3,FALSE),tblPesosCoste[Valor],tblPesosCoste[Peso],0),0)</f>
        <v>5</v>
      </c>
      <c r="L29" s="10">
        <f>IFERROR(_xlfn.XLOOKUP(VLOOKUP(tblEnlaces[[#This Row],[Canal]],tblCanales[#All],5,FALSE),tblPesosValorOperativo[Valor],tblPesosValorOperativo[Opacidad],0),0)</f>
        <v>5</v>
      </c>
      <c r="M29" s="14">
        <f>IFERROR(_xlfn.XLOOKUP(VLOOKUP(tblEnlaces[[#This Row],[Canal]],tblCanales[#All],6,FALSE),tblPesosValorOperativo[Valor],tblPesosValorOperativo[Trazabilidad],0),0)</f>
        <v>3</v>
      </c>
      <c r="N29" s="14">
        <f>IFERROR(_xlfn.XLOOKUP(VLOOKUP(tblEnlaces[[#This Row],[Canal]],tblCanales[#All],7,FALSE),tblPesosValorOperativo[Valor],tblPesosValorOperativo[Velocidad],0),0)</f>
        <v>4</v>
      </c>
      <c r="O29" s="14">
        <f>IFERROR(_xlfn.XLOOKUP(VLOOKUP(tblEnlaces[[#This Row],[Canal]],tblCanales[#All],8,FALSE),tblPesosValorOperativo[Valor],tblPesosValorOperativo[Escalabilidad],0),0)</f>
        <v>0</v>
      </c>
      <c r="P29" s="53">
        <f>tblEnlaces[[#This Row],[Opacidad]]+tblEnlaces[[#This Row],[Escalabilidad]]+tblEnlaces[[#This Row],[Velocidad]]+tblEnlaces[[#This Row],[Trazabilidad]]</f>
        <v>12</v>
      </c>
    </row>
    <row r="30" spans="2:16" ht="16.5" customHeight="1" x14ac:dyDescent="0.25">
      <c r="B30" s="66" t="str">
        <f t="array" ref="B3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E007</v>
      </c>
      <c r="C30" s="10" t="s">
        <v>29</v>
      </c>
      <c r="D30" s="10" t="str">
        <f>VLOOKUP(tblEnlaces[[#This Row],[Nodo Inicial]],tblNodos[],2,FALSE)</f>
        <v>Actividad comercial y empresarial</v>
      </c>
      <c r="E30" s="39" t="s">
        <v>49</v>
      </c>
      <c r="F30" s="10" t="str">
        <f>VLOOKUP(tblEnlaces[[#This Row],[Nodo Final]],tblNodos[],2,FALSE)</f>
        <v>Colectores empresariales y vehiculares</v>
      </c>
      <c r="G30" s="39" t="s">
        <v>222</v>
      </c>
      <c r="H30" s="39">
        <v>1</v>
      </c>
      <c r="I30" s="53">
        <f>IFERROR(_xlfn.XLOOKUP(VLOOKUP(tblEnlaces[[#This Row],[Canal]],tblCanales[#All],2,FALSE),tblPesosValorOperativo[Valor],tblPesosValorOperativo[Frecuencia de Uso],0),0)</f>
        <v>4</v>
      </c>
      <c r="J30" s="63">
        <f>IF(tblEnlaces[[#This Row],[Activo]]&lt;&gt;1,0,IFERROR(tblEnlaces[[#This Row],[Frecuencia de Uso]]/SUMIFS(tblEnlaces[Frecuencia de Uso],tblEnlaces[Enlace],tblEnlaces[[#This Row],[Enlace]],tblEnlaces[Activo],1),0))</f>
        <v>0.30769230769230771</v>
      </c>
      <c r="K30" s="62">
        <f>IFERROR(_xlfn.XLOOKUP(VLOOKUP(tblEnlaces[[#This Row],[Canal]],tblCanales[#All],3,FALSE),tblPesosCoste[Valor],tblPesosCoste[Peso],0),0)</f>
        <v>5</v>
      </c>
      <c r="L30" s="10">
        <f>IFERROR(_xlfn.XLOOKUP(VLOOKUP(tblEnlaces[[#This Row],[Canal]],tblCanales[#All],5,FALSE),tblPesosValorOperativo[Valor],tblPesosValorOperativo[Opacidad],0),0)</f>
        <v>3</v>
      </c>
      <c r="M30" s="14">
        <f>IFERROR(_xlfn.XLOOKUP(VLOOKUP(tblEnlaces[[#This Row],[Canal]],tblCanales[#All],6,FALSE),tblPesosValorOperativo[Valor],tblPesosValorOperativo[Trazabilidad],0),0)</f>
        <v>1</v>
      </c>
      <c r="N30" s="14">
        <f>IFERROR(_xlfn.XLOOKUP(VLOOKUP(tblEnlaces[[#This Row],[Canal]],tblCanales[#All],7,FALSE),tblPesosValorOperativo[Valor],tblPesosValorOperativo[Velocidad],0),0)</f>
        <v>5</v>
      </c>
      <c r="O30" s="14">
        <f>IFERROR(_xlfn.XLOOKUP(VLOOKUP(tblEnlaces[[#This Row],[Canal]],tblCanales[#All],8,FALSE),tblPesosValorOperativo[Valor],tblPesosValorOperativo[Escalabilidad],0),0)</f>
        <v>0</v>
      </c>
      <c r="P30" s="53">
        <f>tblEnlaces[[#This Row],[Opacidad]]+tblEnlaces[[#This Row],[Escalabilidad]]+tblEnlaces[[#This Row],[Velocidad]]+tblEnlaces[[#This Row],[Trazabilidad]]</f>
        <v>9</v>
      </c>
    </row>
    <row r="31" spans="2:16" ht="16.5" customHeight="1" x14ac:dyDescent="0.25">
      <c r="B31" s="66" t="str">
        <f t="array" ref="B3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E007</v>
      </c>
      <c r="C31" s="10" t="s">
        <v>29</v>
      </c>
      <c r="D31" s="10" t="str">
        <f>VLOOKUP(tblEnlaces[[#This Row],[Nodo Inicial]],tblNodos[],2,FALSE)</f>
        <v>Actividad comercial y empresarial</v>
      </c>
      <c r="E31" s="39" t="s">
        <v>49</v>
      </c>
      <c r="F31" s="10" t="str">
        <f>VLOOKUP(tblEnlaces[[#This Row],[Nodo Final]],tblNodos[],2,FALSE)</f>
        <v>Colectores empresariales y vehiculares</v>
      </c>
      <c r="G31" s="39" t="s">
        <v>156</v>
      </c>
      <c r="H31" s="39">
        <v>1</v>
      </c>
      <c r="I31" s="53">
        <f>IFERROR(_xlfn.XLOOKUP(VLOOKUP(tblEnlaces[[#This Row],[Canal]],tblCanales[#All],2,FALSE),tblPesosValorOperativo[Valor],tblPesosValorOperativo[Frecuencia de Uso],0),0)</f>
        <v>5</v>
      </c>
      <c r="J31" s="63">
        <f>IF(tblEnlaces[[#This Row],[Activo]]&lt;&gt;1,0,IFERROR(tblEnlaces[[#This Row],[Frecuencia de Uso]]/SUMIFS(tblEnlaces[Frecuencia de Uso],tblEnlaces[Enlace],tblEnlaces[[#This Row],[Enlace]],tblEnlaces[Activo],1),0))</f>
        <v>0.38461538461538464</v>
      </c>
      <c r="K31" s="62">
        <f>IFERROR(_xlfn.XLOOKUP(VLOOKUP(tblEnlaces[[#This Row],[Canal]],tblCanales[#All],3,FALSE),tblPesosCoste[Valor],tblPesosCoste[Peso],0),0)</f>
        <v>5</v>
      </c>
      <c r="L31" s="10">
        <f>IFERROR(_xlfn.XLOOKUP(VLOOKUP(tblEnlaces[[#This Row],[Canal]],tblCanales[#All],5,FALSE),tblPesosValorOperativo[Valor],tblPesosValorOperativo[Opacidad],0),0)</f>
        <v>1</v>
      </c>
      <c r="M31" s="14">
        <f>IFERROR(_xlfn.XLOOKUP(VLOOKUP(tblEnlaces[[#This Row],[Canal]],tblCanales[#All],6,FALSE),tblPesosValorOperativo[Valor],tblPesosValorOperativo[Trazabilidad],0),0)</f>
        <v>1</v>
      </c>
      <c r="N31" s="14">
        <f>IFERROR(_xlfn.XLOOKUP(VLOOKUP(tblEnlaces[[#This Row],[Canal]],tblCanales[#All],7,FALSE),tblPesosValorOperativo[Valor],tblPesosValorOperativo[Velocidad],0),0)</f>
        <v>5</v>
      </c>
      <c r="O31" s="14">
        <f>IFERROR(_xlfn.XLOOKUP(VLOOKUP(tblEnlaces[[#This Row],[Canal]],tblCanales[#All],8,FALSE),tblPesosValorOperativo[Valor],tblPesosValorOperativo[Escalabilidad],0),0)</f>
        <v>0</v>
      </c>
      <c r="P31" s="53">
        <f>tblEnlaces[[#This Row],[Opacidad]]+tblEnlaces[[#This Row],[Escalabilidad]]+tblEnlaces[[#This Row],[Velocidad]]+tblEnlaces[[#This Row],[Trazabilidad]]</f>
        <v>7</v>
      </c>
    </row>
    <row r="32" spans="2:16" ht="16.5" customHeight="1" x14ac:dyDescent="0.25">
      <c r="B32" s="66" t="str">
        <f t="array" ref="B3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E007</v>
      </c>
      <c r="C32" s="10" t="s">
        <v>29</v>
      </c>
      <c r="D32" s="10" t="str">
        <f>VLOOKUP(tblEnlaces[[#This Row],[Nodo Inicial]],tblNodos[],2,FALSE)</f>
        <v>Actividad comercial y empresarial</v>
      </c>
      <c r="E32" s="39" t="s">
        <v>49</v>
      </c>
      <c r="F32" s="10" t="str">
        <f>VLOOKUP(tblEnlaces[[#This Row],[Nodo Final]],tblNodos[],2,FALSE)</f>
        <v>Colectores empresariales y vehiculares</v>
      </c>
      <c r="G32" s="39" t="s">
        <v>136</v>
      </c>
      <c r="H32" s="39">
        <v>1</v>
      </c>
      <c r="I32" s="53">
        <f>IFERROR(_xlfn.XLOOKUP(VLOOKUP(tblEnlaces[[#This Row],[Canal]],tblCanales[#All],2,FALSE),tblPesosValorOperativo[Valor],tblPesosValorOperativo[Frecuencia de Uso],0),0)</f>
        <v>2</v>
      </c>
      <c r="J32" s="63">
        <f>IF(tblEnlaces[[#This Row],[Activo]]&lt;&gt;1,0,IFERROR(tblEnlaces[[#This Row],[Frecuencia de Uso]]/SUMIFS(tblEnlaces[Frecuencia de Uso],tblEnlaces[Enlace],tblEnlaces[[#This Row],[Enlace]],tblEnlaces[Activo],1),0))</f>
        <v>0.15384615384615385</v>
      </c>
      <c r="K32" s="62">
        <f>IFERROR(_xlfn.XLOOKUP(VLOOKUP(tblEnlaces[[#This Row],[Canal]],tblCanales[#All],3,FALSE),tblPesosCoste[Valor],tblPesosCoste[Peso],0),0)</f>
        <v>4</v>
      </c>
      <c r="L32" s="10">
        <f>IFERROR(_xlfn.XLOOKUP(VLOOKUP(tblEnlaces[[#This Row],[Canal]],tblCanales[#All],5,FALSE),tblPesosValorOperativo[Valor],tblPesosValorOperativo[Opacidad],0),0)</f>
        <v>5</v>
      </c>
      <c r="M32" s="14">
        <f>IFERROR(_xlfn.XLOOKUP(VLOOKUP(tblEnlaces[[#This Row],[Canal]],tblCanales[#All],6,FALSE),tblPesosValorOperativo[Valor],tblPesosValorOperativo[Trazabilidad],0),0)</f>
        <v>2</v>
      </c>
      <c r="N32" s="14">
        <f>IFERROR(_xlfn.XLOOKUP(VLOOKUP(tblEnlaces[[#This Row],[Canal]],tblCanales[#All],7,FALSE),tblPesosValorOperativo[Valor],tblPesosValorOperativo[Velocidad],0),0)</f>
        <v>4</v>
      </c>
      <c r="O32" s="14">
        <f>IFERROR(_xlfn.XLOOKUP(VLOOKUP(tblEnlaces[[#This Row],[Canal]],tblCanales[#All],8,FALSE),tblPesosValorOperativo[Valor],tblPesosValorOperativo[Escalabilidad],0),0)</f>
        <v>0</v>
      </c>
      <c r="P32" s="53">
        <f>tblEnlaces[[#This Row],[Opacidad]]+tblEnlaces[[#This Row],[Escalabilidad]]+tblEnlaces[[#This Row],[Velocidad]]+tblEnlaces[[#This Row],[Trazabilidad]]</f>
        <v>11</v>
      </c>
    </row>
    <row r="33" spans="2:16" ht="16.5" customHeight="1" x14ac:dyDescent="0.25">
      <c r="B33" s="66" t="str">
        <f t="array" ref="B3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E007</v>
      </c>
      <c r="C33" s="10" t="s">
        <v>29</v>
      </c>
      <c r="D33" s="10" t="str">
        <f>VLOOKUP(tblEnlaces[[#This Row],[Nodo Inicial]],tblNodos[],2,FALSE)</f>
        <v>Actividad comercial y empresarial</v>
      </c>
      <c r="E33" s="39" t="s">
        <v>49</v>
      </c>
      <c r="F33" s="10" t="str">
        <f>VLOOKUP(tblEnlaces[[#This Row],[Nodo Final]],tblNodos[],2,FALSE)</f>
        <v>Colectores empresariales y vehiculares</v>
      </c>
      <c r="G33" s="39" t="s">
        <v>240</v>
      </c>
      <c r="H33" s="39">
        <v>1</v>
      </c>
      <c r="I33" s="53">
        <f>IFERROR(_xlfn.XLOOKUP(VLOOKUP(tblEnlaces[[#This Row],[Canal]],tblCanales[#All],2,FALSE),tblPesosValorOperativo[Valor],tblPesosValorOperativo[Frecuencia de Uso],0),0)</f>
        <v>2</v>
      </c>
      <c r="J33" s="63">
        <f>IF(tblEnlaces[[#This Row],[Activo]]&lt;&gt;1,0,IFERROR(tblEnlaces[[#This Row],[Frecuencia de Uso]]/SUMIFS(tblEnlaces[Frecuencia de Uso],tblEnlaces[Enlace],tblEnlaces[[#This Row],[Enlace]],tblEnlaces[Activo],1),0))</f>
        <v>0.15384615384615385</v>
      </c>
      <c r="K33" s="62">
        <f>IFERROR(_xlfn.XLOOKUP(VLOOKUP(tblEnlaces[[#This Row],[Canal]],tblCanales[#All],3,FALSE),tblPesosCoste[Valor],tblPesosCoste[Peso],0),0)</f>
        <v>5</v>
      </c>
      <c r="L33" s="10">
        <f>IFERROR(_xlfn.XLOOKUP(VLOOKUP(tblEnlaces[[#This Row],[Canal]],tblCanales[#All],5,FALSE),tblPesosValorOperativo[Valor],tblPesosValorOperativo[Opacidad],0),0)</f>
        <v>4</v>
      </c>
      <c r="M33" s="14">
        <f>IFERROR(_xlfn.XLOOKUP(VLOOKUP(tblEnlaces[[#This Row],[Canal]],tblCanales[#All],6,FALSE),tblPesosValorOperativo[Valor],tblPesosValorOperativo[Trazabilidad],0),0)</f>
        <v>1</v>
      </c>
      <c r="N33" s="14">
        <f>IFERROR(_xlfn.XLOOKUP(VLOOKUP(tblEnlaces[[#This Row],[Canal]],tblCanales[#All],7,FALSE),tblPesosValorOperativo[Valor],tblPesosValorOperativo[Velocidad],0),0)</f>
        <v>5</v>
      </c>
      <c r="O33" s="14">
        <f>IFERROR(_xlfn.XLOOKUP(VLOOKUP(tblEnlaces[[#This Row],[Canal]],tblCanales[#All],8,FALSE),tblPesosValorOperativo[Valor],tblPesosValorOperativo[Escalabilidad],0),0)</f>
        <v>0</v>
      </c>
      <c r="P33" s="53">
        <f>tblEnlaces[[#This Row],[Opacidad]]+tblEnlaces[[#This Row],[Escalabilidad]]+tblEnlaces[[#This Row],[Velocidad]]+tblEnlaces[[#This Row],[Trazabilidad]]</f>
        <v>10</v>
      </c>
    </row>
    <row r="34" spans="2:16" ht="16.5" customHeight="1" x14ac:dyDescent="0.25">
      <c r="B34" s="66" t="str">
        <f t="array" ref="B3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E008</v>
      </c>
      <c r="C34" s="10" t="s">
        <v>31</v>
      </c>
      <c r="D34" s="10" t="str">
        <f>VLOOKUP(tblEnlaces[[#This Row],[Nodo Inicial]],tblNodos[],2,FALSE)</f>
        <v>Financiación mediante coerción y exacción</v>
      </c>
      <c r="E34" s="39" t="s">
        <v>41</v>
      </c>
      <c r="F34" s="10" t="str">
        <f>VLOOKUP(tblEnlaces[[#This Row],[Nodo Final]],tblNodos[],2,FALSE)</f>
        <v>Recaudación directa</v>
      </c>
      <c r="G34" s="39" t="s">
        <v>246</v>
      </c>
      <c r="H34" s="39">
        <v>1</v>
      </c>
      <c r="I34" s="53">
        <f>IFERROR(_xlfn.XLOOKUP(VLOOKUP(tblEnlaces[[#This Row],[Canal]],tblCanales[#All],2,FALSE),tblPesosValorOperativo[Valor],tblPesosValorOperativo[Frecuencia de Uso],0),0)</f>
        <v>4</v>
      </c>
      <c r="J34" s="63">
        <f>IF(tblEnlaces[[#This Row],[Activo]]&lt;&gt;1,0,IFERROR(tblEnlaces[[#This Row],[Frecuencia de Uso]]/SUMIFS(tblEnlaces[Frecuencia de Uso],tblEnlaces[Enlace],tblEnlaces[[#This Row],[Enlace]],tblEnlaces[Activo],1),0))</f>
        <v>0.30769230769230771</v>
      </c>
      <c r="K34" s="62">
        <f>IFERROR(_xlfn.XLOOKUP(VLOOKUP(tblEnlaces[[#This Row],[Canal]],tblCanales[#All],3,FALSE),tblPesosCoste[Valor],tblPesosCoste[Peso],0),0)</f>
        <v>5</v>
      </c>
      <c r="L34" s="10">
        <f>IFERROR(_xlfn.XLOOKUP(VLOOKUP(tblEnlaces[[#This Row],[Canal]],tblCanales[#All],5,FALSE),tblPesosValorOperativo[Valor],tblPesosValorOperativo[Opacidad],0),0)</f>
        <v>3</v>
      </c>
      <c r="M34" s="14">
        <f>IFERROR(_xlfn.XLOOKUP(VLOOKUP(tblEnlaces[[#This Row],[Canal]],tblCanales[#All],6,FALSE),tblPesosValorOperativo[Valor],tblPesosValorOperativo[Trazabilidad],0),0)</f>
        <v>1</v>
      </c>
      <c r="N34" s="14">
        <f>IFERROR(_xlfn.XLOOKUP(VLOOKUP(tblEnlaces[[#This Row],[Canal]],tblCanales[#All],7,FALSE),tblPesosValorOperativo[Valor],tblPesosValorOperativo[Velocidad],0),0)</f>
        <v>5</v>
      </c>
      <c r="O34" s="14">
        <f>IFERROR(_xlfn.XLOOKUP(VLOOKUP(tblEnlaces[[#This Row],[Canal]],tblCanales[#All],8,FALSE),tblPesosValorOperativo[Valor],tblPesosValorOperativo[Escalabilidad],0),0)</f>
        <v>0</v>
      </c>
      <c r="P34" s="53">
        <f>tblEnlaces[[#This Row],[Opacidad]]+tblEnlaces[[#This Row],[Escalabilidad]]+tblEnlaces[[#This Row],[Velocidad]]+tblEnlaces[[#This Row],[Trazabilidad]]</f>
        <v>9</v>
      </c>
    </row>
    <row r="35" spans="2:16" ht="16.5" customHeight="1" x14ac:dyDescent="0.25">
      <c r="B35" s="66" t="str">
        <f t="array" ref="B3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E008</v>
      </c>
      <c r="C35" s="10" t="s">
        <v>31</v>
      </c>
      <c r="D35" s="10" t="str">
        <f>VLOOKUP(tblEnlaces[[#This Row],[Nodo Inicial]],tblNodos[],2,FALSE)</f>
        <v>Financiación mediante coerción y exacción</v>
      </c>
      <c r="E35" s="39" t="s">
        <v>41</v>
      </c>
      <c r="F35" s="10" t="str">
        <f>VLOOKUP(tblEnlaces[[#This Row],[Nodo Final]],tblNodos[],2,FALSE)</f>
        <v>Recaudación directa</v>
      </c>
      <c r="G35" s="39" t="s">
        <v>252</v>
      </c>
      <c r="H35" s="39">
        <v>1</v>
      </c>
      <c r="I35" s="53">
        <f>IFERROR(_xlfn.XLOOKUP(VLOOKUP(tblEnlaces[[#This Row],[Canal]],tblCanales[#All],2,FALSE),tblPesosValorOperativo[Valor],tblPesosValorOperativo[Frecuencia de Uso],0),0)</f>
        <v>4</v>
      </c>
      <c r="J35" s="63">
        <f>IF(tblEnlaces[[#This Row],[Activo]]&lt;&gt;1,0,IFERROR(tblEnlaces[[#This Row],[Frecuencia de Uso]]/SUMIFS(tblEnlaces[Frecuencia de Uso],tblEnlaces[Enlace],tblEnlaces[[#This Row],[Enlace]],tblEnlaces[Activo],1),0))</f>
        <v>0.30769230769230771</v>
      </c>
      <c r="K35" s="62">
        <f>IFERROR(_xlfn.XLOOKUP(VLOOKUP(tblEnlaces[[#This Row],[Canal]],tblCanales[#All],3,FALSE),tblPesosCoste[Valor],tblPesosCoste[Peso],0),0)</f>
        <v>5</v>
      </c>
      <c r="L35" s="10">
        <f>IFERROR(_xlfn.XLOOKUP(VLOOKUP(tblEnlaces[[#This Row],[Canal]],tblCanales[#All],5,FALSE),tblPesosValorOperativo[Valor],tblPesosValorOperativo[Opacidad],0),0)</f>
        <v>3</v>
      </c>
      <c r="M35" s="14">
        <f>IFERROR(_xlfn.XLOOKUP(VLOOKUP(tblEnlaces[[#This Row],[Canal]],tblCanales[#All],6,FALSE),tblPesosValorOperativo[Valor],tblPesosValorOperativo[Trazabilidad],0),0)</f>
        <v>1</v>
      </c>
      <c r="N35" s="14">
        <f>IFERROR(_xlfn.XLOOKUP(VLOOKUP(tblEnlaces[[#This Row],[Canal]],tblCanales[#All],7,FALSE),tblPesosValorOperativo[Valor],tblPesosValorOperativo[Velocidad],0),0)</f>
        <v>5</v>
      </c>
      <c r="O35" s="14">
        <f>IFERROR(_xlfn.XLOOKUP(VLOOKUP(tblEnlaces[[#This Row],[Canal]],tblCanales[#All],8,FALSE),tblPesosValorOperativo[Valor],tblPesosValorOperativo[Escalabilidad],0),0)</f>
        <v>0</v>
      </c>
      <c r="P35" s="53">
        <f>tblEnlaces[[#This Row],[Opacidad]]+tblEnlaces[[#This Row],[Escalabilidad]]+tblEnlaces[[#This Row],[Velocidad]]+tblEnlaces[[#This Row],[Trazabilidad]]</f>
        <v>9</v>
      </c>
    </row>
    <row r="36" spans="2:16" ht="16.5" customHeight="1" x14ac:dyDescent="0.25">
      <c r="B36" s="66" t="str">
        <f t="array" ref="B3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E008</v>
      </c>
      <c r="C36" s="10" t="s">
        <v>31</v>
      </c>
      <c r="D36" s="10" t="str">
        <f>VLOOKUP(tblEnlaces[[#This Row],[Nodo Inicial]],tblNodos[],2,FALSE)</f>
        <v>Financiación mediante coerción y exacción</v>
      </c>
      <c r="E36" s="39" t="s">
        <v>41</v>
      </c>
      <c r="F36" s="10" t="str">
        <f>VLOOKUP(tblEnlaces[[#This Row],[Nodo Final]],tblNodos[],2,FALSE)</f>
        <v>Recaudación directa</v>
      </c>
      <c r="G36" s="39" t="s">
        <v>156</v>
      </c>
      <c r="H36" s="39">
        <v>1</v>
      </c>
      <c r="I36" s="53">
        <f>IFERROR(_xlfn.XLOOKUP(VLOOKUP(tblEnlaces[[#This Row],[Canal]],tblCanales[#All],2,FALSE),tblPesosValorOperativo[Valor],tblPesosValorOperativo[Frecuencia de Uso],0),0)</f>
        <v>5</v>
      </c>
      <c r="J36" s="63">
        <f>IF(tblEnlaces[[#This Row],[Activo]]&lt;&gt;1,0,IFERROR(tblEnlaces[[#This Row],[Frecuencia de Uso]]/SUMIFS(tblEnlaces[Frecuencia de Uso],tblEnlaces[Enlace],tblEnlaces[[#This Row],[Enlace]],tblEnlaces[Activo],1),0))</f>
        <v>0.38461538461538464</v>
      </c>
      <c r="K36" s="62">
        <f>IFERROR(_xlfn.XLOOKUP(VLOOKUP(tblEnlaces[[#This Row],[Canal]],tblCanales[#All],3,FALSE),tblPesosCoste[Valor],tblPesosCoste[Peso],0),0)</f>
        <v>5</v>
      </c>
      <c r="L36" s="10">
        <f>IFERROR(_xlfn.XLOOKUP(VLOOKUP(tblEnlaces[[#This Row],[Canal]],tblCanales[#All],5,FALSE),tblPesosValorOperativo[Valor],tblPesosValorOperativo[Opacidad],0),0)</f>
        <v>1</v>
      </c>
      <c r="M36" s="14">
        <f>IFERROR(_xlfn.XLOOKUP(VLOOKUP(tblEnlaces[[#This Row],[Canal]],tblCanales[#All],6,FALSE),tblPesosValorOperativo[Valor],tblPesosValorOperativo[Trazabilidad],0),0)</f>
        <v>1</v>
      </c>
      <c r="N36" s="14">
        <f>IFERROR(_xlfn.XLOOKUP(VLOOKUP(tblEnlaces[[#This Row],[Canal]],tblCanales[#All],7,FALSE),tblPesosValorOperativo[Valor],tblPesosValorOperativo[Velocidad],0),0)</f>
        <v>5</v>
      </c>
      <c r="O36" s="14">
        <f>IFERROR(_xlfn.XLOOKUP(VLOOKUP(tblEnlaces[[#This Row],[Canal]],tblCanales[#All],8,FALSE),tblPesosValorOperativo[Valor],tblPesosValorOperativo[Escalabilidad],0),0)</f>
        <v>0</v>
      </c>
      <c r="P36" s="53">
        <f>tblEnlaces[[#This Row],[Opacidad]]+tblEnlaces[[#This Row],[Escalabilidad]]+tblEnlaces[[#This Row],[Velocidad]]+tblEnlaces[[#This Row],[Trazabilidad]]</f>
        <v>7</v>
      </c>
    </row>
    <row r="37" spans="2:16" ht="16.5" customHeight="1" x14ac:dyDescent="0.25">
      <c r="B37" s="66" t="str">
        <f t="array" ref="B3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E009</v>
      </c>
      <c r="C37" s="10" t="s">
        <v>33</v>
      </c>
      <c r="D37" s="10" t="str">
        <f>VLOOKUP(tblEnlaces[[#This Row],[Nodo Inicial]],tblNodos[],2,FALSE)</f>
        <v>Explotación de personas y movilidad forzada</v>
      </c>
      <c r="E37" s="39" t="s">
        <v>41</v>
      </c>
      <c r="F37" s="10" t="str">
        <f>VLOOKUP(tblEnlaces[[#This Row],[Nodo Final]],tblNodos[],2,FALSE)</f>
        <v>Recaudación directa</v>
      </c>
      <c r="G37" s="39" t="s">
        <v>318</v>
      </c>
      <c r="H37" s="39">
        <v>1</v>
      </c>
      <c r="I37" s="53">
        <f>IFERROR(_xlfn.XLOOKUP(VLOOKUP(tblEnlaces[[#This Row],[Canal]],tblCanales[#All],2,FALSE),tblPesosValorOperativo[Valor],tblPesosValorOperativo[Frecuencia de Uso],0),0)</f>
        <v>2</v>
      </c>
      <c r="J37" s="63">
        <f>IF(tblEnlaces[[#This Row],[Activo]]&lt;&gt;1,0,IFERROR(tblEnlaces[[#This Row],[Frecuencia de Uso]]/SUMIFS(tblEnlaces[Frecuencia de Uso],tblEnlaces[Enlace],tblEnlaces[[#This Row],[Enlace]],tblEnlaces[Activo],1),0))</f>
        <v>0.4</v>
      </c>
      <c r="K37" s="62">
        <f>IFERROR(_xlfn.XLOOKUP(VLOOKUP(tblEnlaces[[#This Row],[Canal]],tblCanales[#All],3,FALSE),tblPesosCoste[Valor],tblPesosCoste[Peso],0),0)</f>
        <v>3</v>
      </c>
      <c r="L37" s="10">
        <f>IFERROR(_xlfn.XLOOKUP(VLOOKUP(tblEnlaces[[#This Row],[Canal]],tblCanales[#All],5,FALSE),tblPesosValorOperativo[Valor],tblPesosValorOperativo[Opacidad],0),0)</f>
        <v>1</v>
      </c>
      <c r="M37" s="14">
        <f>IFERROR(_xlfn.XLOOKUP(VLOOKUP(tblEnlaces[[#This Row],[Canal]],tblCanales[#All],6,FALSE),tblPesosValorOperativo[Valor],tblPesosValorOperativo[Trazabilidad],0),0)</f>
        <v>3</v>
      </c>
      <c r="N37" s="14">
        <f>IFERROR(_xlfn.XLOOKUP(VLOOKUP(tblEnlaces[[#This Row],[Canal]],tblCanales[#All],7,FALSE),tblPesosValorOperativo[Valor],tblPesosValorOperativo[Velocidad],0),0)</f>
        <v>3</v>
      </c>
      <c r="O37" s="14">
        <f>IFERROR(_xlfn.XLOOKUP(VLOOKUP(tblEnlaces[[#This Row],[Canal]],tblCanales[#All],8,FALSE),tblPesosValorOperativo[Valor],tblPesosValorOperativo[Escalabilidad],0),0)</f>
        <v>0</v>
      </c>
      <c r="P37" s="53">
        <f>tblEnlaces[[#This Row],[Opacidad]]+tblEnlaces[[#This Row],[Escalabilidad]]+tblEnlaces[[#This Row],[Velocidad]]+tblEnlaces[[#This Row],[Trazabilidad]]</f>
        <v>7</v>
      </c>
    </row>
    <row r="38" spans="2:16" ht="16.5" customHeight="1" x14ac:dyDescent="0.25">
      <c r="B38" s="66" t="str">
        <f t="array" ref="B3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E009</v>
      </c>
      <c r="C38" s="10" t="s">
        <v>33</v>
      </c>
      <c r="D38" s="10" t="str">
        <f>VLOOKUP(tblEnlaces[[#This Row],[Nodo Inicial]],tblNodos[],2,FALSE)</f>
        <v>Explotación de personas y movilidad forzada</v>
      </c>
      <c r="E38" s="39" t="s">
        <v>41</v>
      </c>
      <c r="F38" s="10" t="str">
        <f>VLOOKUP(tblEnlaces[[#This Row],[Nodo Final]],tblNodos[],2,FALSE)</f>
        <v>Recaudación directa</v>
      </c>
      <c r="G38" s="39" t="s">
        <v>324</v>
      </c>
      <c r="H38" s="39">
        <v>1</v>
      </c>
      <c r="I38" s="53">
        <f>IFERROR(_xlfn.XLOOKUP(VLOOKUP(tblEnlaces[[#This Row],[Canal]],tblCanales[#All],2,FALSE),tblPesosValorOperativo[Valor],tblPesosValorOperativo[Frecuencia de Uso],0),0)</f>
        <v>3</v>
      </c>
      <c r="J38" s="63">
        <f>IF(tblEnlaces[[#This Row],[Activo]]&lt;&gt;1,0,IFERROR(tblEnlaces[[#This Row],[Frecuencia de Uso]]/SUMIFS(tblEnlaces[Frecuencia de Uso],tblEnlaces[Enlace],tblEnlaces[[#This Row],[Enlace]],tblEnlaces[Activo],1),0))</f>
        <v>0.6</v>
      </c>
      <c r="K38" s="62">
        <f>IFERROR(_xlfn.XLOOKUP(VLOOKUP(tblEnlaces[[#This Row],[Canal]],tblCanales[#All],3,FALSE),tblPesosCoste[Valor],tblPesosCoste[Peso],0),0)</f>
        <v>5</v>
      </c>
      <c r="L38" s="10">
        <f>IFERROR(_xlfn.XLOOKUP(VLOOKUP(tblEnlaces[[#This Row],[Canal]],tblCanales[#All],5,FALSE),tblPesosValorOperativo[Valor],tblPesosValorOperativo[Opacidad],0),0)</f>
        <v>2</v>
      </c>
      <c r="M38" s="14">
        <f>IFERROR(_xlfn.XLOOKUP(VLOOKUP(tblEnlaces[[#This Row],[Canal]],tblCanales[#All],6,FALSE),tblPesosValorOperativo[Valor],tblPesosValorOperativo[Trazabilidad],0),0)</f>
        <v>3</v>
      </c>
      <c r="N38" s="14">
        <f>IFERROR(_xlfn.XLOOKUP(VLOOKUP(tblEnlaces[[#This Row],[Canal]],tblCanales[#All],7,FALSE),tblPesosValorOperativo[Valor],tblPesosValorOperativo[Velocidad],0),0)</f>
        <v>5</v>
      </c>
      <c r="O38" s="14">
        <f>IFERROR(_xlfn.XLOOKUP(VLOOKUP(tblEnlaces[[#This Row],[Canal]],tblCanales[#All],8,FALSE),tblPesosValorOperativo[Valor],tblPesosValorOperativo[Escalabilidad],0),0)</f>
        <v>0</v>
      </c>
      <c r="P38" s="53">
        <f>tblEnlaces[[#This Row],[Opacidad]]+tblEnlaces[[#This Row],[Escalabilidad]]+tblEnlaces[[#This Row],[Velocidad]]+tblEnlaces[[#This Row],[Trazabilidad]]</f>
        <v>10</v>
      </c>
    </row>
    <row r="39" spans="2:16" ht="16.5" customHeight="1" x14ac:dyDescent="0.25">
      <c r="B39" s="66" t="str">
        <f t="array" ref="B3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E010</v>
      </c>
      <c r="C39" s="10" t="s">
        <v>33</v>
      </c>
      <c r="D39" s="10" t="str">
        <f>VLOOKUP(tblEnlaces[[#This Row],[Nodo Inicial]],tblNodos[],2,FALSE)</f>
        <v>Explotación de personas y movilidad forzada</v>
      </c>
      <c r="E39" s="39" t="s">
        <v>75</v>
      </c>
      <c r="F39" s="10" t="str">
        <f>VLOOKUP(tblEnlaces[[#This Row],[Nodo Final]],tblNodos[],2,FALSE)</f>
        <v>Intermediarios de negociación y rescate</v>
      </c>
      <c r="G39" s="39" t="s">
        <v>312</v>
      </c>
      <c r="H39" s="39">
        <v>1</v>
      </c>
      <c r="I39" s="53">
        <f>IFERROR(_xlfn.XLOOKUP(VLOOKUP(tblEnlaces[[#This Row],[Canal]],tblCanales[#All],2,FALSE),tblPesosValorOperativo[Valor],tblPesosValorOperativo[Frecuencia de Uso],0),0)</f>
        <v>2</v>
      </c>
      <c r="J39" s="63">
        <f>IF(tblEnlaces[[#This Row],[Activo]]&lt;&gt;1,0,IFERROR(tblEnlaces[[#This Row],[Frecuencia de Uso]]/SUMIFS(tblEnlaces[Frecuencia de Uso],tblEnlaces[Enlace],tblEnlaces[[#This Row],[Enlace]],tblEnlaces[Activo],1),0))</f>
        <v>1</v>
      </c>
      <c r="K39" s="62">
        <f>IFERROR(_xlfn.XLOOKUP(VLOOKUP(tblEnlaces[[#This Row],[Canal]],tblCanales[#All],3,FALSE),tblPesosCoste[Valor],tblPesosCoste[Peso],0),0)</f>
        <v>2</v>
      </c>
      <c r="L39" s="10">
        <f>IFERROR(_xlfn.XLOOKUP(VLOOKUP(tblEnlaces[[#This Row],[Canal]],tblCanales[#All],5,FALSE),tblPesosValorOperativo[Valor],tblPesosValorOperativo[Opacidad],0),0)</f>
        <v>2</v>
      </c>
      <c r="M39" s="14">
        <f>IFERROR(_xlfn.XLOOKUP(VLOOKUP(tblEnlaces[[#This Row],[Canal]],tblCanales[#All],6,FALSE),tblPesosValorOperativo[Valor],tblPesosValorOperativo[Trazabilidad],0),0)</f>
        <v>4</v>
      </c>
      <c r="N39" s="14">
        <f>IFERROR(_xlfn.XLOOKUP(VLOOKUP(tblEnlaces[[#This Row],[Canal]],tblCanales[#All],7,FALSE),tblPesosValorOperativo[Valor],tblPesosValorOperativo[Velocidad],0),0)</f>
        <v>2</v>
      </c>
      <c r="O39" s="14">
        <f>IFERROR(_xlfn.XLOOKUP(VLOOKUP(tblEnlaces[[#This Row],[Canal]],tblCanales[#All],8,FALSE),tblPesosValorOperativo[Valor],tblPesosValorOperativo[Escalabilidad],0),0)</f>
        <v>0</v>
      </c>
      <c r="P39" s="53">
        <f>tblEnlaces[[#This Row],[Opacidad]]+tblEnlaces[[#This Row],[Escalabilidad]]+tblEnlaces[[#This Row],[Velocidad]]+tblEnlaces[[#This Row],[Trazabilidad]]</f>
        <v>8</v>
      </c>
    </row>
    <row r="40" spans="2:16" ht="16.5" customHeight="1" x14ac:dyDescent="0.25">
      <c r="B40" s="66" t="str">
        <f t="array" ref="B4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E011</v>
      </c>
      <c r="C40" s="10" t="s">
        <v>35</v>
      </c>
      <c r="D40" s="10" t="str">
        <f>VLOOKUP(tblEnlaces[[#This Row],[Nodo Inicial]],tblNodos[],2,FALSE)</f>
        <v>Actividades criminales y mercados ilícitos</v>
      </c>
      <c r="E40" s="39" t="s">
        <v>69</v>
      </c>
      <c r="F40" s="10" t="str">
        <f>VLOOKUP(tblEnlaces[[#This Row],[Nodo Final]],tblNodos[],2,FALSE)</f>
        <v>Intermediarios logísticos del contrabando</v>
      </c>
      <c r="G40" s="39" t="s">
        <v>330</v>
      </c>
      <c r="H40" s="39">
        <v>1</v>
      </c>
      <c r="I40" s="53">
        <f>IFERROR(_xlfn.XLOOKUP(VLOOKUP(tblEnlaces[[#This Row],[Canal]],tblCanales[#All],2,FALSE),tblPesosValorOperativo[Valor],tblPesosValorOperativo[Frecuencia de Uso],0),0)</f>
        <v>3</v>
      </c>
      <c r="J40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40" s="62">
        <f>IFERROR(_xlfn.XLOOKUP(VLOOKUP(tblEnlaces[[#This Row],[Canal]],tblCanales[#All],3,FALSE),tblPesosCoste[Valor],tblPesosCoste[Peso],0),0)</f>
        <v>2</v>
      </c>
      <c r="L40" s="10">
        <f>IFERROR(_xlfn.XLOOKUP(VLOOKUP(tblEnlaces[[#This Row],[Canal]],tblCanales[#All],5,FALSE),tblPesosValorOperativo[Valor],tblPesosValorOperativo[Opacidad],0),0)</f>
        <v>2</v>
      </c>
      <c r="M40" s="14">
        <f>IFERROR(_xlfn.XLOOKUP(VLOOKUP(tblEnlaces[[#This Row],[Canal]],tblCanales[#All],6,FALSE),tblPesosValorOperativo[Valor],tblPesosValorOperativo[Trazabilidad],0),0)</f>
        <v>3</v>
      </c>
      <c r="N40" s="14">
        <f>IFERROR(_xlfn.XLOOKUP(VLOOKUP(tblEnlaces[[#This Row],[Canal]],tblCanales[#All],7,FALSE),tblPesosValorOperativo[Valor],tblPesosValorOperativo[Velocidad],0),0)</f>
        <v>4</v>
      </c>
      <c r="O40" s="14">
        <f>IFERROR(_xlfn.XLOOKUP(VLOOKUP(tblEnlaces[[#This Row],[Canal]],tblCanales[#All],8,FALSE),tblPesosValorOperativo[Valor],tblPesosValorOperativo[Escalabilidad],0),0)</f>
        <v>0</v>
      </c>
      <c r="P40" s="53">
        <f>tblEnlaces[[#This Row],[Opacidad]]+tblEnlaces[[#This Row],[Escalabilidad]]+tblEnlaces[[#This Row],[Velocidad]]+tblEnlaces[[#This Row],[Trazabilidad]]</f>
        <v>9</v>
      </c>
    </row>
    <row r="41" spans="2:16" ht="16.5" customHeight="1" x14ac:dyDescent="0.25">
      <c r="B41" s="66" t="str">
        <f t="array" ref="B4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E011</v>
      </c>
      <c r="C41" s="10" t="s">
        <v>35</v>
      </c>
      <c r="D41" s="10" t="str">
        <f>VLOOKUP(tblEnlaces[[#This Row],[Nodo Inicial]],tblNodos[],2,FALSE)</f>
        <v>Actividades criminales y mercados ilícitos</v>
      </c>
      <c r="E41" s="39" t="s">
        <v>69</v>
      </c>
      <c r="F41" s="10" t="str">
        <f>VLOOKUP(tblEnlaces[[#This Row],[Nodo Final]],tblNodos[],2,FALSE)</f>
        <v>Intermediarios logísticos del contrabando</v>
      </c>
      <c r="G41" s="39" t="s">
        <v>336</v>
      </c>
      <c r="H41" s="39">
        <v>1</v>
      </c>
      <c r="I41" s="53">
        <f>IFERROR(_xlfn.XLOOKUP(VLOOKUP(tblEnlaces[[#This Row],[Canal]],tblCanales[#All],2,FALSE),tblPesosValorOperativo[Valor],tblPesosValorOperativo[Frecuencia de Uso],0),0)</f>
        <v>4</v>
      </c>
      <c r="J41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41" s="62">
        <f>IFERROR(_xlfn.XLOOKUP(VLOOKUP(tblEnlaces[[#This Row],[Canal]],tblCanales[#All],3,FALSE),tblPesosCoste[Valor],tblPesosCoste[Peso],0),0)</f>
        <v>3</v>
      </c>
      <c r="L41" s="10">
        <f>IFERROR(_xlfn.XLOOKUP(VLOOKUP(tblEnlaces[[#This Row],[Canal]],tblCanales[#All],5,FALSE),tblPesosValorOperativo[Valor],tblPesosValorOperativo[Opacidad],0),0)</f>
        <v>2</v>
      </c>
      <c r="M41" s="14">
        <f>IFERROR(_xlfn.XLOOKUP(VLOOKUP(tblEnlaces[[#This Row],[Canal]],tblCanales[#All],6,FALSE),tblPesosValorOperativo[Valor],tblPesosValorOperativo[Trazabilidad],0),0)</f>
        <v>3</v>
      </c>
      <c r="N41" s="14">
        <f>IFERROR(_xlfn.XLOOKUP(VLOOKUP(tblEnlaces[[#This Row],[Canal]],tblCanales[#All],7,FALSE),tblPesosValorOperativo[Valor],tblPesosValorOperativo[Velocidad],0),0)</f>
        <v>5</v>
      </c>
      <c r="O41" s="14">
        <f>IFERROR(_xlfn.XLOOKUP(VLOOKUP(tblEnlaces[[#This Row],[Canal]],tblCanales[#All],8,FALSE),tblPesosValorOperativo[Valor],tblPesosValorOperativo[Escalabilidad],0),0)</f>
        <v>0</v>
      </c>
      <c r="P41" s="53">
        <f>tblEnlaces[[#This Row],[Opacidad]]+tblEnlaces[[#This Row],[Escalabilidad]]+tblEnlaces[[#This Row],[Velocidad]]+tblEnlaces[[#This Row],[Trazabilidad]]</f>
        <v>10</v>
      </c>
    </row>
    <row r="42" spans="2:16" ht="16.5" customHeight="1" x14ac:dyDescent="0.25">
      <c r="B42" s="66" t="str">
        <f t="array" ref="B4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E011</v>
      </c>
      <c r="C42" s="10" t="s">
        <v>35</v>
      </c>
      <c r="D42" s="10" t="str">
        <f>VLOOKUP(tblEnlaces[[#This Row],[Nodo Inicial]],tblNodos[],2,FALSE)</f>
        <v>Actividades criminales y mercados ilícitos</v>
      </c>
      <c r="E42" s="39" t="s">
        <v>69</v>
      </c>
      <c r="F42" s="10" t="str">
        <f>VLOOKUP(tblEnlaces[[#This Row],[Nodo Final]],tblNodos[],2,FALSE)</f>
        <v>Intermediarios logísticos del contrabando</v>
      </c>
      <c r="G42" s="39" t="s">
        <v>342</v>
      </c>
      <c r="H42" s="39">
        <v>1</v>
      </c>
      <c r="I42" s="53">
        <f>IFERROR(_xlfn.XLOOKUP(VLOOKUP(tblEnlaces[[#This Row],[Canal]],tblCanales[#All],2,FALSE),tblPesosValorOperativo[Valor],tblPesosValorOperativo[Frecuencia de Uso],0),0)</f>
        <v>3</v>
      </c>
      <c r="J42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42" s="62">
        <f>IFERROR(_xlfn.XLOOKUP(VLOOKUP(tblEnlaces[[#This Row],[Canal]],tblCanales[#All],3,FALSE),tblPesosCoste[Valor],tblPesosCoste[Peso],0),0)</f>
        <v>3</v>
      </c>
      <c r="L42" s="10">
        <f>IFERROR(_xlfn.XLOOKUP(VLOOKUP(tblEnlaces[[#This Row],[Canal]],tblCanales[#All],5,FALSE),tblPesosValorOperativo[Valor],tblPesosValorOperativo[Opacidad],0),0)</f>
        <v>2</v>
      </c>
      <c r="M42" s="14">
        <f>IFERROR(_xlfn.XLOOKUP(VLOOKUP(tblEnlaces[[#This Row],[Canal]],tblCanales[#All],6,FALSE),tblPesosValorOperativo[Valor],tblPesosValorOperativo[Trazabilidad],0),0)</f>
        <v>3</v>
      </c>
      <c r="N42" s="14">
        <f>IFERROR(_xlfn.XLOOKUP(VLOOKUP(tblEnlaces[[#This Row],[Canal]],tblCanales[#All],7,FALSE),tblPesosValorOperativo[Valor],tblPesosValorOperativo[Velocidad],0),0)</f>
        <v>5</v>
      </c>
      <c r="O42" s="14">
        <f>IFERROR(_xlfn.XLOOKUP(VLOOKUP(tblEnlaces[[#This Row],[Canal]],tblCanales[#All],8,FALSE),tblPesosValorOperativo[Valor],tblPesosValorOperativo[Escalabilidad],0),0)</f>
        <v>0</v>
      </c>
      <c r="P42" s="53">
        <f>tblEnlaces[[#This Row],[Opacidad]]+tblEnlaces[[#This Row],[Escalabilidad]]+tblEnlaces[[#This Row],[Velocidad]]+tblEnlaces[[#This Row],[Trazabilidad]]</f>
        <v>10</v>
      </c>
    </row>
    <row r="43" spans="2:16" ht="16.5" customHeight="1" x14ac:dyDescent="0.25">
      <c r="B43" s="66" t="str">
        <f t="array" ref="B4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E011</v>
      </c>
      <c r="C43" s="10" t="s">
        <v>35</v>
      </c>
      <c r="D43" s="10" t="str">
        <f>VLOOKUP(tblEnlaces[[#This Row],[Nodo Inicial]],tblNodos[],2,FALSE)</f>
        <v>Actividades criminales y mercados ilícitos</v>
      </c>
      <c r="E43" s="39" t="s">
        <v>69</v>
      </c>
      <c r="F43" s="10" t="str">
        <f>VLOOKUP(tblEnlaces[[#This Row],[Nodo Final]],tblNodos[],2,FALSE)</f>
        <v>Intermediarios logísticos del contrabando</v>
      </c>
      <c r="G43" s="39" t="s">
        <v>348</v>
      </c>
      <c r="H43" s="39">
        <v>1</v>
      </c>
      <c r="I43" s="53">
        <f>IFERROR(_xlfn.XLOOKUP(VLOOKUP(tblEnlaces[[#This Row],[Canal]],tblCanales[#All],2,FALSE),tblPesosValorOperativo[Valor],tblPesosValorOperativo[Frecuencia de Uso],0),0)</f>
        <v>2</v>
      </c>
      <c r="J43" s="63">
        <f>IF(tblEnlaces[[#This Row],[Activo]]&lt;&gt;1,0,IFERROR(tblEnlaces[[#This Row],[Frecuencia de Uso]]/SUMIFS(tblEnlaces[Frecuencia de Uso],tblEnlaces[Enlace],tblEnlaces[[#This Row],[Enlace]],tblEnlaces[Activo],1),0))</f>
        <v>0.16666666666666666</v>
      </c>
      <c r="K43" s="62">
        <f>IFERROR(_xlfn.XLOOKUP(VLOOKUP(tblEnlaces[[#This Row],[Canal]],tblCanales[#All],3,FALSE),tblPesosCoste[Valor],tblPesosCoste[Peso],0),0)</f>
        <v>3</v>
      </c>
      <c r="L43" s="10">
        <f>IFERROR(_xlfn.XLOOKUP(VLOOKUP(tblEnlaces[[#This Row],[Canal]],tblCanales[#All],5,FALSE),tblPesosValorOperativo[Valor],tblPesosValorOperativo[Opacidad],0),0)</f>
        <v>3</v>
      </c>
      <c r="M43" s="14">
        <f>IFERROR(_xlfn.XLOOKUP(VLOOKUP(tblEnlaces[[#This Row],[Canal]],tblCanales[#All],6,FALSE),tblPesosValorOperativo[Valor],tblPesosValorOperativo[Trazabilidad],0),0)</f>
        <v>3</v>
      </c>
      <c r="N43" s="14">
        <f>IFERROR(_xlfn.XLOOKUP(VLOOKUP(tblEnlaces[[#This Row],[Canal]],tblCanales[#All],7,FALSE),tblPesosValorOperativo[Valor],tblPesosValorOperativo[Velocidad],0),0)</f>
        <v>5</v>
      </c>
      <c r="O43" s="14">
        <f>IFERROR(_xlfn.XLOOKUP(VLOOKUP(tblEnlaces[[#This Row],[Canal]],tblCanales[#All],8,FALSE),tblPesosValorOperativo[Valor],tblPesosValorOperativo[Escalabilidad],0),0)</f>
        <v>0</v>
      </c>
      <c r="P43" s="53">
        <f>tblEnlaces[[#This Row],[Opacidad]]+tblEnlaces[[#This Row],[Escalabilidad]]+tblEnlaces[[#This Row],[Velocidad]]+tblEnlaces[[#This Row],[Trazabilidad]]</f>
        <v>11</v>
      </c>
    </row>
    <row r="44" spans="2:16" ht="16.5" customHeight="1" x14ac:dyDescent="0.25">
      <c r="B44" s="66" t="str">
        <f t="array" ref="B4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E012</v>
      </c>
      <c r="C44" s="10" t="s">
        <v>37</v>
      </c>
      <c r="D44" s="10" t="str">
        <f>VLOOKUP(tblEnlaces[[#This Row],[Nodo Inicial]],tblNodos[],2,FALSE)</f>
        <v>Explotación de recursos naturales</v>
      </c>
      <c r="E44" s="39" t="s">
        <v>69</v>
      </c>
      <c r="F44" s="10" t="str">
        <f>VLOOKUP(tblEnlaces[[#This Row],[Nodo Final]],tblNodos[],2,FALSE)</f>
        <v>Intermediarios logísticos del contrabando</v>
      </c>
      <c r="G44" s="39" t="s">
        <v>330</v>
      </c>
      <c r="H44" s="39">
        <v>1</v>
      </c>
      <c r="I44" s="53">
        <f>IFERROR(_xlfn.XLOOKUP(VLOOKUP(tblEnlaces[[#This Row],[Canal]],tblCanales[#All],2,FALSE),tblPesosValorOperativo[Valor],tblPesosValorOperativo[Frecuencia de Uso],0),0)</f>
        <v>3</v>
      </c>
      <c r="J44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44" s="62">
        <f>IFERROR(_xlfn.XLOOKUP(VLOOKUP(tblEnlaces[[#This Row],[Canal]],tblCanales[#All],3,FALSE),tblPesosCoste[Valor],tblPesosCoste[Peso],0),0)</f>
        <v>2</v>
      </c>
      <c r="L44" s="10">
        <f>IFERROR(_xlfn.XLOOKUP(VLOOKUP(tblEnlaces[[#This Row],[Canal]],tblCanales[#All],5,FALSE),tblPesosValorOperativo[Valor],tblPesosValorOperativo[Opacidad],0),0)</f>
        <v>2</v>
      </c>
      <c r="M44" s="14">
        <f>IFERROR(_xlfn.XLOOKUP(VLOOKUP(tblEnlaces[[#This Row],[Canal]],tblCanales[#All],6,FALSE),tblPesosValorOperativo[Valor],tblPesosValorOperativo[Trazabilidad],0),0)</f>
        <v>3</v>
      </c>
      <c r="N44" s="14">
        <f>IFERROR(_xlfn.XLOOKUP(VLOOKUP(tblEnlaces[[#This Row],[Canal]],tblCanales[#All],7,FALSE),tblPesosValorOperativo[Valor],tblPesosValorOperativo[Velocidad],0),0)</f>
        <v>4</v>
      </c>
      <c r="O44" s="14">
        <f>IFERROR(_xlfn.XLOOKUP(VLOOKUP(tblEnlaces[[#This Row],[Canal]],tblCanales[#All],8,FALSE),tblPesosValorOperativo[Valor],tblPesosValorOperativo[Escalabilidad],0),0)</f>
        <v>0</v>
      </c>
      <c r="P44" s="53">
        <f>tblEnlaces[[#This Row],[Opacidad]]+tblEnlaces[[#This Row],[Escalabilidad]]+tblEnlaces[[#This Row],[Velocidad]]+tblEnlaces[[#This Row],[Trazabilidad]]</f>
        <v>9</v>
      </c>
    </row>
    <row r="45" spans="2:16" ht="16.5" customHeight="1" x14ac:dyDescent="0.25">
      <c r="B45" s="66" t="str">
        <f t="array" ref="B4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E012</v>
      </c>
      <c r="C45" s="10" t="s">
        <v>37</v>
      </c>
      <c r="D45" s="10" t="str">
        <f>VLOOKUP(tblEnlaces[[#This Row],[Nodo Inicial]],tblNodos[],2,FALSE)</f>
        <v>Explotación de recursos naturales</v>
      </c>
      <c r="E45" s="39" t="s">
        <v>69</v>
      </c>
      <c r="F45" s="10" t="str">
        <f>VLOOKUP(tblEnlaces[[#This Row],[Nodo Final]],tblNodos[],2,FALSE)</f>
        <v>Intermediarios logísticos del contrabando</v>
      </c>
      <c r="G45" s="39" t="s">
        <v>336</v>
      </c>
      <c r="H45" s="39">
        <v>1</v>
      </c>
      <c r="I45" s="53">
        <f>IFERROR(_xlfn.XLOOKUP(VLOOKUP(tblEnlaces[[#This Row],[Canal]],tblCanales[#All],2,FALSE),tblPesosValorOperativo[Valor],tblPesosValorOperativo[Frecuencia de Uso],0),0)</f>
        <v>4</v>
      </c>
      <c r="J45" s="63">
        <f>IF(tblEnlaces[[#This Row],[Activo]]&lt;&gt;1,0,IFERROR(tblEnlaces[[#This Row],[Frecuencia de Uso]]/SUMIFS(tblEnlaces[Frecuencia de Uso],tblEnlaces[Enlace],tblEnlaces[[#This Row],[Enlace]],tblEnlaces[Activo],1),0))</f>
        <v>0.26666666666666666</v>
      </c>
      <c r="K45" s="62">
        <f>IFERROR(_xlfn.XLOOKUP(VLOOKUP(tblEnlaces[[#This Row],[Canal]],tblCanales[#All],3,FALSE),tblPesosCoste[Valor],tblPesosCoste[Peso],0),0)</f>
        <v>3</v>
      </c>
      <c r="L45" s="10">
        <f>IFERROR(_xlfn.XLOOKUP(VLOOKUP(tblEnlaces[[#This Row],[Canal]],tblCanales[#All],5,FALSE),tblPesosValorOperativo[Valor],tblPesosValorOperativo[Opacidad],0),0)</f>
        <v>2</v>
      </c>
      <c r="M45" s="14">
        <f>IFERROR(_xlfn.XLOOKUP(VLOOKUP(tblEnlaces[[#This Row],[Canal]],tblCanales[#All],6,FALSE),tblPesosValorOperativo[Valor],tblPesosValorOperativo[Trazabilidad],0),0)</f>
        <v>3</v>
      </c>
      <c r="N45" s="14">
        <f>IFERROR(_xlfn.XLOOKUP(VLOOKUP(tblEnlaces[[#This Row],[Canal]],tblCanales[#All],7,FALSE),tblPesosValorOperativo[Valor],tblPesosValorOperativo[Velocidad],0),0)</f>
        <v>5</v>
      </c>
      <c r="O45" s="14">
        <f>IFERROR(_xlfn.XLOOKUP(VLOOKUP(tblEnlaces[[#This Row],[Canal]],tblCanales[#All],8,FALSE),tblPesosValorOperativo[Valor],tblPesosValorOperativo[Escalabilidad],0),0)</f>
        <v>0</v>
      </c>
      <c r="P45" s="53">
        <f>tblEnlaces[[#This Row],[Opacidad]]+tblEnlaces[[#This Row],[Escalabilidad]]+tblEnlaces[[#This Row],[Velocidad]]+tblEnlaces[[#This Row],[Trazabilidad]]</f>
        <v>10</v>
      </c>
    </row>
    <row r="46" spans="2:16" ht="16.5" customHeight="1" x14ac:dyDescent="0.25">
      <c r="B46" s="66" t="str">
        <f t="array" ref="B4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E012</v>
      </c>
      <c r="C46" s="10" t="s">
        <v>37</v>
      </c>
      <c r="D46" s="10" t="str">
        <f>VLOOKUP(tblEnlaces[[#This Row],[Nodo Inicial]],tblNodos[],2,FALSE)</f>
        <v>Explotación de recursos naturales</v>
      </c>
      <c r="E46" s="39" t="s">
        <v>69</v>
      </c>
      <c r="F46" s="10" t="str">
        <f>VLOOKUP(tblEnlaces[[#This Row],[Nodo Final]],tblNodos[],2,FALSE)</f>
        <v>Intermediarios logísticos del contrabando</v>
      </c>
      <c r="G46" s="39" t="s">
        <v>342</v>
      </c>
      <c r="H46" s="39">
        <v>1</v>
      </c>
      <c r="I46" s="53">
        <f>IFERROR(_xlfn.XLOOKUP(VLOOKUP(tblEnlaces[[#This Row],[Canal]],tblCanales[#All],2,FALSE),tblPesosValorOperativo[Valor],tblPesosValorOperativo[Frecuencia de Uso],0),0)</f>
        <v>3</v>
      </c>
      <c r="J46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46" s="62">
        <f>IFERROR(_xlfn.XLOOKUP(VLOOKUP(tblEnlaces[[#This Row],[Canal]],tblCanales[#All],3,FALSE),tblPesosCoste[Valor],tblPesosCoste[Peso],0),0)</f>
        <v>3</v>
      </c>
      <c r="L46" s="10">
        <f>IFERROR(_xlfn.XLOOKUP(VLOOKUP(tblEnlaces[[#This Row],[Canal]],tblCanales[#All],5,FALSE),tblPesosValorOperativo[Valor],tblPesosValorOperativo[Opacidad],0),0)</f>
        <v>2</v>
      </c>
      <c r="M46" s="14">
        <f>IFERROR(_xlfn.XLOOKUP(VLOOKUP(tblEnlaces[[#This Row],[Canal]],tblCanales[#All],6,FALSE),tblPesosValorOperativo[Valor],tblPesosValorOperativo[Trazabilidad],0),0)</f>
        <v>3</v>
      </c>
      <c r="N46" s="14">
        <f>IFERROR(_xlfn.XLOOKUP(VLOOKUP(tblEnlaces[[#This Row],[Canal]],tblCanales[#All],7,FALSE),tblPesosValorOperativo[Valor],tblPesosValorOperativo[Velocidad],0),0)</f>
        <v>5</v>
      </c>
      <c r="O46" s="14">
        <f>IFERROR(_xlfn.XLOOKUP(VLOOKUP(tblEnlaces[[#This Row],[Canal]],tblCanales[#All],8,FALSE),tblPesosValorOperativo[Valor],tblPesosValorOperativo[Escalabilidad],0),0)</f>
        <v>0</v>
      </c>
      <c r="P46" s="53">
        <f>tblEnlaces[[#This Row],[Opacidad]]+tblEnlaces[[#This Row],[Escalabilidad]]+tblEnlaces[[#This Row],[Velocidad]]+tblEnlaces[[#This Row],[Trazabilidad]]</f>
        <v>10</v>
      </c>
    </row>
    <row r="47" spans="2:16" ht="16.5" customHeight="1" x14ac:dyDescent="0.25">
      <c r="B47" s="66" t="str">
        <f t="array" ref="B4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E012</v>
      </c>
      <c r="C47" s="10" t="s">
        <v>37</v>
      </c>
      <c r="D47" s="10" t="str">
        <f>VLOOKUP(tblEnlaces[[#This Row],[Nodo Inicial]],tblNodos[],2,FALSE)</f>
        <v>Explotación de recursos naturales</v>
      </c>
      <c r="E47" s="39" t="s">
        <v>69</v>
      </c>
      <c r="F47" s="10" t="str">
        <f>VLOOKUP(tblEnlaces[[#This Row],[Nodo Final]],tblNodos[],2,FALSE)</f>
        <v>Intermediarios logísticos del contrabando</v>
      </c>
      <c r="G47" s="39" t="s">
        <v>354</v>
      </c>
      <c r="H47" s="39">
        <v>1</v>
      </c>
      <c r="I47" s="53">
        <f>IFERROR(_xlfn.XLOOKUP(VLOOKUP(tblEnlaces[[#This Row],[Canal]],tblCanales[#All],2,FALSE),tblPesosValorOperativo[Valor],tblPesosValorOperativo[Frecuencia de Uso],0),0)</f>
        <v>2</v>
      </c>
      <c r="J47" s="63">
        <f>IF(tblEnlaces[[#This Row],[Activo]]&lt;&gt;1,0,IFERROR(tblEnlaces[[#This Row],[Frecuencia de Uso]]/SUMIFS(tblEnlaces[Frecuencia de Uso],tblEnlaces[Enlace],tblEnlaces[[#This Row],[Enlace]],tblEnlaces[Activo],1),0))</f>
        <v>0.13333333333333333</v>
      </c>
      <c r="K47" s="62">
        <f>IFERROR(_xlfn.XLOOKUP(VLOOKUP(tblEnlaces[[#This Row],[Canal]],tblCanales[#All],3,FALSE),tblPesosCoste[Valor],tblPesosCoste[Peso],0),0)</f>
        <v>2</v>
      </c>
      <c r="L47" s="10">
        <f>IFERROR(_xlfn.XLOOKUP(VLOOKUP(tblEnlaces[[#This Row],[Canal]],tblCanales[#All],5,FALSE),tblPesosValorOperativo[Valor],tblPesosValorOperativo[Opacidad],0),0)</f>
        <v>3</v>
      </c>
      <c r="M47" s="14">
        <f>IFERROR(_xlfn.XLOOKUP(VLOOKUP(tblEnlaces[[#This Row],[Canal]],tblCanales[#All],6,FALSE),tblPesosValorOperativo[Valor],tblPesosValorOperativo[Trazabilidad],0),0)</f>
        <v>3</v>
      </c>
      <c r="N47" s="14">
        <f>IFERROR(_xlfn.XLOOKUP(VLOOKUP(tblEnlaces[[#This Row],[Canal]],tblCanales[#All],7,FALSE),tblPesosValorOperativo[Valor],tblPesosValorOperativo[Velocidad],0),0)</f>
        <v>5</v>
      </c>
      <c r="O47" s="14">
        <f>IFERROR(_xlfn.XLOOKUP(VLOOKUP(tblEnlaces[[#This Row],[Canal]],tblCanales[#All],8,FALSE),tblPesosValorOperativo[Valor],tblPesosValorOperativo[Escalabilidad],0),0)</f>
        <v>0</v>
      </c>
      <c r="P47" s="53">
        <f>tblEnlaces[[#This Row],[Opacidad]]+tblEnlaces[[#This Row],[Escalabilidad]]+tblEnlaces[[#This Row],[Velocidad]]+tblEnlaces[[#This Row],[Trazabilidad]]</f>
        <v>11</v>
      </c>
    </row>
    <row r="48" spans="2:16" ht="16.5" customHeight="1" x14ac:dyDescent="0.25">
      <c r="B48" s="66" t="str">
        <f t="array" ref="B4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E012</v>
      </c>
      <c r="C48" s="10" t="s">
        <v>37</v>
      </c>
      <c r="D48" s="10" t="str">
        <f>VLOOKUP(tblEnlaces[[#This Row],[Nodo Inicial]],tblNodos[],2,FALSE)</f>
        <v>Explotación de recursos naturales</v>
      </c>
      <c r="E48" s="39" t="s">
        <v>69</v>
      </c>
      <c r="F48" s="10" t="str">
        <f>VLOOKUP(tblEnlaces[[#This Row],[Nodo Final]],tblNodos[],2,FALSE)</f>
        <v>Intermediarios logísticos del contrabando</v>
      </c>
      <c r="G48" s="39" t="s">
        <v>360</v>
      </c>
      <c r="H48" s="39">
        <v>1</v>
      </c>
      <c r="I48" s="53">
        <f>IFERROR(_xlfn.XLOOKUP(VLOOKUP(tblEnlaces[[#This Row],[Canal]],tblCanales[#All],2,FALSE),tblPesosValorOperativo[Valor],tblPesosValorOperativo[Frecuencia de Uso],0),0)</f>
        <v>3</v>
      </c>
      <c r="J48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48" s="62">
        <f>IFERROR(_xlfn.XLOOKUP(VLOOKUP(tblEnlaces[[#This Row],[Canal]],tblCanales[#All],3,FALSE),tblPesosCoste[Valor],tblPesosCoste[Peso],0),0)</f>
        <v>3</v>
      </c>
      <c r="L48" s="10">
        <f>IFERROR(_xlfn.XLOOKUP(VLOOKUP(tblEnlaces[[#This Row],[Canal]],tblCanales[#All],5,FALSE),tblPesosValorOperativo[Valor],tblPesosValorOperativo[Opacidad],0),0)</f>
        <v>3</v>
      </c>
      <c r="M48" s="14">
        <f>IFERROR(_xlfn.XLOOKUP(VLOOKUP(tblEnlaces[[#This Row],[Canal]],tblCanales[#All],6,FALSE),tblPesosValorOperativo[Valor],tblPesosValorOperativo[Trazabilidad],0),0)</f>
        <v>3</v>
      </c>
      <c r="N48" s="14">
        <f>IFERROR(_xlfn.XLOOKUP(VLOOKUP(tblEnlaces[[#This Row],[Canal]],tblCanales[#All],7,FALSE),tblPesosValorOperativo[Valor],tblPesosValorOperativo[Velocidad],0),0)</f>
        <v>5</v>
      </c>
      <c r="O48" s="14">
        <f>IFERROR(_xlfn.XLOOKUP(VLOOKUP(tblEnlaces[[#This Row],[Canal]],tblCanales[#All],8,FALSE),tblPesosValorOperativo[Valor],tblPesosValorOperativo[Escalabilidad],0),0)</f>
        <v>0</v>
      </c>
      <c r="P48" s="53">
        <f>tblEnlaces[[#This Row],[Opacidad]]+tblEnlaces[[#This Row],[Escalabilidad]]+tblEnlaces[[#This Row],[Velocidad]]+tblEnlaces[[#This Row],[Trazabilidad]]</f>
        <v>11</v>
      </c>
    </row>
    <row r="49" spans="2:16" ht="16.5" customHeight="1" x14ac:dyDescent="0.25">
      <c r="B49" s="66" t="str">
        <f t="array" ref="B4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E013</v>
      </c>
      <c r="C49" s="10" t="s">
        <v>37</v>
      </c>
      <c r="D49" s="10" t="str">
        <f>VLOOKUP(tblEnlaces[[#This Row],[Nodo Inicial]],tblNodos[],2,FALSE)</f>
        <v>Explotación de recursos naturales</v>
      </c>
      <c r="E49" s="39" t="s">
        <v>41</v>
      </c>
      <c r="F49" s="10" t="str">
        <f>VLOOKUP(tblEnlaces[[#This Row],[Nodo Final]],tblNodos[],2,FALSE)</f>
        <v>Recaudación directa</v>
      </c>
      <c r="G49" s="39" t="s">
        <v>156</v>
      </c>
      <c r="H49" s="39">
        <v>1</v>
      </c>
      <c r="I49" s="53">
        <f>IFERROR(_xlfn.XLOOKUP(VLOOKUP(tblEnlaces[[#This Row],[Canal]],tblCanales[#All],2,FALSE),tblPesosValorOperativo[Valor],tblPesosValorOperativo[Frecuencia de Uso],0),0)</f>
        <v>5</v>
      </c>
      <c r="J49" s="63">
        <f>IF(tblEnlaces[[#This Row],[Activo]]&lt;&gt;1,0,IFERROR(tblEnlaces[[#This Row],[Frecuencia de Uso]]/SUMIFS(tblEnlaces[Frecuencia de Uso],tblEnlaces[Enlace],tblEnlaces[[#This Row],[Enlace]],tblEnlaces[Activo],1),0))</f>
        <v>1</v>
      </c>
      <c r="K49" s="62">
        <f>IFERROR(_xlfn.XLOOKUP(VLOOKUP(tblEnlaces[[#This Row],[Canal]],tblCanales[#All],3,FALSE),tblPesosCoste[Valor],tblPesosCoste[Peso],0),0)</f>
        <v>5</v>
      </c>
      <c r="L49" s="10">
        <f>IFERROR(_xlfn.XLOOKUP(VLOOKUP(tblEnlaces[[#This Row],[Canal]],tblCanales[#All],5,FALSE),tblPesosValorOperativo[Valor],tblPesosValorOperativo[Opacidad],0),0)</f>
        <v>1</v>
      </c>
      <c r="M49" s="14">
        <f>IFERROR(_xlfn.XLOOKUP(VLOOKUP(tblEnlaces[[#This Row],[Canal]],tblCanales[#All],6,FALSE),tblPesosValorOperativo[Valor],tblPesosValorOperativo[Trazabilidad],0),0)</f>
        <v>1</v>
      </c>
      <c r="N49" s="14">
        <f>IFERROR(_xlfn.XLOOKUP(VLOOKUP(tblEnlaces[[#This Row],[Canal]],tblCanales[#All],7,FALSE),tblPesosValorOperativo[Valor],tblPesosValorOperativo[Velocidad],0),0)</f>
        <v>5</v>
      </c>
      <c r="O49" s="14">
        <f>IFERROR(_xlfn.XLOOKUP(VLOOKUP(tblEnlaces[[#This Row],[Canal]],tblCanales[#All],8,FALSE),tblPesosValorOperativo[Valor],tblPesosValorOperativo[Escalabilidad],0),0)</f>
        <v>0</v>
      </c>
      <c r="P49" s="53">
        <f>tblEnlaces[[#This Row],[Opacidad]]+tblEnlaces[[#This Row],[Escalabilidad]]+tblEnlaces[[#This Row],[Velocidad]]+tblEnlaces[[#This Row],[Trazabilidad]]</f>
        <v>7</v>
      </c>
    </row>
    <row r="50" spans="2:16" ht="16.5" customHeight="1" x14ac:dyDescent="0.25">
      <c r="B50" s="66" t="str">
        <f t="array" ref="B5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E014</v>
      </c>
      <c r="C50" s="10" t="s">
        <v>39</v>
      </c>
      <c r="D50" s="10" t="str">
        <f>VLOOKUP(tblEnlaces[[#This Row],[Nodo Inicial]],tblNodos[],2,FALSE)</f>
        <v>Valor digital</v>
      </c>
      <c r="E50" s="39" t="s">
        <v>65</v>
      </c>
      <c r="F50" s="10" t="str">
        <f>VLOOKUP(tblEnlaces[[#This Row],[Nodo Final]],tblNodos[],2,FALSE)</f>
        <v>Intermediarios de activos virtuales y conversión</v>
      </c>
      <c r="G50" s="39" t="s">
        <v>174</v>
      </c>
      <c r="H50" s="39">
        <v>1</v>
      </c>
      <c r="I50" s="53">
        <f>IFERROR(_xlfn.XLOOKUP(VLOOKUP(tblEnlaces[[#This Row],[Canal]],tblCanales[#All],2,FALSE),tblPesosValorOperativo[Valor],tblPesosValorOperativo[Frecuencia de Uso],0),0)</f>
        <v>3</v>
      </c>
      <c r="J50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50" s="62">
        <f>IFERROR(_xlfn.XLOOKUP(VLOOKUP(tblEnlaces[[#This Row],[Canal]],tblCanales[#All],3,FALSE),tblPesosCoste[Valor],tblPesosCoste[Peso],0),0)</f>
        <v>5</v>
      </c>
      <c r="L50" s="10">
        <f>IFERROR(_xlfn.XLOOKUP(VLOOKUP(tblEnlaces[[#This Row],[Canal]],tblCanales[#All],5,FALSE),tblPesosValorOperativo[Valor],tblPesosValorOperativo[Opacidad],0),0)</f>
        <v>3</v>
      </c>
      <c r="M50" s="14">
        <f>IFERROR(_xlfn.XLOOKUP(VLOOKUP(tblEnlaces[[#This Row],[Canal]],tblCanales[#All],6,FALSE),tblPesosValorOperativo[Valor],tblPesosValorOperativo[Trazabilidad],0),0)</f>
        <v>1</v>
      </c>
      <c r="N50" s="14">
        <f>IFERROR(_xlfn.XLOOKUP(VLOOKUP(tblEnlaces[[#This Row],[Canal]],tblCanales[#All],7,FALSE),tblPesosValorOperativo[Valor],tblPesosValorOperativo[Velocidad],0),0)</f>
        <v>5</v>
      </c>
      <c r="O50" s="14">
        <f>IFERROR(_xlfn.XLOOKUP(VLOOKUP(tblEnlaces[[#This Row],[Canal]],tblCanales[#All],8,FALSE),tblPesosValorOperativo[Valor],tblPesosValorOperativo[Escalabilidad],0),0)</f>
        <v>0</v>
      </c>
      <c r="P50" s="53">
        <f>tblEnlaces[[#This Row],[Opacidad]]+tblEnlaces[[#This Row],[Escalabilidad]]+tblEnlaces[[#This Row],[Velocidad]]+tblEnlaces[[#This Row],[Trazabilidad]]</f>
        <v>9</v>
      </c>
    </row>
    <row r="51" spans="2:16" ht="16.5" customHeight="1" x14ac:dyDescent="0.25">
      <c r="B51" s="66" t="str">
        <f t="array" ref="B5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E014</v>
      </c>
      <c r="C51" s="10" t="s">
        <v>39</v>
      </c>
      <c r="D51" s="10" t="str">
        <f>VLOOKUP(tblEnlaces[[#This Row],[Nodo Inicial]],tblNodos[],2,FALSE)</f>
        <v>Valor digital</v>
      </c>
      <c r="E51" s="39" t="s">
        <v>65</v>
      </c>
      <c r="F51" s="10" t="str">
        <f>VLOOKUP(tblEnlaces[[#This Row],[Nodo Final]],tblNodos[],2,FALSE)</f>
        <v>Intermediarios de activos virtuales y conversión</v>
      </c>
      <c r="G51" s="39" t="s">
        <v>258</v>
      </c>
      <c r="H51" s="39">
        <v>1</v>
      </c>
      <c r="I51" s="53">
        <f>IFERROR(_xlfn.XLOOKUP(VLOOKUP(tblEnlaces[[#This Row],[Canal]],tblCanales[#All],2,FALSE),tblPesosValorOperativo[Valor],tblPesosValorOperativo[Frecuencia de Uso],0),0)</f>
        <v>2</v>
      </c>
      <c r="J51" s="63">
        <f>IF(tblEnlaces[[#This Row],[Activo]]&lt;&gt;1,0,IFERROR(tblEnlaces[[#This Row],[Frecuencia de Uso]]/SUMIFS(tblEnlaces[Frecuencia de Uso],tblEnlaces[Enlace],tblEnlaces[[#This Row],[Enlace]],tblEnlaces[Activo],1),0))</f>
        <v>0.22222222222222221</v>
      </c>
      <c r="K51" s="62">
        <f>IFERROR(_xlfn.XLOOKUP(VLOOKUP(tblEnlaces[[#This Row],[Canal]],tblCanales[#All],3,FALSE),tblPesosCoste[Valor],tblPesosCoste[Peso],0),0)</f>
        <v>3</v>
      </c>
      <c r="L51" s="10">
        <f>IFERROR(_xlfn.XLOOKUP(VLOOKUP(tblEnlaces[[#This Row],[Canal]],tblCanales[#All],5,FALSE),tblPesosValorOperativo[Valor],tblPesosValorOperativo[Opacidad],0),0)</f>
        <v>1</v>
      </c>
      <c r="M51" s="14">
        <f>IFERROR(_xlfn.XLOOKUP(VLOOKUP(tblEnlaces[[#This Row],[Canal]],tblCanales[#All],6,FALSE),tblPesosValorOperativo[Valor],tblPesosValorOperativo[Trazabilidad],0),0)</f>
        <v>2</v>
      </c>
      <c r="N51" s="14">
        <f>IFERROR(_xlfn.XLOOKUP(VLOOKUP(tblEnlaces[[#This Row],[Canal]],tblCanales[#All],7,FALSE),tblPesosValorOperativo[Valor],tblPesosValorOperativo[Velocidad],0),0)</f>
        <v>5</v>
      </c>
      <c r="O51" s="14">
        <f>IFERROR(_xlfn.XLOOKUP(VLOOKUP(tblEnlaces[[#This Row],[Canal]],tblCanales[#All],8,FALSE),tblPesosValorOperativo[Valor],tblPesosValorOperativo[Escalabilidad],0),0)</f>
        <v>0</v>
      </c>
      <c r="P51" s="53">
        <f>tblEnlaces[[#This Row],[Opacidad]]+tblEnlaces[[#This Row],[Escalabilidad]]+tblEnlaces[[#This Row],[Velocidad]]+tblEnlaces[[#This Row],[Trazabilidad]]</f>
        <v>8</v>
      </c>
    </row>
    <row r="52" spans="2:16" ht="16.5" customHeight="1" x14ac:dyDescent="0.25">
      <c r="B52" s="66" t="str">
        <f t="array" ref="B5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E014</v>
      </c>
      <c r="C52" s="10" t="s">
        <v>39</v>
      </c>
      <c r="D52" s="10" t="str">
        <f>VLOOKUP(tblEnlaces[[#This Row],[Nodo Inicial]],tblNodos[],2,FALSE)</f>
        <v>Valor digital</v>
      </c>
      <c r="E52" s="39" t="s">
        <v>65</v>
      </c>
      <c r="F52" s="10" t="str">
        <f>VLOOKUP(tblEnlaces[[#This Row],[Nodo Final]],tblNodos[],2,FALSE)</f>
        <v>Intermediarios de activos virtuales y conversión</v>
      </c>
      <c r="G52" s="39" t="s">
        <v>228</v>
      </c>
      <c r="H52" s="39">
        <v>1</v>
      </c>
      <c r="I52" s="53">
        <f>IFERROR(_xlfn.XLOOKUP(VLOOKUP(tblEnlaces[[#This Row],[Canal]],tblCanales[#All],2,FALSE),tblPesosValorOperativo[Valor],tblPesosValorOperativo[Frecuencia de Uso],0),0)</f>
        <v>2</v>
      </c>
      <c r="J52" s="63">
        <f>IF(tblEnlaces[[#This Row],[Activo]]&lt;&gt;1,0,IFERROR(tblEnlaces[[#This Row],[Frecuencia de Uso]]/SUMIFS(tblEnlaces[Frecuencia de Uso],tblEnlaces[Enlace],tblEnlaces[[#This Row],[Enlace]],tblEnlaces[Activo],1),0))</f>
        <v>0.22222222222222221</v>
      </c>
      <c r="K52" s="62">
        <f>IFERROR(_xlfn.XLOOKUP(VLOOKUP(tblEnlaces[[#This Row],[Canal]],tblCanales[#All],3,FALSE),tblPesosCoste[Valor],tblPesosCoste[Peso],0),0)</f>
        <v>3</v>
      </c>
      <c r="L52" s="10">
        <f>IFERROR(_xlfn.XLOOKUP(VLOOKUP(tblEnlaces[[#This Row],[Canal]],tblCanales[#All],5,FALSE),tblPesosValorOperativo[Valor],tblPesosValorOperativo[Opacidad],0),0)</f>
        <v>3</v>
      </c>
      <c r="M52" s="14">
        <f>IFERROR(_xlfn.XLOOKUP(VLOOKUP(tblEnlaces[[#This Row],[Canal]],tblCanales[#All],6,FALSE),tblPesosValorOperativo[Valor],tblPesosValorOperativo[Trazabilidad],0),0)</f>
        <v>1</v>
      </c>
      <c r="N52" s="14">
        <f>IFERROR(_xlfn.XLOOKUP(VLOOKUP(tblEnlaces[[#This Row],[Canal]],tblCanales[#All],7,FALSE),tblPesosValorOperativo[Valor],tblPesosValorOperativo[Velocidad],0),0)</f>
        <v>3</v>
      </c>
      <c r="O52" s="14">
        <f>IFERROR(_xlfn.XLOOKUP(VLOOKUP(tblEnlaces[[#This Row],[Canal]],tblCanales[#All],8,FALSE),tblPesosValorOperativo[Valor],tblPesosValorOperativo[Escalabilidad],0),0)</f>
        <v>0</v>
      </c>
      <c r="P52" s="53">
        <f>tblEnlaces[[#This Row],[Opacidad]]+tblEnlaces[[#This Row],[Escalabilidad]]+tblEnlaces[[#This Row],[Velocidad]]+tblEnlaces[[#This Row],[Trazabilidad]]</f>
        <v>7</v>
      </c>
    </row>
    <row r="53" spans="2:16" ht="16.5" customHeight="1" x14ac:dyDescent="0.25">
      <c r="B53" s="66" t="str">
        <f t="array" ref="B5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E014</v>
      </c>
      <c r="C53" s="10" t="s">
        <v>39</v>
      </c>
      <c r="D53" s="10" t="str">
        <f>VLOOKUP(tblEnlaces[[#This Row],[Nodo Inicial]],tblNodos[],2,FALSE)</f>
        <v>Valor digital</v>
      </c>
      <c r="E53" s="39" t="s">
        <v>65</v>
      </c>
      <c r="F53" s="10" t="str">
        <f>VLOOKUP(tblEnlaces[[#This Row],[Nodo Final]],tblNodos[],2,FALSE)</f>
        <v>Intermediarios de activos virtuales y conversión</v>
      </c>
      <c r="G53" s="39" t="s">
        <v>168</v>
      </c>
      <c r="H53" s="39">
        <v>1</v>
      </c>
      <c r="I53" s="53">
        <f>IFERROR(_xlfn.XLOOKUP(VLOOKUP(tblEnlaces[[#This Row],[Canal]],tblCanales[#All],2,FALSE),tblPesosValorOperativo[Valor],tblPesosValorOperativo[Frecuencia de Uso],0),0)</f>
        <v>2</v>
      </c>
      <c r="J53" s="63">
        <f>IF(tblEnlaces[[#This Row],[Activo]]&lt;&gt;1,0,IFERROR(tblEnlaces[[#This Row],[Frecuencia de Uso]]/SUMIFS(tblEnlaces[Frecuencia de Uso],tblEnlaces[Enlace],tblEnlaces[[#This Row],[Enlace]],tblEnlaces[Activo],1),0))</f>
        <v>0.22222222222222221</v>
      </c>
      <c r="K53" s="62">
        <f>IFERROR(_xlfn.XLOOKUP(VLOOKUP(tblEnlaces[[#This Row],[Canal]],tblCanales[#All],3,FALSE),tblPesosCoste[Valor],tblPesosCoste[Peso],0),0)</f>
        <v>4</v>
      </c>
      <c r="L53" s="10">
        <f>IFERROR(_xlfn.XLOOKUP(VLOOKUP(tblEnlaces[[#This Row],[Canal]],tblCanales[#All],5,FALSE),tblPesosValorOperativo[Valor],tblPesosValorOperativo[Opacidad],0),0)</f>
        <v>4</v>
      </c>
      <c r="M53" s="14">
        <f>IFERROR(_xlfn.XLOOKUP(VLOOKUP(tblEnlaces[[#This Row],[Canal]],tblCanales[#All],6,FALSE),tblPesosValorOperativo[Valor],tblPesosValorOperativo[Trazabilidad],0),0)</f>
        <v>1</v>
      </c>
      <c r="N53" s="14">
        <f>IFERROR(_xlfn.XLOOKUP(VLOOKUP(tblEnlaces[[#This Row],[Canal]],tblCanales[#All],7,FALSE),tblPesosValorOperativo[Valor],tblPesosValorOperativo[Velocidad],0),0)</f>
        <v>5</v>
      </c>
      <c r="O53" s="14">
        <f>IFERROR(_xlfn.XLOOKUP(VLOOKUP(tblEnlaces[[#This Row],[Canal]],tblCanales[#All],8,FALSE),tblPesosValorOperativo[Valor],tblPesosValorOperativo[Escalabilidad],0),0)</f>
        <v>0</v>
      </c>
      <c r="P53" s="53">
        <f>tblEnlaces[[#This Row],[Opacidad]]+tblEnlaces[[#This Row],[Escalabilidad]]+tblEnlaces[[#This Row],[Velocidad]]+tblEnlaces[[#This Row],[Trazabilidad]]</f>
        <v>10</v>
      </c>
    </row>
    <row r="54" spans="2:16" ht="16.5" customHeight="1" x14ac:dyDescent="0.25">
      <c r="B54" s="66" t="str">
        <f t="array" ref="B5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E015</v>
      </c>
      <c r="C54" s="10" t="s">
        <v>39</v>
      </c>
      <c r="D54" s="10" t="str">
        <f>VLOOKUP(tblEnlaces[[#This Row],[Nodo Inicial]],tblNodos[],2,FALSE)</f>
        <v>Valor digital</v>
      </c>
      <c r="E54" s="39" t="s">
        <v>47</v>
      </c>
      <c r="F54" s="10" t="str">
        <f>VLOOKUP(tblEnlaces[[#This Row],[Nodo Final]],tblNodos[],2,FALSE)</f>
        <v>Colectores digitales instrumentales</v>
      </c>
      <c r="G54" s="39" t="s">
        <v>180</v>
      </c>
      <c r="H54" s="39">
        <v>1</v>
      </c>
      <c r="I54" s="53">
        <f>IFERROR(_xlfn.XLOOKUP(VLOOKUP(tblEnlaces[[#This Row],[Canal]],tblCanales[#All],2,FALSE),tblPesosValorOperativo[Valor],tblPesosValorOperativo[Frecuencia de Uso],0),0)</f>
        <v>4</v>
      </c>
      <c r="J54" s="63">
        <f>IF(tblEnlaces[[#This Row],[Activo]]&lt;&gt;1,0,IFERROR(tblEnlaces[[#This Row],[Frecuencia de Uso]]/SUMIFS(tblEnlaces[Frecuencia de Uso],tblEnlaces[Enlace],tblEnlaces[[#This Row],[Enlace]],tblEnlaces[Activo],1),0))</f>
        <v>0.30769230769230771</v>
      </c>
      <c r="K54" s="62">
        <f>IFERROR(_xlfn.XLOOKUP(VLOOKUP(tblEnlaces[[#This Row],[Canal]],tblCanales[#All],3,FALSE),tblPesosCoste[Valor],tblPesosCoste[Peso],0),0)</f>
        <v>5</v>
      </c>
      <c r="L54" s="10">
        <f>IFERROR(_xlfn.XLOOKUP(VLOOKUP(tblEnlaces[[#This Row],[Canal]],tblCanales[#All],5,FALSE),tblPesosValorOperativo[Valor],tblPesosValorOperativo[Opacidad],0),0)</f>
        <v>3</v>
      </c>
      <c r="M54" s="14">
        <f>IFERROR(_xlfn.XLOOKUP(VLOOKUP(tblEnlaces[[#This Row],[Canal]],tblCanales[#All],6,FALSE),tblPesosValorOperativo[Valor],tblPesosValorOperativo[Trazabilidad],0),0)</f>
        <v>1</v>
      </c>
      <c r="N54" s="14">
        <f>IFERROR(_xlfn.XLOOKUP(VLOOKUP(tblEnlaces[[#This Row],[Canal]],tblCanales[#All],7,FALSE),tblPesosValorOperativo[Valor],tblPesosValorOperativo[Velocidad],0),0)</f>
        <v>5</v>
      </c>
      <c r="O54" s="14">
        <f>IFERROR(_xlfn.XLOOKUP(VLOOKUP(tblEnlaces[[#This Row],[Canal]],tblCanales[#All],8,FALSE),tblPesosValorOperativo[Valor],tblPesosValorOperativo[Escalabilidad],0),0)</f>
        <v>0</v>
      </c>
      <c r="P54" s="53">
        <f>tblEnlaces[[#This Row],[Opacidad]]+tblEnlaces[[#This Row],[Escalabilidad]]+tblEnlaces[[#This Row],[Velocidad]]+tblEnlaces[[#This Row],[Trazabilidad]]</f>
        <v>9</v>
      </c>
    </row>
    <row r="55" spans="2:16" ht="16.5" customHeight="1" x14ac:dyDescent="0.25">
      <c r="B55" s="66" t="str">
        <f t="array" ref="B5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E015</v>
      </c>
      <c r="C55" s="10" t="s">
        <v>39</v>
      </c>
      <c r="D55" s="10" t="str">
        <f>VLOOKUP(tblEnlaces[[#This Row],[Nodo Inicial]],tblNodos[],2,FALSE)</f>
        <v>Valor digital</v>
      </c>
      <c r="E55" s="39" t="s">
        <v>47</v>
      </c>
      <c r="F55" s="10" t="str">
        <f>VLOOKUP(tblEnlaces[[#This Row],[Nodo Final]],tblNodos[],2,FALSE)</f>
        <v>Colectores digitales instrumentales</v>
      </c>
      <c r="G55" s="39" t="s">
        <v>252</v>
      </c>
      <c r="H55" s="39">
        <v>1</v>
      </c>
      <c r="I55" s="53">
        <f>IFERROR(_xlfn.XLOOKUP(VLOOKUP(tblEnlaces[[#This Row],[Canal]],tblCanales[#All],2,FALSE),tblPesosValorOperativo[Valor],tblPesosValorOperativo[Frecuencia de Uso],0),0)</f>
        <v>4</v>
      </c>
      <c r="J55" s="63">
        <f>IF(tblEnlaces[[#This Row],[Activo]]&lt;&gt;1,0,IFERROR(tblEnlaces[[#This Row],[Frecuencia de Uso]]/SUMIFS(tblEnlaces[Frecuencia de Uso],tblEnlaces[Enlace],tblEnlaces[[#This Row],[Enlace]],tblEnlaces[Activo],1),0))</f>
        <v>0.30769230769230771</v>
      </c>
      <c r="K55" s="62">
        <f>IFERROR(_xlfn.XLOOKUP(VLOOKUP(tblEnlaces[[#This Row],[Canal]],tblCanales[#All],3,FALSE),tblPesosCoste[Valor],tblPesosCoste[Peso],0),0)</f>
        <v>5</v>
      </c>
      <c r="L55" s="10">
        <f>IFERROR(_xlfn.XLOOKUP(VLOOKUP(tblEnlaces[[#This Row],[Canal]],tblCanales[#All],5,FALSE),tblPesosValorOperativo[Valor],tblPesosValorOperativo[Opacidad],0),0)</f>
        <v>3</v>
      </c>
      <c r="M55" s="14">
        <f>IFERROR(_xlfn.XLOOKUP(VLOOKUP(tblEnlaces[[#This Row],[Canal]],tblCanales[#All],6,FALSE),tblPesosValorOperativo[Valor],tblPesosValorOperativo[Trazabilidad],0),0)</f>
        <v>1</v>
      </c>
      <c r="N55" s="14">
        <f>IFERROR(_xlfn.XLOOKUP(VLOOKUP(tblEnlaces[[#This Row],[Canal]],tblCanales[#All],7,FALSE),tblPesosValorOperativo[Valor],tblPesosValorOperativo[Velocidad],0),0)</f>
        <v>5</v>
      </c>
      <c r="O55" s="14">
        <f>IFERROR(_xlfn.XLOOKUP(VLOOKUP(tblEnlaces[[#This Row],[Canal]],tblCanales[#All],8,FALSE),tblPesosValorOperativo[Valor],tblPesosValorOperativo[Escalabilidad],0),0)</f>
        <v>0</v>
      </c>
      <c r="P55" s="53">
        <f>tblEnlaces[[#This Row],[Opacidad]]+tblEnlaces[[#This Row],[Escalabilidad]]+tblEnlaces[[#This Row],[Velocidad]]+tblEnlaces[[#This Row],[Trazabilidad]]</f>
        <v>9</v>
      </c>
    </row>
    <row r="56" spans="2:16" ht="16.5" customHeight="1" x14ac:dyDescent="0.25">
      <c r="B56" s="66" t="str">
        <f t="array" ref="B5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E015</v>
      </c>
      <c r="C56" s="10" t="s">
        <v>39</v>
      </c>
      <c r="D56" s="10" t="str">
        <f>VLOOKUP(tblEnlaces[[#This Row],[Nodo Inicial]],tblNodos[],2,FALSE)</f>
        <v>Valor digital</v>
      </c>
      <c r="E56" s="39" t="s">
        <v>47</v>
      </c>
      <c r="F56" s="10" t="str">
        <f>VLOOKUP(tblEnlaces[[#This Row],[Nodo Final]],tblNodos[],2,FALSE)</f>
        <v>Colectores digitales instrumentales</v>
      </c>
      <c r="G56" s="39" t="s">
        <v>174</v>
      </c>
      <c r="H56" s="39">
        <v>1</v>
      </c>
      <c r="I56" s="53">
        <f>IFERROR(_xlfn.XLOOKUP(VLOOKUP(tblEnlaces[[#This Row],[Canal]],tblCanales[#All],2,FALSE),tblPesosValorOperativo[Valor],tblPesosValorOperativo[Frecuencia de Uso],0),0)</f>
        <v>3</v>
      </c>
      <c r="J56" s="63">
        <f>IF(tblEnlaces[[#This Row],[Activo]]&lt;&gt;1,0,IFERROR(tblEnlaces[[#This Row],[Frecuencia de Uso]]/SUMIFS(tblEnlaces[Frecuencia de Uso],tblEnlaces[Enlace],tblEnlaces[[#This Row],[Enlace]],tblEnlaces[Activo],1),0))</f>
        <v>0.23076923076923078</v>
      </c>
      <c r="K56" s="62">
        <f>IFERROR(_xlfn.XLOOKUP(VLOOKUP(tblEnlaces[[#This Row],[Canal]],tblCanales[#All],3,FALSE),tblPesosCoste[Valor],tblPesosCoste[Peso],0),0)</f>
        <v>5</v>
      </c>
      <c r="L56" s="10">
        <f>IFERROR(_xlfn.XLOOKUP(VLOOKUP(tblEnlaces[[#This Row],[Canal]],tblCanales[#All],5,FALSE),tblPesosValorOperativo[Valor],tblPesosValorOperativo[Opacidad],0),0)</f>
        <v>3</v>
      </c>
      <c r="M56" s="14">
        <f>IFERROR(_xlfn.XLOOKUP(VLOOKUP(tblEnlaces[[#This Row],[Canal]],tblCanales[#All],6,FALSE),tblPesosValorOperativo[Valor],tblPesosValorOperativo[Trazabilidad],0),0)</f>
        <v>1</v>
      </c>
      <c r="N56" s="14">
        <f>IFERROR(_xlfn.XLOOKUP(VLOOKUP(tblEnlaces[[#This Row],[Canal]],tblCanales[#All],7,FALSE),tblPesosValorOperativo[Valor],tblPesosValorOperativo[Velocidad],0),0)</f>
        <v>5</v>
      </c>
      <c r="O56" s="14">
        <f>IFERROR(_xlfn.XLOOKUP(VLOOKUP(tblEnlaces[[#This Row],[Canal]],tblCanales[#All],8,FALSE),tblPesosValorOperativo[Valor],tblPesosValorOperativo[Escalabilidad],0),0)</f>
        <v>0</v>
      </c>
      <c r="P56" s="53">
        <f>tblEnlaces[[#This Row],[Opacidad]]+tblEnlaces[[#This Row],[Escalabilidad]]+tblEnlaces[[#This Row],[Velocidad]]+tblEnlaces[[#This Row],[Trazabilidad]]</f>
        <v>9</v>
      </c>
    </row>
    <row r="57" spans="2:16" ht="16.5" customHeight="1" x14ac:dyDescent="0.25">
      <c r="B57" s="66" t="str">
        <f t="array" ref="B5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E015</v>
      </c>
      <c r="C57" s="10" t="s">
        <v>39</v>
      </c>
      <c r="D57" s="10" t="str">
        <f>VLOOKUP(tblEnlaces[[#This Row],[Nodo Inicial]],tblNodos[],2,FALSE)</f>
        <v>Valor digital</v>
      </c>
      <c r="E57" s="39" t="s">
        <v>47</v>
      </c>
      <c r="F57" s="10" t="str">
        <f>VLOOKUP(tblEnlaces[[#This Row],[Nodo Final]],tblNodos[],2,FALSE)</f>
        <v>Colectores digitales instrumentales</v>
      </c>
      <c r="G57" s="39" t="s">
        <v>198</v>
      </c>
      <c r="H57" s="39">
        <v>1</v>
      </c>
      <c r="I57" s="53">
        <f>IFERROR(_xlfn.XLOOKUP(VLOOKUP(tblEnlaces[[#This Row],[Canal]],tblCanales[#All],2,FALSE),tblPesosValorOperativo[Valor],tblPesosValorOperativo[Frecuencia de Uso],0),0)</f>
        <v>2</v>
      </c>
      <c r="J57" s="63">
        <f>IF(tblEnlaces[[#This Row],[Activo]]&lt;&gt;1,0,IFERROR(tblEnlaces[[#This Row],[Frecuencia de Uso]]/SUMIFS(tblEnlaces[Frecuencia de Uso],tblEnlaces[Enlace],tblEnlaces[[#This Row],[Enlace]],tblEnlaces[Activo],1),0))</f>
        <v>0.15384615384615385</v>
      </c>
      <c r="K57" s="62">
        <f>IFERROR(_xlfn.XLOOKUP(VLOOKUP(tblEnlaces[[#This Row],[Canal]],tblCanales[#All],3,FALSE),tblPesosCoste[Valor],tblPesosCoste[Peso],0),0)</f>
        <v>5</v>
      </c>
      <c r="L57" s="10">
        <f>IFERROR(_xlfn.XLOOKUP(VLOOKUP(tblEnlaces[[#This Row],[Canal]],tblCanales[#All],5,FALSE),tblPesosValorOperativo[Valor],tblPesosValorOperativo[Opacidad],0),0)</f>
        <v>3</v>
      </c>
      <c r="M57" s="14">
        <f>IFERROR(_xlfn.XLOOKUP(VLOOKUP(tblEnlaces[[#This Row],[Canal]],tblCanales[#All],6,FALSE),tblPesosValorOperativo[Valor],tblPesosValorOperativo[Trazabilidad],0),0)</f>
        <v>3</v>
      </c>
      <c r="N57" s="14">
        <f>IFERROR(_xlfn.XLOOKUP(VLOOKUP(tblEnlaces[[#This Row],[Canal]],tblCanales[#All],7,FALSE),tblPesosValorOperativo[Valor],tblPesosValorOperativo[Velocidad],0),0)</f>
        <v>4</v>
      </c>
      <c r="O57" s="14">
        <f>IFERROR(_xlfn.XLOOKUP(VLOOKUP(tblEnlaces[[#This Row],[Canal]],tblCanales[#All],8,FALSE),tblPesosValorOperativo[Valor],tblPesosValorOperativo[Escalabilidad],0),0)</f>
        <v>0</v>
      </c>
      <c r="P57" s="53">
        <f>tblEnlaces[[#This Row],[Opacidad]]+tblEnlaces[[#This Row],[Escalabilidad]]+tblEnlaces[[#This Row],[Velocidad]]+tblEnlaces[[#This Row],[Trazabilidad]]</f>
        <v>10</v>
      </c>
    </row>
    <row r="58" spans="2:16" ht="16.5" customHeight="1" x14ac:dyDescent="0.25">
      <c r="B58" s="66" t="str">
        <f t="array" ref="B5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E016</v>
      </c>
      <c r="C58" s="10" t="s">
        <v>41</v>
      </c>
      <c r="D58" s="10" t="str">
        <f>VLOOKUP(tblEnlaces[[#This Row],[Nodo Inicial]],tblNodos[],2,FALSE)</f>
        <v>Recaudación directa</v>
      </c>
      <c r="E58" s="39" t="s">
        <v>53</v>
      </c>
      <c r="F58" s="10" t="str">
        <f>VLOOKUP(tblEnlaces[[#This Row],[Nodo Final]],tblNodos[],2,FALSE)</f>
        <v>Intermediarios físicos de transporte de valor</v>
      </c>
      <c r="G58" s="39" t="s">
        <v>156</v>
      </c>
      <c r="H58" s="39">
        <v>1</v>
      </c>
      <c r="I58" s="53">
        <f>IFERROR(_xlfn.XLOOKUP(VLOOKUP(tblEnlaces[[#This Row],[Canal]],tblCanales[#All],2,FALSE),tblPesosValorOperativo[Valor],tblPesosValorOperativo[Frecuencia de Uso],0),0)</f>
        <v>5</v>
      </c>
      <c r="J58" s="63">
        <f>IF(tblEnlaces[[#This Row],[Activo]]&lt;&gt;1,0,IFERROR(tblEnlaces[[#This Row],[Frecuencia de Uso]]/SUMIFS(tblEnlaces[Frecuencia de Uso],tblEnlaces[Enlace],tblEnlaces[[#This Row],[Enlace]],tblEnlaces[Activo],1),0))</f>
        <v>0.38461538461538464</v>
      </c>
      <c r="K58" s="62">
        <f>IFERROR(_xlfn.XLOOKUP(VLOOKUP(tblEnlaces[[#This Row],[Canal]],tblCanales[#All],3,FALSE),tblPesosCoste[Valor],tblPesosCoste[Peso],0),0)</f>
        <v>5</v>
      </c>
      <c r="L58" s="10">
        <f>IFERROR(_xlfn.XLOOKUP(VLOOKUP(tblEnlaces[[#This Row],[Canal]],tblCanales[#All],5,FALSE),tblPesosValorOperativo[Valor],tblPesosValorOperativo[Opacidad],0),0)</f>
        <v>1</v>
      </c>
      <c r="M58" s="14">
        <f>IFERROR(_xlfn.XLOOKUP(VLOOKUP(tblEnlaces[[#This Row],[Canal]],tblCanales[#All],6,FALSE),tblPesosValorOperativo[Valor],tblPesosValorOperativo[Trazabilidad],0),0)</f>
        <v>1</v>
      </c>
      <c r="N58" s="14">
        <f>IFERROR(_xlfn.XLOOKUP(VLOOKUP(tblEnlaces[[#This Row],[Canal]],tblCanales[#All],7,FALSE),tblPesosValorOperativo[Valor],tblPesosValorOperativo[Velocidad],0),0)</f>
        <v>5</v>
      </c>
      <c r="O58" s="14">
        <f>IFERROR(_xlfn.XLOOKUP(VLOOKUP(tblEnlaces[[#This Row],[Canal]],tblCanales[#All],8,FALSE),tblPesosValorOperativo[Valor],tblPesosValorOperativo[Escalabilidad],0),0)</f>
        <v>0</v>
      </c>
      <c r="P58" s="53">
        <f>tblEnlaces[[#This Row],[Opacidad]]+tblEnlaces[[#This Row],[Escalabilidad]]+tblEnlaces[[#This Row],[Velocidad]]+tblEnlaces[[#This Row],[Trazabilidad]]</f>
        <v>7</v>
      </c>
    </row>
    <row r="59" spans="2:16" ht="16.5" customHeight="1" x14ac:dyDescent="0.25">
      <c r="B59" s="66" t="str">
        <f t="array" ref="B5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E016</v>
      </c>
      <c r="C59" s="10" t="s">
        <v>41</v>
      </c>
      <c r="D59" s="10" t="str">
        <f>VLOOKUP(tblEnlaces[[#This Row],[Nodo Inicial]],tblNodos[],2,FALSE)</f>
        <v>Recaudación directa</v>
      </c>
      <c r="E59" s="39" t="s">
        <v>53</v>
      </c>
      <c r="F59" s="10" t="str">
        <f>VLOOKUP(tblEnlaces[[#This Row],[Nodo Final]],tblNodos[],2,FALSE)</f>
        <v>Intermediarios físicos de transporte de valor</v>
      </c>
      <c r="G59" s="39" t="s">
        <v>432</v>
      </c>
      <c r="H59" s="39">
        <v>1</v>
      </c>
      <c r="I59" s="53">
        <f>IFERROR(_xlfn.XLOOKUP(VLOOKUP(tblEnlaces[[#This Row],[Canal]],tblCanales[#All],2,FALSE),tblPesosValorOperativo[Valor],tblPesosValorOperativo[Frecuencia de Uso],0),0)</f>
        <v>4</v>
      </c>
      <c r="J59" s="63">
        <f>IF(tblEnlaces[[#This Row],[Activo]]&lt;&gt;1,0,IFERROR(tblEnlaces[[#This Row],[Frecuencia de Uso]]/SUMIFS(tblEnlaces[Frecuencia de Uso],tblEnlaces[Enlace],tblEnlaces[[#This Row],[Enlace]],tblEnlaces[Activo],1),0))</f>
        <v>0.30769230769230771</v>
      </c>
      <c r="K59" s="62">
        <f>IFERROR(_xlfn.XLOOKUP(VLOOKUP(tblEnlaces[[#This Row],[Canal]],tblCanales[#All],3,FALSE),tblPesosCoste[Valor],tblPesosCoste[Peso],0),0)</f>
        <v>3</v>
      </c>
      <c r="L59" s="10">
        <f>IFERROR(_xlfn.XLOOKUP(VLOOKUP(tblEnlaces[[#This Row],[Canal]],tblCanales[#All],5,FALSE),tblPesosValorOperativo[Valor],tblPesosValorOperativo[Opacidad],0),0)</f>
        <v>2</v>
      </c>
      <c r="M59" s="14">
        <f>IFERROR(_xlfn.XLOOKUP(VLOOKUP(tblEnlaces[[#This Row],[Canal]],tblCanales[#All],6,FALSE),tblPesosValorOperativo[Valor],tblPesosValorOperativo[Trazabilidad],0),0)</f>
        <v>3</v>
      </c>
      <c r="N59" s="14">
        <f>IFERROR(_xlfn.XLOOKUP(VLOOKUP(tblEnlaces[[#This Row],[Canal]],tblCanales[#All],7,FALSE),tblPesosValorOperativo[Valor],tblPesosValorOperativo[Velocidad],0),0)</f>
        <v>4</v>
      </c>
      <c r="O59" s="14">
        <f>IFERROR(_xlfn.XLOOKUP(VLOOKUP(tblEnlaces[[#This Row],[Canal]],tblCanales[#All],8,FALSE),tblPesosValorOperativo[Valor],tblPesosValorOperativo[Escalabilidad],0),0)</f>
        <v>0</v>
      </c>
      <c r="P59" s="53">
        <f>tblEnlaces[[#This Row],[Opacidad]]+tblEnlaces[[#This Row],[Escalabilidad]]+tblEnlaces[[#This Row],[Velocidad]]+tblEnlaces[[#This Row],[Trazabilidad]]</f>
        <v>9</v>
      </c>
    </row>
    <row r="60" spans="2:16" ht="16.5" customHeight="1" x14ac:dyDescent="0.25">
      <c r="B60" s="66" t="str">
        <f t="array" ref="B6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E016</v>
      </c>
      <c r="C60" s="10" t="s">
        <v>41</v>
      </c>
      <c r="D60" s="10" t="str">
        <f>VLOOKUP(tblEnlaces[[#This Row],[Nodo Inicial]],tblNodos[],2,FALSE)</f>
        <v>Recaudación directa</v>
      </c>
      <c r="E60" s="39" t="s">
        <v>53</v>
      </c>
      <c r="F60" s="10" t="str">
        <f>VLOOKUP(tblEnlaces[[#This Row],[Nodo Final]],tblNodos[],2,FALSE)</f>
        <v>Intermediarios físicos de transporte de valor</v>
      </c>
      <c r="G60" s="39" t="s">
        <v>438</v>
      </c>
      <c r="H60" s="39">
        <v>1</v>
      </c>
      <c r="I60" s="53">
        <f>IFERROR(_xlfn.XLOOKUP(VLOOKUP(tblEnlaces[[#This Row],[Canal]],tblCanales[#All],2,FALSE),tblPesosValorOperativo[Valor],tblPesosValorOperativo[Frecuencia de Uso],0),0)</f>
        <v>4</v>
      </c>
      <c r="J60" s="63">
        <f>IF(tblEnlaces[[#This Row],[Activo]]&lt;&gt;1,0,IFERROR(tblEnlaces[[#This Row],[Frecuencia de Uso]]/SUMIFS(tblEnlaces[Frecuencia de Uso],tblEnlaces[Enlace],tblEnlaces[[#This Row],[Enlace]],tblEnlaces[Activo],1),0))</f>
        <v>0.30769230769230771</v>
      </c>
      <c r="K60" s="62">
        <f>IFERROR(_xlfn.XLOOKUP(VLOOKUP(tblEnlaces[[#This Row],[Canal]],tblCanales[#All],3,FALSE),tblPesosCoste[Valor],tblPesosCoste[Peso],0),0)</f>
        <v>3</v>
      </c>
      <c r="L60" s="10">
        <f>IFERROR(_xlfn.XLOOKUP(VLOOKUP(tblEnlaces[[#This Row],[Canal]],tblCanales[#All],5,FALSE),tblPesosValorOperativo[Valor],tblPesosValorOperativo[Opacidad],0),0)</f>
        <v>2</v>
      </c>
      <c r="M60" s="14">
        <f>IFERROR(_xlfn.XLOOKUP(VLOOKUP(tblEnlaces[[#This Row],[Canal]],tblCanales[#All],6,FALSE),tblPesosValorOperativo[Valor],tblPesosValorOperativo[Trazabilidad],0),0)</f>
        <v>3</v>
      </c>
      <c r="N60" s="14">
        <f>IFERROR(_xlfn.XLOOKUP(VLOOKUP(tblEnlaces[[#This Row],[Canal]],tblCanales[#All],7,FALSE),tblPesosValorOperativo[Valor],tblPesosValorOperativo[Velocidad],0),0)</f>
        <v>3</v>
      </c>
      <c r="O60" s="14">
        <f>IFERROR(_xlfn.XLOOKUP(VLOOKUP(tblEnlaces[[#This Row],[Canal]],tblCanales[#All],8,FALSE),tblPesosValorOperativo[Valor],tblPesosValorOperativo[Escalabilidad],0),0)</f>
        <v>0</v>
      </c>
      <c r="P60" s="53">
        <f>tblEnlaces[[#This Row],[Opacidad]]+tblEnlaces[[#This Row],[Escalabilidad]]+tblEnlaces[[#This Row],[Velocidad]]+tblEnlaces[[#This Row],[Trazabilidad]]</f>
        <v>8</v>
      </c>
    </row>
    <row r="61" spans="2:16" ht="16.5" customHeight="1" x14ac:dyDescent="0.25">
      <c r="B61" s="66" t="str">
        <f t="array" ref="B6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E017</v>
      </c>
      <c r="C61" s="10" t="s">
        <v>41</v>
      </c>
      <c r="D61" s="10" t="str">
        <f>VLOOKUP(tblEnlaces[[#This Row],[Nodo Inicial]],tblNodos[],2,FALSE)</f>
        <v>Recaudación directa</v>
      </c>
      <c r="E61" s="39" t="s">
        <v>77</v>
      </c>
      <c r="F61" s="10" t="str">
        <f>VLOOKUP(tblEnlaces[[#This Row],[Nodo Final]],tblNodos[],2,FALSE)</f>
        <v>Dirección financiera</v>
      </c>
      <c r="G61" s="39" t="s">
        <v>156</v>
      </c>
      <c r="H61" s="39">
        <v>1</v>
      </c>
      <c r="I61" s="53">
        <f>IFERROR(_xlfn.XLOOKUP(VLOOKUP(tblEnlaces[[#This Row],[Canal]],tblCanales[#All],2,FALSE),tblPesosValorOperativo[Valor],tblPesosValorOperativo[Frecuencia de Uso],0),0)</f>
        <v>5</v>
      </c>
      <c r="J61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61" s="62">
        <f>IFERROR(_xlfn.XLOOKUP(VLOOKUP(tblEnlaces[[#This Row],[Canal]],tblCanales[#All],3,FALSE),tblPesosCoste[Valor],tblPesosCoste[Peso],0),0)</f>
        <v>5</v>
      </c>
      <c r="L61" s="10">
        <f>IFERROR(_xlfn.XLOOKUP(VLOOKUP(tblEnlaces[[#This Row],[Canal]],tblCanales[#All],5,FALSE),tblPesosValorOperativo[Valor],tblPesosValorOperativo[Opacidad],0),0)</f>
        <v>1</v>
      </c>
      <c r="M61" s="14">
        <f>IFERROR(_xlfn.XLOOKUP(VLOOKUP(tblEnlaces[[#This Row],[Canal]],tblCanales[#All],6,FALSE),tblPesosValorOperativo[Valor],tblPesosValorOperativo[Trazabilidad],0),0)</f>
        <v>1</v>
      </c>
      <c r="N61" s="14">
        <f>IFERROR(_xlfn.XLOOKUP(VLOOKUP(tblEnlaces[[#This Row],[Canal]],tblCanales[#All],7,FALSE),tblPesosValorOperativo[Valor],tblPesosValorOperativo[Velocidad],0),0)</f>
        <v>5</v>
      </c>
      <c r="O61" s="14">
        <f>IFERROR(_xlfn.XLOOKUP(VLOOKUP(tblEnlaces[[#This Row],[Canal]],tblCanales[#All],8,FALSE),tblPesosValorOperativo[Valor],tblPesosValorOperativo[Escalabilidad],0),0)</f>
        <v>0</v>
      </c>
      <c r="P61" s="53">
        <f>tblEnlaces[[#This Row],[Opacidad]]+tblEnlaces[[#This Row],[Escalabilidad]]+tblEnlaces[[#This Row],[Velocidad]]+tblEnlaces[[#This Row],[Trazabilidad]]</f>
        <v>7</v>
      </c>
    </row>
    <row r="62" spans="2:16" ht="16.5" customHeight="1" x14ac:dyDescent="0.25">
      <c r="B62" s="66" t="str">
        <f t="array" ref="B6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E017</v>
      </c>
      <c r="C62" s="10" t="s">
        <v>41</v>
      </c>
      <c r="D62" s="10" t="str">
        <f>VLOOKUP(tblEnlaces[[#This Row],[Nodo Inicial]],tblNodos[],2,FALSE)</f>
        <v>Recaudación directa</v>
      </c>
      <c r="E62" s="39" t="s">
        <v>77</v>
      </c>
      <c r="F62" s="10" t="str">
        <f>VLOOKUP(tblEnlaces[[#This Row],[Nodo Final]],tblNodos[],2,FALSE)</f>
        <v>Dirección financiera</v>
      </c>
      <c r="G62" s="39" t="s">
        <v>117</v>
      </c>
      <c r="H62" s="39">
        <v>1</v>
      </c>
      <c r="I62" s="53">
        <f>IFERROR(_xlfn.XLOOKUP(VLOOKUP(tblEnlaces[[#This Row],[Canal]],tblCanales[#All],2,FALSE),tblPesosValorOperativo[Valor],tblPesosValorOperativo[Frecuencia de Uso],0),0)</f>
        <v>4</v>
      </c>
      <c r="J62" s="63">
        <f>IF(tblEnlaces[[#This Row],[Activo]]&lt;&gt;1,0,IFERROR(tblEnlaces[[#This Row],[Frecuencia de Uso]]/SUMIFS(tblEnlaces[Frecuencia de Uso],tblEnlaces[Enlace],tblEnlaces[[#This Row],[Enlace]],tblEnlaces[Activo],1),0))</f>
        <v>0.26666666666666666</v>
      </c>
      <c r="K62" s="62">
        <f>IFERROR(_xlfn.XLOOKUP(VLOOKUP(tblEnlaces[[#This Row],[Canal]],tblCanales[#All],3,FALSE),tblPesosCoste[Valor],tblPesosCoste[Peso],0),0)</f>
        <v>5</v>
      </c>
      <c r="L62" s="10">
        <f>IFERROR(_xlfn.XLOOKUP(VLOOKUP(tblEnlaces[[#This Row],[Canal]],tblCanales[#All],5,FALSE),tblPesosValorOperativo[Valor],tblPesosValorOperativo[Opacidad],0),0)</f>
        <v>3</v>
      </c>
      <c r="M62" s="14">
        <f>IFERROR(_xlfn.XLOOKUP(VLOOKUP(tblEnlaces[[#This Row],[Canal]],tblCanales[#All],6,FALSE),tblPesosValorOperativo[Valor],tblPesosValorOperativo[Trazabilidad],0),0)</f>
        <v>1</v>
      </c>
      <c r="N62" s="14">
        <f>IFERROR(_xlfn.XLOOKUP(VLOOKUP(tblEnlaces[[#This Row],[Canal]],tblCanales[#All],7,FALSE),tblPesosValorOperativo[Valor],tblPesosValorOperativo[Velocidad],0),0)</f>
        <v>5</v>
      </c>
      <c r="O62" s="14">
        <f>IFERROR(_xlfn.XLOOKUP(VLOOKUP(tblEnlaces[[#This Row],[Canal]],tblCanales[#All],8,FALSE),tblPesosValorOperativo[Valor],tblPesosValorOperativo[Escalabilidad],0),0)</f>
        <v>0</v>
      </c>
      <c r="P62" s="53">
        <f>tblEnlaces[[#This Row],[Opacidad]]+tblEnlaces[[#This Row],[Escalabilidad]]+tblEnlaces[[#This Row],[Velocidad]]+tblEnlaces[[#This Row],[Trazabilidad]]</f>
        <v>9</v>
      </c>
    </row>
    <row r="63" spans="2:16" ht="16.5" customHeight="1" x14ac:dyDescent="0.25">
      <c r="B63" s="66" t="str">
        <f t="array" ref="B6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E017</v>
      </c>
      <c r="C63" s="10" t="s">
        <v>41</v>
      </c>
      <c r="D63" s="10" t="str">
        <f>VLOOKUP(tblEnlaces[[#This Row],[Nodo Inicial]],tblNodos[],2,FALSE)</f>
        <v>Recaudación directa</v>
      </c>
      <c r="E63" s="39" t="s">
        <v>77</v>
      </c>
      <c r="F63" s="10" t="str">
        <f>VLOOKUP(tblEnlaces[[#This Row],[Nodo Final]],tblNodos[],2,FALSE)</f>
        <v>Dirección financiera</v>
      </c>
      <c r="G63" s="39" t="s">
        <v>264</v>
      </c>
      <c r="H63" s="39">
        <v>1</v>
      </c>
      <c r="I63" s="53">
        <f>IFERROR(_xlfn.XLOOKUP(VLOOKUP(tblEnlaces[[#This Row],[Canal]],tblCanales[#All],2,FALSE),tblPesosValorOperativo[Valor],tblPesosValorOperativo[Frecuencia de Uso],0),0)</f>
        <v>4</v>
      </c>
      <c r="J63" s="63">
        <f>IF(tblEnlaces[[#This Row],[Activo]]&lt;&gt;1,0,IFERROR(tblEnlaces[[#This Row],[Frecuencia de Uso]]/SUMIFS(tblEnlaces[Frecuencia de Uso],tblEnlaces[Enlace],tblEnlaces[[#This Row],[Enlace]],tblEnlaces[Activo],1),0))</f>
        <v>0.26666666666666666</v>
      </c>
      <c r="K63" s="62">
        <f>IFERROR(_xlfn.XLOOKUP(VLOOKUP(tblEnlaces[[#This Row],[Canal]],tblCanales[#All],3,FALSE),tblPesosCoste[Valor],tblPesosCoste[Peso],0),0)</f>
        <v>5</v>
      </c>
      <c r="L63" s="10">
        <f>IFERROR(_xlfn.XLOOKUP(VLOOKUP(tblEnlaces[[#This Row],[Canal]],tblCanales[#All],5,FALSE),tblPesosValorOperativo[Valor],tblPesosValorOperativo[Opacidad],0),0)</f>
        <v>3</v>
      </c>
      <c r="M63" s="14">
        <f>IFERROR(_xlfn.XLOOKUP(VLOOKUP(tblEnlaces[[#This Row],[Canal]],tblCanales[#All],6,FALSE),tblPesosValorOperativo[Valor],tblPesosValorOperativo[Trazabilidad],0),0)</f>
        <v>1</v>
      </c>
      <c r="N63" s="14">
        <f>IFERROR(_xlfn.XLOOKUP(VLOOKUP(tblEnlaces[[#This Row],[Canal]],tblCanales[#All],7,FALSE),tblPesosValorOperativo[Valor],tblPesosValorOperativo[Velocidad],0),0)</f>
        <v>5</v>
      </c>
      <c r="O63" s="14">
        <f>IFERROR(_xlfn.XLOOKUP(VLOOKUP(tblEnlaces[[#This Row],[Canal]],tblCanales[#All],8,FALSE),tblPesosValorOperativo[Valor],tblPesosValorOperativo[Escalabilidad],0),0)</f>
        <v>0</v>
      </c>
      <c r="P63" s="53">
        <f>tblEnlaces[[#This Row],[Opacidad]]+tblEnlaces[[#This Row],[Escalabilidad]]+tblEnlaces[[#This Row],[Velocidad]]+tblEnlaces[[#This Row],[Trazabilidad]]</f>
        <v>9</v>
      </c>
    </row>
    <row r="64" spans="2:16" ht="16.5" customHeight="1" x14ac:dyDescent="0.25">
      <c r="B64" s="66" t="str">
        <f t="array" ref="B6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E017</v>
      </c>
      <c r="C64" s="10" t="s">
        <v>41</v>
      </c>
      <c r="D64" s="10" t="str">
        <f>VLOOKUP(tblEnlaces[[#This Row],[Nodo Inicial]],tblNodos[],2,FALSE)</f>
        <v>Recaudación directa</v>
      </c>
      <c r="E64" s="39" t="s">
        <v>77</v>
      </c>
      <c r="F64" s="10" t="str">
        <f>VLOOKUP(tblEnlaces[[#This Row],[Nodo Final]],tblNodos[],2,FALSE)</f>
        <v>Dirección financiera</v>
      </c>
      <c r="G64" s="39" t="s">
        <v>128</v>
      </c>
      <c r="H64" s="39">
        <v>1</v>
      </c>
      <c r="I64" s="53">
        <f>IFERROR(_xlfn.XLOOKUP(VLOOKUP(tblEnlaces[[#This Row],[Canal]],tblCanales[#All],2,FALSE),tblPesosValorOperativo[Valor],tblPesosValorOperativo[Frecuencia de Uso],0),0)</f>
        <v>2</v>
      </c>
      <c r="J64" s="63">
        <f>IF(tblEnlaces[[#This Row],[Activo]]&lt;&gt;1,0,IFERROR(tblEnlaces[[#This Row],[Frecuencia de Uso]]/SUMIFS(tblEnlaces[Frecuencia de Uso],tblEnlaces[Enlace],tblEnlaces[[#This Row],[Enlace]],tblEnlaces[Activo],1),0))</f>
        <v>0.13333333333333333</v>
      </c>
      <c r="K64" s="62">
        <f>IFERROR(_xlfn.XLOOKUP(VLOOKUP(tblEnlaces[[#This Row],[Canal]],tblCanales[#All],3,FALSE),tblPesosCoste[Valor],tblPesosCoste[Peso],0),0)</f>
        <v>5</v>
      </c>
      <c r="L64" s="10">
        <f>IFERROR(_xlfn.XLOOKUP(VLOOKUP(tblEnlaces[[#This Row],[Canal]],tblCanales[#All],5,FALSE),tblPesosValorOperativo[Valor],tblPesosValorOperativo[Opacidad],0),0)</f>
        <v>5</v>
      </c>
      <c r="M64" s="14">
        <f>IFERROR(_xlfn.XLOOKUP(VLOOKUP(tblEnlaces[[#This Row],[Canal]],tblCanales[#All],6,FALSE),tblPesosValorOperativo[Valor],tblPesosValorOperativo[Trazabilidad],0),0)</f>
        <v>3</v>
      </c>
      <c r="N64" s="14">
        <f>IFERROR(_xlfn.XLOOKUP(VLOOKUP(tblEnlaces[[#This Row],[Canal]],tblCanales[#All],7,FALSE),tblPesosValorOperativo[Valor],tblPesosValorOperativo[Velocidad],0),0)</f>
        <v>4</v>
      </c>
      <c r="O64" s="14">
        <f>IFERROR(_xlfn.XLOOKUP(VLOOKUP(tblEnlaces[[#This Row],[Canal]],tblCanales[#All],8,FALSE),tblPesosValorOperativo[Valor],tblPesosValorOperativo[Escalabilidad],0),0)</f>
        <v>0</v>
      </c>
      <c r="P64" s="53">
        <f>tblEnlaces[[#This Row],[Opacidad]]+tblEnlaces[[#This Row],[Escalabilidad]]+tblEnlaces[[#This Row],[Velocidad]]+tblEnlaces[[#This Row],[Trazabilidad]]</f>
        <v>12</v>
      </c>
    </row>
    <row r="65" spans="2:16" ht="16.5" customHeight="1" x14ac:dyDescent="0.25">
      <c r="B65" s="66" t="str">
        <f t="array" ref="B6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E018</v>
      </c>
      <c r="C65" s="10" t="s">
        <v>43</v>
      </c>
      <c r="D65" s="10" t="str">
        <f>VLOOKUP(tblEnlaces[[#This Row],[Nodo Inicial]],tblNodos[],2,FALSE)</f>
        <v>Agregadores de fondos</v>
      </c>
      <c r="E65" s="39" t="s">
        <v>65</v>
      </c>
      <c r="F65" s="10" t="str">
        <f>VLOOKUP(tblEnlaces[[#This Row],[Nodo Final]],tblNodos[],2,FALSE)</f>
        <v>Intermediarios de activos virtuales y conversión</v>
      </c>
      <c r="G65" s="39" t="s">
        <v>252</v>
      </c>
      <c r="H65" s="39">
        <v>1</v>
      </c>
      <c r="I65" s="53">
        <f>IFERROR(_xlfn.XLOOKUP(VLOOKUP(tblEnlaces[[#This Row],[Canal]],tblCanales[#All],2,FALSE),tblPesosValorOperativo[Valor],tblPesosValorOperativo[Frecuencia de Uso],0),0)</f>
        <v>4</v>
      </c>
      <c r="J65" s="63">
        <f>IF(tblEnlaces[[#This Row],[Activo]]&lt;&gt;1,0,IFERROR(tblEnlaces[[#This Row],[Frecuencia de Uso]]/SUMIFS(tblEnlaces[Frecuencia de Uso],tblEnlaces[Enlace],tblEnlaces[[#This Row],[Enlace]],tblEnlaces[Activo],1),0))</f>
        <v>0.26666666666666666</v>
      </c>
      <c r="K65" s="62">
        <f>IFERROR(_xlfn.XLOOKUP(VLOOKUP(tblEnlaces[[#This Row],[Canal]],tblCanales[#All],3,FALSE),tblPesosCoste[Valor],tblPesosCoste[Peso],0),0)</f>
        <v>5</v>
      </c>
      <c r="L65" s="10">
        <f>IFERROR(_xlfn.XLOOKUP(VLOOKUP(tblEnlaces[[#This Row],[Canal]],tblCanales[#All],5,FALSE),tblPesosValorOperativo[Valor],tblPesosValorOperativo[Opacidad],0),0)</f>
        <v>3</v>
      </c>
      <c r="M65" s="14">
        <f>IFERROR(_xlfn.XLOOKUP(VLOOKUP(tblEnlaces[[#This Row],[Canal]],tblCanales[#All],6,FALSE),tblPesosValorOperativo[Valor],tblPesosValorOperativo[Trazabilidad],0),0)</f>
        <v>1</v>
      </c>
      <c r="N65" s="14">
        <f>IFERROR(_xlfn.XLOOKUP(VLOOKUP(tblEnlaces[[#This Row],[Canal]],tblCanales[#All],7,FALSE),tblPesosValorOperativo[Valor],tblPesosValorOperativo[Velocidad],0),0)</f>
        <v>5</v>
      </c>
      <c r="O65" s="14">
        <f>IFERROR(_xlfn.XLOOKUP(VLOOKUP(tblEnlaces[[#This Row],[Canal]],tblCanales[#All],8,FALSE),tblPesosValorOperativo[Valor],tblPesosValorOperativo[Escalabilidad],0),0)</f>
        <v>0</v>
      </c>
      <c r="P65" s="53">
        <f>tblEnlaces[[#This Row],[Opacidad]]+tblEnlaces[[#This Row],[Escalabilidad]]+tblEnlaces[[#This Row],[Velocidad]]+tblEnlaces[[#This Row],[Trazabilidad]]</f>
        <v>9</v>
      </c>
    </row>
    <row r="66" spans="2:16" ht="16.5" customHeight="1" x14ac:dyDescent="0.25">
      <c r="B66" s="66" t="str">
        <f t="array" ref="B6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E018</v>
      </c>
      <c r="C66" s="10" t="s">
        <v>43</v>
      </c>
      <c r="D66" s="10" t="str">
        <f>VLOOKUP(tblEnlaces[[#This Row],[Nodo Inicial]],tblNodos[],2,FALSE)</f>
        <v>Agregadores de fondos</v>
      </c>
      <c r="E66" s="39" t="s">
        <v>65</v>
      </c>
      <c r="F66" s="10" t="str">
        <f>VLOOKUP(tblEnlaces[[#This Row],[Nodo Final]],tblNodos[],2,FALSE)</f>
        <v>Intermediarios de activos virtuales y conversión</v>
      </c>
      <c r="G66" s="39" t="s">
        <v>174</v>
      </c>
      <c r="H66" s="39">
        <v>1</v>
      </c>
      <c r="I66" s="53">
        <f>IFERROR(_xlfn.XLOOKUP(VLOOKUP(tblEnlaces[[#This Row],[Canal]],tblCanales[#All],2,FALSE),tblPesosValorOperativo[Valor],tblPesosValorOperativo[Frecuencia de Uso],0),0)</f>
        <v>3</v>
      </c>
      <c r="J66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66" s="62">
        <f>IFERROR(_xlfn.XLOOKUP(VLOOKUP(tblEnlaces[[#This Row],[Canal]],tblCanales[#All],3,FALSE),tblPesosCoste[Valor],tblPesosCoste[Peso],0),0)</f>
        <v>5</v>
      </c>
      <c r="L66" s="10">
        <f>IFERROR(_xlfn.XLOOKUP(VLOOKUP(tblEnlaces[[#This Row],[Canal]],tblCanales[#All],5,FALSE),tblPesosValorOperativo[Valor],tblPesosValorOperativo[Opacidad],0),0)</f>
        <v>3</v>
      </c>
      <c r="M66" s="14">
        <f>IFERROR(_xlfn.XLOOKUP(VLOOKUP(tblEnlaces[[#This Row],[Canal]],tblCanales[#All],6,FALSE),tblPesosValorOperativo[Valor],tblPesosValorOperativo[Trazabilidad],0),0)</f>
        <v>1</v>
      </c>
      <c r="N66" s="14">
        <f>IFERROR(_xlfn.XLOOKUP(VLOOKUP(tblEnlaces[[#This Row],[Canal]],tblCanales[#All],7,FALSE),tblPesosValorOperativo[Valor],tblPesosValorOperativo[Velocidad],0),0)</f>
        <v>5</v>
      </c>
      <c r="O66" s="14">
        <f>IFERROR(_xlfn.XLOOKUP(VLOOKUP(tblEnlaces[[#This Row],[Canal]],tblCanales[#All],8,FALSE),tblPesosValorOperativo[Valor],tblPesosValorOperativo[Escalabilidad],0),0)</f>
        <v>0</v>
      </c>
      <c r="P66" s="53">
        <f>tblEnlaces[[#This Row],[Opacidad]]+tblEnlaces[[#This Row],[Escalabilidad]]+tblEnlaces[[#This Row],[Velocidad]]+tblEnlaces[[#This Row],[Trazabilidad]]</f>
        <v>9</v>
      </c>
    </row>
    <row r="67" spans="2:16" ht="16.5" customHeight="1" x14ac:dyDescent="0.25">
      <c r="B67" s="66" t="str">
        <f t="array" ref="B6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E018</v>
      </c>
      <c r="C67" s="10" t="s">
        <v>43</v>
      </c>
      <c r="D67" s="10" t="str">
        <f>VLOOKUP(tblEnlaces[[#This Row],[Nodo Inicial]],tblNodos[],2,FALSE)</f>
        <v>Agregadores de fondos</v>
      </c>
      <c r="E67" s="39" t="s">
        <v>65</v>
      </c>
      <c r="F67" s="10" t="str">
        <f>VLOOKUP(tblEnlaces[[#This Row],[Nodo Final]],tblNodos[],2,FALSE)</f>
        <v>Intermediarios de activos virtuales y conversión</v>
      </c>
      <c r="G67" s="39" t="s">
        <v>270</v>
      </c>
      <c r="H67" s="39">
        <v>1</v>
      </c>
      <c r="I67" s="53">
        <f>IFERROR(_xlfn.XLOOKUP(VLOOKUP(tblEnlaces[[#This Row],[Canal]],tblCanales[#All],2,FALSE),tblPesosValorOperativo[Valor],tblPesosValorOperativo[Frecuencia de Uso],0),0)</f>
        <v>4</v>
      </c>
      <c r="J67" s="63">
        <f>IF(tblEnlaces[[#This Row],[Activo]]&lt;&gt;1,0,IFERROR(tblEnlaces[[#This Row],[Frecuencia de Uso]]/SUMIFS(tblEnlaces[Frecuencia de Uso],tblEnlaces[Enlace],tblEnlaces[[#This Row],[Enlace]],tblEnlaces[Activo],1),0))</f>
        <v>0.26666666666666666</v>
      </c>
      <c r="K67" s="62">
        <f>IFERROR(_xlfn.XLOOKUP(VLOOKUP(tblEnlaces[[#This Row],[Canal]],tblCanales[#All],3,FALSE),tblPesosCoste[Valor],tblPesosCoste[Peso],0),0)</f>
        <v>3</v>
      </c>
      <c r="L67" s="10">
        <f>IFERROR(_xlfn.XLOOKUP(VLOOKUP(tblEnlaces[[#This Row],[Canal]],tblCanales[#All],5,FALSE),tblPesosValorOperativo[Valor],tblPesosValorOperativo[Opacidad],0),0)</f>
        <v>4</v>
      </c>
      <c r="M67" s="14">
        <f>IFERROR(_xlfn.XLOOKUP(VLOOKUP(tblEnlaces[[#This Row],[Canal]],tblCanales[#All],6,FALSE),tblPesosValorOperativo[Valor],tblPesosValorOperativo[Trazabilidad],0),0)</f>
        <v>2</v>
      </c>
      <c r="N67" s="14">
        <f>IFERROR(_xlfn.XLOOKUP(VLOOKUP(tblEnlaces[[#This Row],[Canal]],tblCanales[#All],7,FALSE),tblPesosValorOperativo[Valor],tblPesosValorOperativo[Velocidad],0),0)</f>
        <v>5</v>
      </c>
      <c r="O67" s="14">
        <f>IFERROR(_xlfn.XLOOKUP(VLOOKUP(tblEnlaces[[#This Row],[Canal]],tblCanales[#All],8,FALSE),tblPesosValorOperativo[Valor],tblPesosValorOperativo[Escalabilidad],0),0)</f>
        <v>0</v>
      </c>
      <c r="P67" s="53">
        <f>tblEnlaces[[#This Row],[Opacidad]]+tblEnlaces[[#This Row],[Escalabilidad]]+tblEnlaces[[#This Row],[Velocidad]]+tblEnlaces[[#This Row],[Trazabilidad]]</f>
        <v>11</v>
      </c>
    </row>
    <row r="68" spans="2:16" ht="16.5" customHeight="1" x14ac:dyDescent="0.25">
      <c r="B68" s="66" t="str">
        <f t="array" ref="B6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E018</v>
      </c>
      <c r="C68" s="10" t="s">
        <v>43</v>
      </c>
      <c r="D68" s="10" t="str">
        <f>VLOOKUP(tblEnlaces[[#This Row],[Nodo Inicial]],tblNodos[],2,FALSE)</f>
        <v>Agregadores de fondos</v>
      </c>
      <c r="E68" s="39" t="s">
        <v>65</v>
      </c>
      <c r="F68" s="10" t="str">
        <f>VLOOKUP(tblEnlaces[[#This Row],[Nodo Final]],tblNodos[],2,FALSE)</f>
        <v>Intermediarios de activos virtuales y conversión</v>
      </c>
      <c r="G68" s="39" t="s">
        <v>258</v>
      </c>
      <c r="H68" s="39">
        <v>1</v>
      </c>
      <c r="I68" s="53">
        <f>IFERROR(_xlfn.XLOOKUP(VLOOKUP(tblEnlaces[[#This Row],[Canal]],tblCanales[#All],2,FALSE),tblPesosValorOperativo[Valor],tblPesosValorOperativo[Frecuencia de Uso],0),0)</f>
        <v>2</v>
      </c>
      <c r="J68" s="63">
        <f>IF(tblEnlaces[[#This Row],[Activo]]&lt;&gt;1,0,IFERROR(tblEnlaces[[#This Row],[Frecuencia de Uso]]/SUMIFS(tblEnlaces[Frecuencia de Uso],tblEnlaces[Enlace],tblEnlaces[[#This Row],[Enlace]],tblEnlaces[Activo],1),0))</f>
        <v>0.13333333333333333</v>
      </c>
      <c r="K68" s="62">
        <f>IFERROR(_xlfn.XLOOKUP(VLOOKUP(tblEnlaces[[#This Row],[Canal]],tblCanales[#All],3,FALSE),tblPesosCoste[Valor],tblPesosCoste[Peso],0),0)</f>
        <v>3</v>
      </c>
      <c r="L68" s="10">
        <f>IFERROR(_xlfn.XLOOKUP(VLOOKUP(tblEnlaces[[#This Row],[Canal]],tblCanales[#All],5,FALSE),tblPesosValorOperativo[Valor],tblPesosValorOperativo[Opacidad],0),0)</f>
        <v>1</v>
      </c>
      <c r="M68" s="14">
        <f>IFERROR(_xlfn.XLOOKUP(VLOOKUP(tblEnlaces[[#This Row],[Canal]],tblCanales[#All],6,FALSE),tblPesosValorOperativo[Valor],tblPesosValorOperativo[Trazabilidad],0),0)</f>
        <v>2</v>
      </c>
      <c r="N68" s="14">
        <f>IFERROR(_xlfn.XLOOKUP(VLOOKUP(tblEnlaces[[#This Row],[Canal]],tblCanales[#All],7,FALSE),tblPesosValorOperativo[Valor],tblPesosValorOperativo[Velocidad],0),0)</f>
        <v>5</v>
      </c>
      <c r="O68" s="14">
        <f>IFERROR(_xlfn.XLOOKUP(VLOOKUP(tblEnlaces[[#This Row],[Canal]],tblCanales[#All],8,FALSE),tblPesosValorOperativo[Valor],tblPesosValorOperativo[Escalabilidad],0),0)</f>
        <v>0</v>
      </c>
      <c r="P68" s="53">
        <f>tblEnlaces[[#This Row],[Opacidad]]+tblEnlaces[[#This Row],[Escalabilidad]]+tblEnlaces[[#This Row],[Velocidad]]+tblEnlaces[[#This Row],[Trazabilidad]]</f>
        <v>8</v>
      </c>
    </row>
    <row r="69" spans="2:16" ht="16.5" customHeight="1" x14ac:dyDescent="0.25">
      <c r="B69" s="66" t="str">
        <f t="array" ref="B6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E018</v>
      </c>
      <c r="C69" s="10" t="s">
        <v>43</v>
      </c>
      <c r="D69" s="10" t="str">
        <f>VLOOKUP(tblEnlaces[[#This Row],[Nodo Inicial]],tblNodos[],2,FALSE)</f>
        <v>Agregadores de fondos</v>
      </c>
      <c r="E69" s="39" t="s">
        <v>65</v>
      </c>
      <c r="F69" s="10" t="str">
        <f>VLOOKUP(tblEnlaces[[#This Row],[Nodo Final]],tblNodos[],2,FALSE)</f>
        <v>Intermediarios de activos virtuales y conversión</v>
      </c>
      <c r="G69" s="39" t="s">
        <v>228</v>
      </c>
      <c r="H69" s="39">
        <v>1</v>
      </c>
      <c r="I69" s="53">
        <f>IFERROR(_xlfn.XLOOKUP(VLOOKUP(tblEnlaces[[#This Row],[Canal]],tblCanales[#All],2,FALSE),tblPesosValorOperativo[Valor],tblPesosValorOperativo[Frecuencia de Uso],0),0)</f>
        <v>2</v>
      </c>
      <c r="J69" s="63">
        <f>IF(tblEnlaces[[#This Row],[Activo]]&lt;&gt;1,0,IFERROR(tblEnlaces[[#This Row],[Frecuencia de Uso]]/SUMIFS(tblEnlaces[Frecuencia de Uso],tblEnlaces[Enlace],tblEnlaces[[#This Row],[Enlace]],tblEnlaces[Activo],1),0))</f>
        <v>0.13333333333333333</v>
      </c>
      <c r="K69" s="62">
        <f>IFERROR(_xlfn.XLOOKUP(VLOOKUP(tblEnlaces[[#This Row],[Canal]],tblCanales[#All],3,FALSE),tblPesosCoste[Valor],tblPesosCoste[Peso],0),0)</f>
        <v>3</v>
      </c>
      <c r="L69" s="10">
        <f>IFERROR(_xlfn.XLOOKUP(VLOOKUP(tblEnlaces[[#This Row],[Canal]],tblCanales[#All],5,FALSE),tblPesosValorOperativo[Valor],tblPesosValorOperativo[Opacidad],0),0)</f>
        <v>3</v>
      </c>
      <c r="M69" s="14">
        <f>IFERROR(_xlfn.XLOOKUP(VLOOKUP(tblEnlaces[[#This Row],[Canal]],tblCanales[#All],6,FALSE),tblPesosValorOperativo[Valor],tblPesosValorOperativo[Trazabilidad],0),0)</f>
        <v>1</v>
      </c>
      <c r="N69" s="14">
        <f>IFERROR(_xlfn.XLOOKUP(VLOOKUP(tblEnlaces[[#This Row],[Canal]],tblCanales[#All],7,FALSE),tblPesosValorOperativo[Valor],tblPesosValorOperativo[Velocidad],0),0)</f>
        <v>3</v>
      </c>
      <c r="O69" s="14">
        <f>IFERROR(_xlfn.XLOOKUP(VLOOKUP(tblEnlaces[[#This Row],[Canal]],tblCanales[#All],8,FALSE),tblPesosValorOperativo[Valor],tblPesosValorOperativo[Escalabilidad],0),0)</f>
        <v>0</v>
      </c>
      <c r="P69" s="53">
        <f>tblEnlaces[[#This Row],[Opacidad]]+tblEnlaces[[#This Row],[Escalabilidad]]+tblEnlaces[[#This Row],[Velocidad]]+tblEnlaces[[#This Row],[Trazabilidad]]</f>
        <v>7</v>
      </c>
    </row>
    <row r="70" spans="2:16" ht="16.5" customHeight="1" x14ac:dyDescent="0.25">
      <c r="B70" s="66" t="str">
        <f t="array" ref="B7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E019</v>
      </c>
      <c r="C70" s="10" t="s">
        <v>43</v>
      </c>
      <c r="D70" s="10" t="str">
        <f>VLOOKUP(tblEnlaces[[#This Row],[Nodo Inicial]],tblNodos[],2,FALSE)</f>
        <v>Agregadores de fondos</v>
      </c>
      <c r="E70" s="39" t="s">
        <v>55</v>
      </c>
      <c r="F70" s="10" t="str">
        <f>VLOOKUP(tblEnlaces[[#This Row],[Nodo Final]],tblNodos[],2,FALSE)</f>
        <v>Intermediarios informales y paralelos</v>
      </c>
      <c r="G70" s="39" t="s">
        <v>162</v>
      </c>
      <c r="H70" s="39">
        <v>1</v>
      </c>
      <c r="I70" s="53">
        <f>IFERROR(_xlfn.XLOOKUP(VLOOKUP(tblEnlaces[[#This Row],[Canal]],tblCanales[#All],2,FALSE),tblPesosValorOperativo[Valor],tblPesosValorOperativo[Frecuencia de Uso],0),0)</f>
        <v>5</v>
      </c>
      <c r="J70" s="63">
        <f>IF(tblEnlaces[[#This Row],[Activo]]&lt;&gt;1,0,IFERROR(tblEnlaces[[#This Row],[Frecuencia de Uso]]/SUMIFS(tblEnlaces[Frecuencia de Uso],tblEnlaces[Enlace],tblEnlaces[[#This Row],[Enlace]],tblEnlaces[Activo],1),0))</f>
        <v>1</v>
      </c>
      <c r="K70" s="62">
        <f>IFERROR(_xlfn.XLOOKUP(VLOOKUP(tblEnlaces[[#This Row],[Canal]],tblCanales[#All],3,FALSE),tblPesosCoste[Valor],tblPesosCoste[Peso],0),0)</f>
        <v>5</v>
      </c>
      <c r="L70" s="10">
        <f>IFERROR(_xlfn.XLOOKUP(VLOOKUP(tblEnlaces[[#This Row],[Canal]],tblCanales[#All],5,FALSE),tblPesosValorOperativo[Valor],tblPesosValorOperativo[Opacidad],0),0)</f>
        <v>1</v>
      </c>
      <c r="M70" s="14">
        <f>IFERROR(_xlfn.XLOOKUP(VLOOKUP(tblEnlaces[[#This Row],[Canal]],tblCanales[#All],6,FALSE),tblPesosValorOperativo[Valor],tblPesosValorOperativo[Trazabilidad],0),0)</f>
        <v>1</v>
      </c>
      <c r="N70" s="14">
        <f>IFERROR(_xlfn.XLOOKUP(VLOOKUP(tblEnlaces[[#This Row],[Canal]],tblCanales[#All],7,FALSE),tblPesosValorOperativo[Valor],tblPesosValorOperativo[Velocidad],0),0)</f>
        <v>5</v>
      </c>
      <c r="O70" s="14">
        <f>IFERROR(_xlfn.XLOOKUP(VLOOKUP(tblEnlaces[[#This Row],[Canal]],tblCanales[#All],8,FALSE),tblPesosValorOperativo[Valor],tblPesosValorOperativo[Escalabilidad],0),0)</f>
        <v>0</v>
      </c>
      <c r="P70" s="53">
        <f>tblEnlaces[[#This Row],[Opacidad]]+tblEnlaces[[#This Row],[Escalabilidad]]+tblEnlaces[[#This Row],[Velocidad]]+tblEnlaces[[#This Row],[Trazabilidad]]</f>
        <v>7</v>
      </c>
    </row>
    <row r="71" spans="2:16" ht="16.5" customHeight="1" x14ac:dyDescent="0.25">
      <c r="B71" s="66" t="str">
        <f t="array" ref="B7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E020</v>
      </c>
      <c r="C71" s="10" t="s">
        <v>43</v>
      </c>
      <c r="D71" s="10" t="str">
        <f>VLOOKUP(tblEnlaces[[#This Row],[Nodo Inicial]],tblNodos[],2,FALSE)</f>
        <v>Agregadores de fondos</v>
      </c>
      <c r="E71" s="39" t="s">
        <v>57</v>
      </c>
      <c r="F71" s="10" t="str">
        <f>VLOOKUP(tblEnlaces[[#This Row],[Nodo Final]],tblNodos[],2,FALSE)</f>
        <v>Intermediarios MVTS y remesas</v>
      </c>
      <c r="G71" s="39" t="s">
        <v>234</v>
      </c>
      <c r="H71" s="39">
        <v>1</v>
      </c>
      <c r="I71" s="53">
        <f>IFERROR(_xlfn.XLOOKUP(VLOOKUP(tblEnlaces[[#This Row],[Canal]],tblCanales[#All],2,FALSE),tblPesosValorOperativo[Valor],tblPesosValorOperativo[Frecuencia de Uso],0),0)</f>
        <v>4</v>
      </c>
      <c r="J71" s="63">
        <f>IF(tblEnlaces[[#This Row],[Activo]]&lt;&gt;1,0,IFERROR(tblEnlaces[[#This Row],[Frecuencia de Uso]]/SUMIFS(tblEnlaces[Frecuencia de Uso],tblEnlaces[Enlace],tblEnlaces[[#This Row],[Enlace]],tblEnlaces[Activo],1),0))</f>
        <v>0.4</v>
      </c>
      <c r="K71" s="62">
        <f>IFERROR(_xlfn.XLOOKUP(VLOOKUP(tblEnlaces[[#This Row],[Canal]],tblCanales[#All],3,FALSE),tblPesosCoste[Valor],tblPesosCoste[Peso],0),0)</f>
        <v>4</v>
      </c>
      <c r="L71" s="10">
        <f>IFERROR(_xlfn.XLOOKUP(VLOOKUP(tblEnlaces[[#This Row],[Canal]],tblCanales[#All],5,FALSE),tblPesosValorOperativo[Valor],tblPesosValorOperativo[Opacidad],0),0)</f>
        <v>3</v>
      </c>
      <c r="M71" s="14">
        <f>IFERROR(_xlfn.XLOOKUP(VLOOKUP(tblEnlaces[[#This Row],[Canal]],tblCanales[#All],6,FALSE),tblPesosValorOperativo[Valor],tblPesosValorOperativo[Trazabilidad],0),0)</f>
        <v>1</v>
      </c>
      <c r="N71" s="14">
        <f>IFERROR(_xlfn.XLOOKUP(VLOOKUP(tblEnlaces[[#This Row],[Canal]],tblCanales[#All],7,FALSE),tblPesosValorOperativo[Valor],tblPesosValorOperativo[Velocidad],0),0)</f>
        <v>5</v>
      </c>
      <c r="O71" s="14">
        <f>IFERROR(_xlfn.XLOOKUP(VLOOKUP(tblEnlaces[[#This Row],[Canal]],tblCanales[#All],8,FALSE),tblPesosValorOperativo[Valor],tblPesosValorOperativo[Escalabilidad],0),0)</f>
        <v>0</v>
      </c>
      <c r="P71" s="53">
        <f>tblEnlaces[[#This Row],[Opacidad]]+tblEnlaces[[#This Row],[Escalabilidad]]+tblEnlaces[[#This Row],[Velocidad]]+tblEnlaces[[#This Row],[Trazabilidad]]</f>
        <v>9</v>
      </c>
    </row>
    <row r="72" spans="2:16" ht="16.5" customHeight="1" x14ac:dyDescent="0.25">
      <c r="B72" s="66" t="str">
        <f t="array" ref="B7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E020</v>
      </c>
      <c r="C72" s="10" t="s">
        <v>43</v>
      </c>
      <c r="D72" s="10" t="str">
        <f>VLOOKUP(tblEnlaces[[#This Row],[Nodo Inicial]],tblNodos[],2,FALSE)</f>
        <v>Agregadores de fondos</v>
      </c>
      <c r="E72" s="39" t="s">
        <v>57</v>
      </c>
      <c r="F72" s="10" t="str">
        <f>VLOOKUP(tblEnlaces[[#This Row],[Nodo Final]],tblNodos[],2,FALSE)</f>
        <v>Intermediarios MVTS y remesas</v>
      </c>
      <c r="G72" s="39" t="s">
        <v>276</v>
      </c>
      <c r="H72" s="39">
        <v>1</v>
      </c>
      <c r="I72" s="53">
        <f>IFERROR(_xlfn.XLOOKUP(VLOOKUP(tblEnlaces[[#This Row],[Canal]],tblCanales[#All],2,FALSE),tblPesosValorOperativo[Valor],tblPesosValorOperativo[Frecuencia de Uso],0),0)</f>
        <v>2</v>
      </c>
      <c r="J72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72" s="62">
        <f>IFERROR(_xlfn.XLOOKUP(VLOOKUP(tblEnlaces[[#This Row],[Canal]],tblCanales[#All],3,FALSE),tblPesosCoste[Valor],tblPesosCoste[Peso],0),0)</f>
        <v>4</v>
      </c>
      <c r="L72" s="10">
        <f>IFERROR(_xlfn.XLOOKUP(VLOOKUP(tblEnlaces[[#This Row],[Canal]],tblCanales[#All],5,FALSE),tblPesosValorOperativo[Valor],tblPesosValorOperativo[Opacidad],0),0)</f>
        <v>3</v>
      </c>
      <c r="M72" s="14">
        <f>IFERROR(_xlfn.XLOOKUP(VLOOKUP(tblEnlaces[[#This Row],[Canal]],tblCanales[#All],6,FALSE),tblPesosValorOperativo[Valor],tblPesosValorOperativo[Trazabilidad],0),0)</f>
        <v>1</v>
      </c>
      <c r="N72" s="14">
        <f>IFERROR(_xlfn.XLOOKUP(VLOOKUP(tblEnlaces[[#This Row],[Canal]],tblCanales[#All],7,FALSE),tblPesosValorOperativo[Valor],tblPesosValorOperativo[Velocidad],0),0)</f>
        <v>5</v>
      </c>
      <c r="O72" s="14">
        <f>IFERROR(_xlfn.XLOOKUP(VLOOKUP(tblEnlaces[[#This Row],[Canal]],tblCanales[#All],8,FALSE),tblPesosValorOperativo[Valor],tblPesosValorOperativo[Escalabilidad],0),0)</f>
        <v>0</v>
      </c>
      <c r="P72" s="53">
        <f>tblEnlaces[[#This Row],[Opacidad]]+tblEnlaces[[#This Row],[Escalabilidad]]+tblEnlaces[[#This Row],[Velocidad]]+tblEnlaces[[#This Row],[Trazabilidad]]</f>
        <v>9</v>
      </c>
    </row>
    <row r="73" spans="2:16" ht="16.5" customHeight="1" x14ac:dyDescent="0.25">
      <c r="B73" s="66" t="str">
        <f t="array" ref="B7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E020</v>
      </c>
      <c r="C73" s="10" t="s">
        <v>43</v>
      </c>
      <c r="D73" s="10" t="str">
        <f>VLOOKUP(tblEnlaces[[#This Row],[Nodo Inicial]],tblNodos[],2,FALSE)</f>
        <v>Agregadores de fondos</v>
      </c>
      <c r="E73" s="39" t="s">
        <v>57</v>
      </c>
      <c r="F73" s="10" t="str">
        <f>VLOOKUP(tblEnlaces[[#This Row],[Nodo Final]],tblNodos[],2,FALSE)</f>
        <v>Intermediarios MVTS y remesas</v>
      </c>
      <c r="G73" s="39" t="s">
        <v>282</v>
      </c>
      <c r="H73" s="39">
        <v>1</v>
      </c>
      <c r="I73" s="53">
        <f>IFERROR(_xlfn.XLOOKUP(VLOOKUP(tblEnlaces[[#This Row],[Canal]],tblCanales[#All],2,FALSE),tblPesosValorOperativo[Valor],tblPesosValorOperativo[Frecuencia de Uso],0),0)</f>
        <v>4</v>
      </c>
      <c r="J73" s="63">
        <f>IF(tblEnlaces[[#This Row],[Activo]]&lt;&gt;1,0,IFERROR(tblEnlaces[[#This Row],[Frecuencia de Uso]]/SUMIFS(tblEnlaces[Frecuencia de Uso],tblEnlaces[Enlace],tblEnlaces[[#This Row],[Enlace]],tblEnlaces[Activo],1),0))</f>
        <v>0.4</v>
      </c>
      <c r="K73" s="62">
        <f>IFERROR(_xlfn.XLOOKUP(VLOOKUP(tblEnlaces[[#This Row],[Canal]],tblCanales[#All],3,FALSE),tblPesosCoste[Valor],tblPesosCoste[Peso],0),0)</f>
        <v>4</v>
      </c>
      <c r="L73" s="10">
        <f>IFERROR(_xlfn.XLOOKUP(VLOOKUP(tblEnlaces[[#This Row],[Canal]],tblCanales[#All],5,FALSE),tblPesosValorOperativo[Valor],tblPesosValorOperativo[Opacidad],0),0)</f>
        <v>3</v>
      </c>
      <c r="M73" s="14">
        <f>IFERROR(_xlfn.XLOOKUP(VLOOKUP(tblEnlaces[[#This Row],[Canal]],tblCanales[#All],6,FALSE),tblPesosValorOperativo[Valor],tblPesosValorOperativo[Trazabilidad],0),0)</f>
        <v>1</v>
      </c>
      <c r="N73" s="14">
        <f>IFERROR(_xlfn.XLOOKUP(VLOOKUP(tblEnlaces[[#This Row],[Canal]],tblCanales[#All],7,FALSE),tblPesosValorOperativo[Valor],tblPesosValorOperativo[Velocidad],0),0)</f>
        <v>5</v>
      </c>
      <c r="O73" s="14">
        <f>IFERROR(_xlfn.XLOOKUP(VLOOKUP(tblEnlaces[[#This Row],[Canal]],tblCanales[#All],8,FALSE),tblPesosValorOperativo[Valor],tblPesosValorOperativo[Escalabilidad],0),0)</f>
        <v>0</v>
      </c>
      <c r="P73" s="53">
        <f>tblEnlaces[[#This Row],[Opacidad]]+tblEnlaces[[#This Row],[Escalabilidad]]+tblEnlaces[[#This Row],[Velocidad]]+tblEnlaces[[#This Row],[Trazabilidad]]</f>
        <v>9</v>
      </c>
    </row>
    <row r="74" spans="2:16" ht="16.5" customHeight="1" x14ac:dyDescent="0.25">
      <c r="B74" s="66" t="str">
        <f t="array" ref="B7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E021</v>
      </c>
      <c r="C74" s="10" t="s">
        <v>43</v>
      </c>
      <c r="D74" s="10" t="str">
        <f>VLOOKUP(tblEnlaces[[#This Row],[Nodo Inicial]],tblNodos[],2,FALSE)</f>
        <v>Agregadores de fondos</v>
      </c>
      <c r="E74" s="39" t="s">
        <v>73</v>
      </c>
      <c r="F74" s="10" t="str">
        <f>VLOOKUP(tblEnlaces[[#This Row],[Nodo Final]],tblNodos[],2,FALSE)</f>
        <v>Intermediarios operativos y de cobertura</v>
      </c>
      <c r="G74" s="39" t="s">
        <v>136</v>
      </c>
      <c r="H74" s="39">
        <v>1</v>
      </c>
      <c r="I74" s="53">
        <f>IFERROR(_xlfn.XLOOKUP(VLOOKUP(tblEnlaces[[#This Row],[Canal]],tblCanales[#All],2,FALSE),tblPesosValorOperativo[Valor],tblPesosValorOperativo[Frecuencia de Uso],0),0)</f>
        <v>2</v>
      </c>
      <c r="J74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74" s="62">
        <f>IFERROR(_xlfn.XLOOKUP(VLOOKUP(tblEnlaces[[#This Row],[Canal]],tblCanales[#All],3,FALSE),tblPesosCoste[Valor],tblPesosCoste[Peso],0),0)</f>
        <v>4</v>
      </c>
      <c r="L74" s="10">
        <f>IFERROR(_xlfn.XLOOKUP(VLOOKUP(tblEnlaces[[#This Row],[Canal]],tblCanales[#All],5,FALSE),tblPesosValorOperativo[Valor],tblPesosValorOperativo[Opacidad],0),0)</f>
        <v>5</v>
      </c>
      <c r="M74" s="14">
        <f>IFERROR(_xlfn.XLOOKUP(VLOOKUP(tblEnlaces[[#This Row],[Canal]],tblCanales[#All],6,FALSE),tblPesosValorOperativo[Valor],tblPesosValorOperativo[Trazabilidad],0),0)</f>
        <v>2</v>
      </c>
      <c r="N74" s="14">
        <f>IFERROR(_xlfn.XLOOKUP(VLOOKUP(tblEnlaces[[#This Row],[Canal]],tblCanales[#All],7,FALSE),tblPesosValorOperativo[Valor],tblPesosValorOperativo[Velocidad],0),0)</f>
        <v>4</v>
      </c>
      <c r="O74" s="14">
        <f>IFERROR(_xlfn.XLOOKUP(VLOOKUP(tblEnlaces[[#This Row],[Canal]],tblCanales[#All],8,FALSE),tblPesosValorOperativo[Valor],tblPesosValorOperativo[Escalabilidad],0),0)</f>
        <v>0</v>
      </c>
      <c r="P74" s="53">
        <f>tblEnlaces[[#This Row],[Opacidad]]+tblEnlaces[[#This Row],[Escalabilidad]]+tblEnlaces[[#This Row],[Velocidad]]+tblEnlaces[[#This Row],[Trazabilidad]]</f>
        <v>11</v>
      </c>
    </row>
    <row r="75" spans="2:16" ht="16.5" customHeight="1" x14ac:dyDescent="0.25">
      <c r="B75" s="66" t="str">
        <f t="array" ref="B7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E021</v>
      </c>
      <c r="C75" s="10" t="s">
        <v>43</v>
      </c>
      <c r="D75" s="10" t="str">
        <f>VLOOKUP(tblEnlaces[[#This Row],[Nodo Inicial]],tblNodos[],2,FALSE)</f>
        <v>Agregadores de fondos</v>
      </c>
      <c r="E75" s="39" t="s">
        <v>73</v>
      </c>
      <c r="F75" s="10" t="str">
        <f>VLOOKUP(tblEnlaces[[#This Row],[Nodo Final]],tblNodos[],2,FALSE)</f>
        <v>Intermediarios operativos y de cobertura</v>
      </c>
      <c r="G75" s="39" t="s">
        <v>252</v>
      </c>
      <c r="H75" s="39">
        <v>1</v>
      </c>
      <c r="I75" s="53">
        <f>IFERROR(_xlfn.XLOOKUP(VLOOKUP(tblEnlaces[[#This Row],[Canal]],tblCanales[#All],2,FALSE),tblPesosValorOperativo[Valor],tblPesosValorOperativo[Frecuencia de Uso],0),0)</f>
        <v>4</v>
      </c>
      <c r="J75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75" s="62">
        <f>IFERROR(_xlfn.XLOOKUP(VLOOKUP(tblEnlaces[[#This Row],[Canal]],tblCanales[#All],3,FALSE),tblPesosCoste[Valor],tblPesosCoste[Peso],0),0)</f>
        <v>5</v>
      </c>
      <c r="L75" s="10">
        <f>IFERROR(_xlfn.XLOOKUP(VLOOKUP(tblEnlaces[[#This Row],[Canal]],tblCanales[#All],5,FALSE),tblPesosValorOperativo[Valor],tblPesosValorOperativo[Opacidad],0),0)</f>
        <v>3</v>
      </c>
      <c r="M75" s="14">
        <f>IFERROR(_xlfn.XLOOKUP(VLOOKUP(tblEnlaces[[#This Row],[Canal]],tblCanales[#All],6,FALSE),tblPesosValorOperativo[Valor],tblPesosValorOperativo[Trazabilidad],0),0)</f>
        <v>1</v>
      </c>
      <c r="N75" s="14">
        <f>IFERROR(_xlfn.XLOOKUP(VLOOKUP(tblEnlaces[[#This Row],[Canal]],tblCanales[#All],7,FALSE),tblPesosValorOperativo[Valor],tblPesosValorOperativo[Velocidad],0),0)</f>
        <v>5</v>
      </c>
      <c r="O75" s="14">
        <f>IFERROR(_xlfn.XLOOKUP(VLOOKUP(tblEnlaces[[#This Row],[Canal]],tblCanales[#All],8,FALSE),tblPesosValorOperativo[Valor],tblPesosValorOperativo[Escalabilidad],0),0)</f>
        <v>0</v>
      </c>
      <c r="P75" s="53">
        <f>tblEnlaces[[#This Row],[Opacidad]]+tblEnlaces[[#This Row],[Escalabilidad]]+tblEnlaces[[#This Row],[Velocidad]]+tblEnlaces[[#This Row],[Trazabilidad]]</f>
        <v>9</v>
      </c>
    </row>
    <row r="76" spans="2:16" ht="16.5" customHeight="1" x14ac:dyDescent="0.25">
      <c r="B76" s="66" t="str">
        <f t="array" ref="B7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E021</v>
      </c>
      <c r="C76" s="10" t="s">
        <v>43</v>
      </c>
      <c r="D76" s="10" t="str">
        <f>VLOOKUP(tblEnlaces[[#This Row],[Nodo Inicial]],tblNodos[],2,FALSE)</f>
        <v>Agregadores de fondos</v>
      </c>
      <c r="E76" s="39" t="s">
        <v>73</v>
      </c>
      <c r="F76" s="10" t="str">
        <f>VLOOKUP(tblEnlaces[[#This Row],[Nodo Final]],tblNodos[],2,FALSE)</f>
        <v>Intermediarios operativos y de cobertura</v>
      </c>
      <c r="G76" s="39" t="s">
        <v>128</v>
      </c>
      <c r="H76" s="39">
        <v>1</v>
      </c>
      <c r="I76" s="53">
        <f>IFERROR(_xlfn.XLOOKUP(VLOOKUP(tblEnlaces[[#This Row],[Canal]],tblCanales[#All],2,FALSE),tblPesosValorOperativo[Valor],tblPesosValorOperativo[Frecuencia de Uso],0),0)</f>
        <v>2</v>
      </c>
      <c r="J76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76" s="62">
        <f>IFERROR(_xlfn.XLOOKUP(VLOOKUP(tblEnlaces[[#This Row],[Canal]],tblCanales[#All],3,FALSE),tblPesosCoste[Valor],tblPesosCoste[Peso],0),0)</f>
        <v>5</v>
      </c>
      <c r="L76" s="10">
        <f>IFERROR(_xlfn.XLOOKUP(VLOOKUP(tblEnlaces[[#This Row],[Canal]],tblCanales[#All],5,FALSE),tblPesosValorOperativo[Valor],tblPesosValorOperativo[Opacidad],0),0)</f>
        <v>5</v>
      </c>
      <c r="M76" s="14">
        <f>IFERROR(_xlfn.XLOOKUP(VLOOKUP(tblEnlaces[[#This Row],[Canal]],tblCanales[#All],6,FALSE),tblPesosValorOperativo[Valor],tblPesosValorOperativo[Trazabilidad],0),0)</f>
        <v>3</v>
      </c>
      <c r="N76" s="14">
        <f>IFERROR(_xlfn.XLOOKUP(VLOOKUP(tblEnlaces[[#This Row],[Canal]],tblCanales[#All],7,FALSE),tblPesosValorOperativo[Valor],tblPesosValorOperativo[Velocidad],0),0)</f>
        <v>4</v>
      </c>
      <c r="O76" s="14">
        <f>IFERROR(_xlfn.XLOOKUP(VLOOKUP(tblEnlaces[[#This Row],[Canal]],tblCanales[#All],8,FALSE),tblPesosValorOperativo[Valor],tblPesosValorOperativo[Escalabilidad],0),0)</f>
        <v>0</v>
      </c>
      <c r="P76" s="53">
        <f>tblEnlaces[[#This Row],[Opacidad]]+tblEnlaces[[#This Row],[Escalabilidad]]+tblEnlaces[[#This Row],[Velocidad]]+tblEnlaces[[#This Row],[Trazabilidad]]</f>
        <v>12</v>
      </c>
    </row>
    <row r="77" spans="2:16" ht="16.5" customHeight="1" x14ac:dyDescent="0.25">
      <c r="B77" s="66" t="str">
        <f t="array" ref="B7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E022</v>
      </c>
      <c r="C77" s="10" t="s">
        <v>45</v>
      </c>
      <c r="D77" s="10" t="str">
        <f>VLOOKUP(tblEnlaces[[#This Row],[Nodo Inicial]],tblNodos[],2,FALSE)</f>
        <v>Estructuras organizadas de captación</v>
      </c>
      <c r="E77" s="39" t="s">
        <v>83</v>
      </c>
      <c r="F77" s="10" t="str">
        <f>VLOOKUP(tblEnlaces[[#This Row],[Nodo Final]],tblNodos[],2,FALSE)</f>
        <v>Coordinación de la red y soporte estratégico</v>
      </c>
      <c r="G77" s="39" t="s">
        <v>210</v>
      </c>
      <c r="H77" s="39">
        <v>1</v>
      </c>
      <c r="I77" s="53">
        <f>IFERROR(_xlfn.XLOOKUP(VLOOKUP(tblEnlaces[[#This Row],[Canal]],tblCanales[#All],2,FALSE),tblPesosValorOperativo[Valor],tblPesosValorOperativo[Frecuencia de Uso],0),0)</f>
        <v>4</v>
      </c>
      <c r="J77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77" s="62">
        <f>IFERROR(_xlfn.XLOOKUP(VLOOKUP(tblEnlaces[[#This Row],[Canal]],tblCanales[#All],3,FALSE),tblPesosCoste[Valor],tblPesosCoste[Peso],0),0)</f>
        <v>5</v>
      </c>
      <c r="L77" s="10">
        <f>IFERROR(_xlfn.XLOOKUP(VLOOKUP(tblEnlaces[[#This Row],[Canal]],tblCanales[#All],5,FALSE),tblPesosValorOperativo[Valor],tblPesosValorOperativo[Opacidad],0),0)</f>
        <v>3</v>
      </c>
      <c r="M77" s="14">
        <f>IFERROR(_xlfn.XLOOKUP(VLOOKUP(tblEnlaces[[#This Row],[Canal]],tblCanales[#All],6,FALSE),tblPesosValorOperativo[Valor],tblPesosValorOperativo[Trazabilidad],0),0)</f>
        <v>1</v>
      </c>
      <c r="N77" s="14">
        <f>IFERROR(_xlfn.XLOOKUP(VLOOKUP(tblEnlaces[[#This Row],[Canal]],tblCanales[#All],7,FALSE),tblPesosValorOperativo[Valor],tblPesosValorOperativo[Velocidad],0),0)</f>
        <v>5</v>
      </c>
      <c r="O77" s="14">
        <f>IFERROR(_xlfn.XLOOKUP(VLOOKUP(tblEnlaces[[#This Row],[Canal]],tblCanales[#All],8,FALSE),tblPesosValorOperativo[Valor],tblPesosValorOperativo[Escalabilidad],0),0)</f>
        <v>0</v>
      </c>
      <c r="P77" s="53">
        <f>tblEnlaces[[#This Row],[Opacidad]]+tblEnlaces[[#This Row],[Escalabilidad]]+tblEnlaces[[#This Row],[Velocidad]]+tblEnlaces[[#This Row],[Trazabilidad]]</f>
        <v>9</v>
      </c>
    </row>
    <row r="78" spans="2:16" ht="16.5" customHeight="1" x14ac:dyDescent="0.25">
      <c r="B78" s="66" t="str">
        <f t="array" ref="B7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E022</v>
      </c>
      <c r="C78" s="10" t="s">
        <v>45</v>
      </c>
      <c r="D78" s="10" t="str">
        <f>VLOOKUP(tblEnlaces[[#This Row],[Nodo Inicial]],tblNodos[],2,FALSE)</f>
        <v>Estructuras organizadas de captación</v>
      </c>
      <c r="E78" s="39" t="s">
        <v>83</v>
      </c>
      <c r="F78" s="10" t="str">
        <f>VLOOKUP(tblEnlaces[[#This Row],[Nodo Final]],tblNodos[],2,FALSE)</f>
        <v>Coordinación de la red y soporte estratégico</v>
      </c>
      <c r="G78" s="39" t="s">
        <v>216</v>
      </c>
      <c r="H78" s="39">
        <v>1</v>
      </c>
      <c r="I78" s="53">
        <f>IFERROR(_xlfn.XLOOKUP(VLOOKUP(tblEnlaces[[#This Row],[Canal]],tblCanales[#All],2,FALSE),tblPesosValorOperativo[Valor],tblPesosValorOperativo[Frecuencia de Uso],0),0)</f>
        <v>4</v>
      </c>
      <c r="J78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78" s="62">
        <f>IFERROR(_xlfn.XLOOKUP(VLOOKUP(tblEnlaces[[#This Row],[Canal]],tblCanales[#All],3,FALSE),tblPesosCoste[Valor],tblPesosCoste[Peso],0),0)</f>
        <v>5</v>
      </c>
      <c r="L78" s="10">
        <f>IFERROR(_xlfn.XLOOKUP(VLOOKUP(tblEnlaces[[#This Row],[Canal]],tblCanales[#All],5,FALSE),tblPesosValorOperativo[Valor],tblPesosValorOperativo[Opacidad],0),0)</f>
        <v>3</v>
      </c>
      <c r="M78" s="14">
        <f>IFERROR(_xlfn.XLOOKUP(VLOOKUP(tblEnlaces[[#This Row],[Canal]],tblCanales[#All],6,FALSE),tblPesosValorOperativo[Valor],tblPesosValorOperativo[Trazabilidad],0),0)</f>
        <v>1</v>
      </c>
      <c r="N78" s="14">
        <f>IFERROR(_xlfn.XLOOKUP(VLOOKUP(tblEnlaces[[#This Row],[Canal]],tblCanales[#All],7,FALSE),tblPesosValorOperativo[Valor],tblPesosValorOperativo[Velocidad],0),0)</f>
        <v>5</v>
      </c>
      <c r="O78" s="14">
        <f>IFERROR(_xlfn.XLOOKUP(VLOOKUP(tblEnlaces[[#This Row],[Canal]],tblCanales[#All],8,FALSE),tblPesosValorOperativo[Valor],tblPesosValorOperativo[Escalabilidad],0),0)</f>
        <v>0</v>
      </c>
      <c r="P78" s="53">
        <f>tblEnlaces[[#This Row],[Opacidad]]+tblEnlaces[[#This Row],[Escalabilidad]]+tblEnlaces[[#This Row],[Velocidad]]+tblEnlaces[[#This Row],[Trazabilidad]]</f>
        <v>9</v>
      </c>
    </row>
    <row r="79" spans="2:16" ht="16.5" customHeight="1" x14ac:dyDescent="0.25">
      <c r="B79" s="66" t="str">
        <f t="array" ref="B7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E023</v>
      </c>
      <c r="C79" s="10" t="s">
        <v>45</v>
      </c>
      <c r="D79" s="10" t="str">
        <f>VLOOKUP(tblEnlaces[[#This Row],[Nodo Inicial]],tblNodos[],2,FALSE)</f>
        <v>Estructuras organizadas de captación</v>
      </c>
      <c r="E79" s="39" t="s">
        <v>63</v>
      </c>
      <c r="F79" s="10" t="str">
        <f>VLOOKUP(tblEnlaces[[#This Row],[Nodo Final]],tblNodos[],2,FALSE)</f>
        <v>Intermediarios de pago digital (PSP /FinTech)</v>
      </c>
      <c r="G79" s="39" t="s">
        <v>210</v>
      </c>
      <c r="H79" s="39">
        <v>1</v>
      </c>
      <c r="I79" s="53">
        <f>IFERROR(_xlfn.XLOOKUP(VLOOKUP(tblEnlaces[[#This Row],[Canal]],tblCanales[#All],2,FALSE),tblPesosValorOperativo[Valor],tblPesosValorOperativo[Frecuencia de Uso],0),0)</f>
        <v>4</v>
      </c>
      <c r="J79" s="63">
        <f>IF(tblEnlaces[[#This Row],[Activo]]&lt;&gt;1,0,IFERROR(tblEnlaces[[#This Row],[Frecuencia de Uso]]/SUMIFS(tblEnlaces[Frecuencia de Uso],tblEnlaces[Enlace],tblEnlaces[[#This Row],[Enlace]],tblEnlaces[Activo],1),0))</f>
        <v>0.21052631578947367</v>
      </c>
      <c r="K79" s="62">
        <f>IFERROR(_xlfn.XLOOKUP(VLOOKUP(tblEnlaces[[#This Row],[Canal]],tblCanales[#All],3,FALSE),tblPesosCoste[Valor],tblPesosCoste[Peso],0),0)</f>
        <v>5</v>
      </c>
      <c r="L79" s="10">
        <f>IFERROR(_xlfn.XLOOKUP(VLOOKUP(tblEnlaces[[#This Row],[Canal]],tblCanales[#All],5,FALSE),tblPesosValorOperativo[Valor],tblPesosValorOperativo[Opacidad],0),0)</f>
        <v>3</v>
      </c>
      <c r="M79" s="14">
        <f>IFERROR(_xlfn.XLOOKUP(VLOOKUP(tblEnlaces[[#This Row],[Canal]],tblCanales[#All],6,FALSE),tblPesosValorOperativo[Valor],tblPesosValorOperativo[Trazabilidad],0),0)</f>
        <v>1</v>
      </c>
      <c r="N79" s="14">
        <f>IFERROR(_xlfn.XLOOKUP(VLOOKUP(tblEnlaces[[#This Row],[Canal]],tblCanales[#All],7,FALSE),tblPesosValorOperativo[Valor],tblPesosValorOperativo[Velocidad],0),0)</f>
        <v>5</v>
      </c>
      <c r="O79" s="14">
        <f>IFERROR(_xlfn.XLOOKUP(VLOOKUP(tblEnlaces[[#This Row],[Canal]],tblCanales[#All],8,FALSE),tblPesosValorOperativo[Valor],tblPesosValorOperativo[Escalabilidad],0),0)</f>
        <v>0</v>
      </c>
      <c r="P79" s="53">
        <f>tblEnlaces[[#This Row],[Opacidad]]+tblEnlaces[[#This Row],[Escalabilidad]]+tblEnlaces[[#This Row],[Velocidad]]+tblEnlaces[[#This Row],[Trazabilidad]]</f>
        <v>9</v>
      </c>
    </row>
    <row r="80" spans="2:16" ht="16.5" customHeight="1" x14ac:dyDescent="0.25">
      <c r="B80" s="66" t="str">
        <f t="array" ref="B8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E023</v>
      </c>
      <c r="C80" s="10" t="s">
        <v>45</v>
      </c>
      <c r="D80" s="10" t="str">
        <f>VLOOKUP(tblEnlaces[[#This Row],[Nodo Inicial]],tblNodos[],2,FALSE)</f>
        <v>Estructuras organizadas de captación</v>
      </c>
      <c r="E80" s="39" t="s">
        <v>63</v>
      </c>
      <c r="F80" s="10" t="str">
        <f>VLOOKUP(tblEnlaces[[#This Row],[Nodo Final]],tblNodos[],2,FALSE)</f>
        <v>Intermediarios de pago digital (PSP /FinTech)</v>
      </c>
      <c r="G80" s="39" t="s">
        <v>222</v>
      </c>
      <c r="H80" s="39">
        <v>1</v>
      </c>
      <c r="I80" s="53">
        <f>IFERROR(_xlfn.XLOOKUP(VLOOKUP(tblEnlaces[[#This Row],[Canal]],tblCanales[#All],2,FALSE),tblPesosValorOperativo[Valor],tblPesosValorOperativo[Frecuencia de Uso],0),0)</f>
        <v>4</v>
      </c>
      <c r="J80" s="63">
        <f>IF(tblEnlaces[[#This Row],[Activo]]&lt;&gt;1,0,IFERROR(tblEnlaces[[#This Row],[Frecuencia de Uso]]/SUMIFS(tblEnlaces[Frecuencia de Uso],tblEnlaces[Enlace],tblEnlaces[[#This Row],[Enlace]],tblEnlaces[Activo],1),0))</f>
        <v>0.21052631578947367</v>
      </c>
      <c r="K80" s="62">
        <f>IFERROR(_xlfn.XLOOKUP(VLOOKUP(tblEnlaces[[#This Row],[Canal]],tblCanales[#All],3,FALSE),tblPesosCoste[Valor],tblPesosCoste[Peso],0),0)</f>
        <v>5</v>
      </c>
      <c r="L80" s="10">
        <f>IFERROR(_xlfn.XLOOKUP(VLOOKUP(tblEnlaces[[#This Row],[Canal]],tblCanales[#All],5,FALSE),tblPesosValorOperativo[Valor],tblPesosValorOperativo[Opacidad],0),0)</f>
        <v>3</v>
      </c>
      <c r="M80" s="14">
        <f>IFERROR(_xlfn.XLOOKUP(VLOOKUP(tblEnlaces[[#This Row],[Canal]],tblCanales[#All],6,FALSE),tblPesosValorOperativo[Valor],tblPesosValorOperativo[Trazabilidad],0),0)</f>
        <v>1</v>
      </c>
      <c r="N80" s="14">
        <f>IFERROR(_xlfn.XLOOKUP(VLOOKUP(tblEnlaces[[#This Row],[Canal]],tblCanales[#All],7,FALSE),tblPesosValorOperativo[Valor],tblPesosValorOperativo[Velocidad],0),0)</f>
        <v>5</v>
      </c>
      <c r="O80" s="14">
        <f>IFERROR(_xlfn.XLOOKUP(VLOOKUP(tblEnlaces[[#This Row],[Canal]],tblCanales[#All],8,FALSE),tblPesosValorOperativo[Valor],tblPesosValorOperativo[Escalabilidad],0),0)</f>
        <v>0</v>
      </c>
      <c r="P80" s="53">
        <f>tblEnlaces[[#This Row],[Opacidad]]+tblEnlaces[[#This Row],[Escalabilidad]]+tblEnlaces[[#This Row],[Velocidad]]+tblEnlaces[[#This Row],[Trazabilidad]]</f>
        <v>9</v>
      </c>
    </row>
    <row r="81" spans="2:16" ht="16.5" customHeight="1" x14ac:dyDescent="0.25">
      <c r="B81" s="66" t="str">
        <f t="array" ref="B8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E023</v>
      </c>
      <c r="C81" s="10" t="s">
        <v>45</v>
      </c>
      <c r="D81" s="10" t="str">
        <f>VLOOKUP(tblEnlaces[[#This Row],[Nodo Inicial]],tblNodos[],2,FALSE)</f>
        <v>Estructuras organizadas de captación</v>
      </c>
      <c r="E81" s="39" t="s">
        <v>63</v>
      </c>
      <c r="F81" s="10" t="str">
        <f>VLOOKUP(tblEnlaces[[#This Row],[Nodo Final]],tblNodos[],2,FALSE)</f>
        <v>Intermediarios de pago digital (PSP /FinTech)</v>
      </c>
      <c r="G81" s="39" t="s">
        <v>252</v>
      </c>
      <c r="H81" s="39">
        <v>1</v>
      </c>
      <c r="I81" s="53">
        <f>IFERROR(_xlfn.XLOOKUP(VLOOKUP(tblEnlaces[[#This Row],[Canal]],tblCanales[#All],2,FALSE),tblPesosValorOperativo[Valor],tblPesosValorOperativo[Frecuencia de Uso],0),0)</f>
        <v>4</v>
      </c>
      <c r="J81" s="63">
        <f>IF(tblEnlaces[[#This Row],[Activo]]&lt;&gt;1,0,IFERROR(tblEnlaces[[#This Row],[Frecuencia de Uso]]/SUMIFS(tblEnlaces[Frecuencia de Uso],tblEnlaces[Enlace],tblEnlaces[[#This Row],[Enlace]],tblEnlaces[Activo],1),0))</f>
        <v>0.21052631578947367</v>
      </c>
      <c r="K81" s="62">
        <f>IFERROR(_xlfn.XLOOKUP(VLOOKUP(tblEnlaces[[#This Row],[Canal]],tblCanales[#All],3,FALSE),tblPesosCoste[Valor],tblPesosCoste[Peso],0),0)</f>
        <v>5</v>
      </c>
      <c r="L81" s="10">
        <f>IFERROR(_xlfn.XLOOKUP(VLOOKUP(tblEnlaces[[#This Row],[Canal]],tblCanales[#All],5,FALSE),tblPesosValorOperativo[Valor],tblPesosValorOperativo[Opacidad],0),0)</f>
        <v>3</v>
      </c>
      <c r="M81" s="14">
        <f>IFERROR(_xlfn.XLOOKUP(VLOOKUP(tblEnlaces[[#This Row],[Canal]],tblCanales[#All],6,FALSE),tblPesosValorOperativo[Valor],tblPesosValorOperativo[Trazabilidad],0),0)</f>
        <v>1</v>
      </c>
      <c r="N81" s="14">
        <f>IFERROR(_xlfn.XLOOKUP(VLOOKUP(tblEnlaces[[#This Row],[Canal]],tblCanales[#All],7,FALSE),tblPesosValorOperativo[Valor],tblPesosValorOperativo[Velocidad],0),0)</f>
        <v>5</v>
      </c>
      <c r="O81" s="14">
        <f>IFERROR(_xlfn.XLOOKUP(VLOOKUP(tblEnlaces[[#This Row],[Canal]],tblCanales[#All],8,FALSE),tblPesosValorOperativo[Valor],tblPesosValorOperativo[Escalabilidad],0),0)</f>
        <v>0</v>
      </c>
      <c r="P81" s="53">
        <f>tblEnlaces[[#This Row],[Opacidad]]+tblEnlaces[[#This Row],[Escalabilidad]]+tblEnlaces[[#This Row],[Velocidad]]+tblEnlaces[[#This Row],[Trazabilidad]]</f>
        <v>9</v>
      </c>
    </row>
    <row r="82" spans="2:16" ht="16.5" customHeight="1" x14ac:dyDescent="0.25">
      <c r="B82" s="66" t="str">
        <f t="array" ref="B8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E023</v>
      </c>
      <c r="C82" s="10" t="s">
        <v>45</v>
      </c>
      <c r="D82" s="10" t="str">
        <f>VLOOKUP(tblEnlaces[[#This Row],[Nodo Inicial]],tblNodos[],2,FALSE)</f>
        <v>Estructuras organizadas de captación</v>
      </c>
      <c r="E82" s="39" t="s">
        <v>63</v>
      </c>
      <c r="F82" s="10" t="str">
        <f>VLOOKUP(tblEnlaces[[#This Row],[Nodo Final]],tblNodos[],2,FALSE)</f>
        <v>Intermediarios de pago digital (PSP /FinTech)</v>
      </c>
      <c r="G82" s="39" t="s">
        <v>288</v>
      </c>
      <c r="H82" s="39">
        <v>1</v>
      </c>
      <c r="I82" s="53">
        <f>IFERROR(_xlfn.XLOOKUP(VLOOKUP(tblEnlaces[[#This Row],[Canal]],tblCanales[#All],2,FALSE),tblPesosValorOperativo[Valor],tblPesosValorOperativo[Frecuencia de Uso],0),0)</f>
        <v>3</v>
      </c>
      <c r="J82" s="63">
        <f>IF(tblEnlaces[[#This Row],[Activo]]&lt;&gt;1,0,IFERROR(tblEnlaces[[#This Row],[Frecuencia de Uso]]/SUMIFS(tblEnlaces[Frecuencia de Uso],tblEnlaces[Enlace],tblEnlaces[[#This Row],[Enlace]],tblEnlaces[Activo],1),0))</f>
        <v>0.15789473684210525</v>
      </c>
      <c r="K82" s="62">
        <f>IFERROR(_xlfn.XLOOKUP(VLOOKUP(tblEnlaces[[#This Row],[Canal]],tblCanales[#All],3,FALSE),tblPesosCoste[Valor],tblPesosCoste[Peso],0),0)</f>
        <v>5</v>
      </c>
      <c r="L82" s="10">
        <f>IFERROR(_xlfn.XLOOKUP(VLOOKUP(tblEnlaces[[#This Row],[Canal]],tblCanales[#All],5,FALSE),tblPesosValorOperativo[Valor],tblPesosValorOperativo[Opacidad],0),0)</f>
        <v>3</v>
      </c>
      <c r="M82" s="14">
        <f>IFERROR(_xlfn.XLOOKUP(VLOOKUP(tblEnlaces[[#This Row],[Canal]],tblCanales[#All],6,FALSE),tblPesosValorOperativo[Valor],tblPesosValorOperativo[Trazabilidad],0),0)</f>
        <v>1</v>
      </c>
      <c r="N82" s="14">
        <f>IFERROR(_xlfn.XLOOKUP(VLOOKUP(tblEnlaces[[#This Row],[Canal]],tblCanales[#All],7,FALSE),tblPesosValorOperativo[Valor],tblPesosValorOperativo[Velocidad],0),0)</f>
        <v>5</v>
      </c>
      <c r="O82" s="14">
        <f>IFERROR(_xlfn.XLOOKUP(VLOOKUP(tblEnlaces[[#This Row],[Canal]],tblCanales[#All],8,FALSE),tblPesosValorOperativo[Valor],tblPesosValorOperativo[Escalabilidad],0),0)</f>
        <v>0</v>
      </c>
      <c r="P82" s="53">
        <f>tblEnlaces[[#This Row],[Opacidad]]+tblEnlaces[[#This Row],[Escalabilidad]]+tblEnlaces[[#This Row],[Velocidad]]+tblEnlaces[[#This Row],[Trazabilidad]]</f>
        <v>9</v>
      </c>
    </row>
    <row r="83" spans="2:16" ht="16.5" customHeight="1" x14ac:dyDescent="0.25">
      <c r="B83" s="66" t="str">
        <f t="array" ref="B8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E023</v>
      </c>
      <c r="C83" s="10" t="s">
        <v>45</v>
      </c>
      <c r="D83" s="10" t="str">
        <f>VLOOKUP(tblEnlaces[[#This Row],[Nodo Inicial]],tblNodos[],2,FALSE)</f>
        <v>Estructuras organizadas de captación</v>
      </c>
      <c r="E83" s="39" t="s">
        <v>63</v>
      </c>
      <c r="F83" s="10" t="str">
        <f>VLOOKUP(tblEnlaces[[#This Row],[Nodo Final]],tblNodos[],2,FALSE)</f>
        <v>Intermediarios de pago digital (PSP /FinTech)</v>
      </c>
      <c r="G83" s="39" t="s">
        <v>186</v>
      </c>
      <c r="H83" s="39">
        <v>1</v>
      </c>
      <c r="I83" s="53">
        <f>IFERROR(_xlfn.XLOOKUP(VLOOKUP(tblEnlaces[[#This Row],[Canal]],tblCanales[#All],2,FALSE),tblPesosValorOperativo[Valor],tblPesosValorOperativo[Frecuencia de Uso],0),0)</f>
        <v>4</v>
      </c>
      <c r="J83" s="63">
        <f>IF(tblEnlaces[[#This Row],[Activo]]&lt;&gt;1,0,IFERROR(tblEnlaces[[#This Row],[Frecuencia de Uso]]/SUMIFS(tblEnlaces[Frecuencia de Uso],tblEnlaces[Enlace],tblEnlaces[[#This Row],[Enlace]],tblEnlaces[Activo],1),0))</f>
        <v>0.21052631578947367</v>
      </c>
      <c r="K83" s="62">
        <f>IFERROR(_xlfn.XLOOKUP(VLOOKUP(tblEnlaces[[#This Row],[Canal]],tblCanales[#All],3,FALSE),tblPesosCoste[Valor],tblPesosCoste[Peso],0),0)</f>
        <v>5</v>
      </c>
      <c r="L83" s="10">
        <f>IFERROR(_xlfn.XLOOKUP(VLOOKUP(tblEnlaces[[#This Row],[Canal]],tblCanales[#All],5,FALSE),tblPesosValorOperativo[Valor],tblPesosValorOperativo[Opacidad],0),0)</f>
        <v>2</v>
      </c>
      <c r="M83" s="14">
        <f>IFERROR(_xlfn.XLOOKUP(VLOOKUP(tblEnlaces[[#This Row],[Canal]],tblCanales[#All],6,FALSE),tblPesosValorOperativo[Valor],tblPesosValorOperativo[Trazabilidad],0),0)</f>
        <v>1</v>
      </c>
      <c r="N83" s="14">
        <f>IFERROR(_xlfn.XLOOKUP(VLOOKUP(tblEnlaces[[#This Row],[Canal]],tblCanales[#All],7,FALSE),tblPesosValorOperativo[Valor],tblPesosValorOperativo[Velocidad],0),0)</f>
        <v>5</v>
      </c>
      <c r="O83" s="14">
        <f>IFERROR(_xlfn.XLOOKUP(VLOOKUP(tblEnlaces[[#This Row],[Canal]],tblCanales[#All],8,FALSE),tblPesosValorOperativo[Valor],tblPesosValorOperativo[Escalabilidad],0),0)</f>
        <v>0</v>
      </c>
      <c r="P83" s="53">
        <f>tblEnlaces[[#This Row],[Opacidad]]+tblEnlaces[[#This Row],[Escalabilidad]]+tblEnlaces[[#This Row],[Velocidad]]+tblEnlaces[[#This Row],[Trazabilidad]]</f>
        <v>8</v>
      </c>
    </row>
    <row r="84" spans="2:16" ht="16.5" customHeight="1" x14ac:dyDescent="0.25">
      <c r="B84" s="66" t="str">
        <f t="array" ref="B8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E024</v>
      </c>
      <c r="C84" s="10" t="s">
        <v>45</v>
      </c>
      <c r="D84" s="10" t="str">
        <f>VLOOKUP(tblEnlaces[[#This Row],[Nodo Inicial]],tblNodos[],2,FALSE)</f>
        <v>Estructuras organizadas de captación</v>
      </c>
      <c r="E84" s="39" t="s">
        <v>55</v>
      </c>
      <c r="F84" s="10" t="str">
        <f>VLOOKUP(tblEnlaces[[#This Row],[Nodo Final]],tblNodos[],2,FALSE)</f>
        <v>Intermediarios informales y paralelos</v>
      </c>
      <c r="G84" s="39" t="s">
        <v>162</v>
      </c>
      <c r="H84" s="39">
        <v>1</v>
      </c>
      <c r="I84" s="53">
        <f>IFERROR(_xlfn.XLOOKUP(VLOOKUP(tblEnlaces[[#This Row],[Canal]],tblCanales[#All],2,FALSE),tblPesosValorOperativo[Valor],tblPesosValorOperativo[Frecuencia de Uso],0),0)</f>
        <v>5</v>
      </c>
      <c r="J84" s="63">
        <f>IF(tblEnlaces[[#This Row],[Activo]]&lt;&gt;1,0,IFERROR(tblEnlaces[[#This Row],[Frecuencia de Uso]]/SUMIFS(tblEnlaces[Frecuencia de Uso],tblEnlaces[Enlace],tblEnlaces[[#This Row],[Enlace]],tblEnlaces[Activo],1),0))</f>
        <v>0.7142857142857143</v>
      </c>
      <c r="K84" s="62">
        <f>IFERROR(_xlfn.XLOOKUP(VLOOKUP(tblEnlaces[[#This Row],[Canal]],tblCanales[#All],3,FALSE),tblPesosCoste[Valor],tblPesosCoste[Peso],0),0)</f>
        <v>5</v>
      </c>
      <c r="L84" s="10">
        <f>IFERROR(_xlfn.XLOOKUP(VLOOKUP(tblEnlaces[[#This Row],[Canal]],tblCanales[#All],5,FALSE),tblPesosValorOperativo[Valor],tblPesosValorOperativo[Opacidad],0),0)</f>
        <v>1</v>
      </c>
      <c r="M84" s="14">
        <f>IFERROR(_xlfn.XLOOKUP(VLOOKUP(tblEnlaces[[#This Row],[Canal]],tblCanales[#All],6,FALSE),tblPesosValorOperativo[Valor],tblPesosValorOperativo[Trazabilidad],0),0)</f>
        <v>1</v>
      </c>
      <c r="N84" s="14">
        <f>IFERROR(_xlfn.XLOOKUP(VLOOKUP(tblEnlaces[[#This Row],[Canal]],tblCanales[#All],7,FALSE),tblPesosValorOperativo[Valor],tblPesosValorOperativo[Velocidad],0),0)</f>
        <v>5</v>
      </c>
      <c r="O84" s="14">
        <f>IFERROR(_xlfn.XLOOKUP(VLOOKUP(tblEnlaces[[#This Row],[Canal]],tblCanales[#All],8,FALSE),tblPesosValorOperativo[Valor],tblPesosValorOperativo[Escalabilidad],0),0)</f>
        <v>0</v>
      </c>
      <c r="P84" s="53">
        <f>tblEnlaces[[#This Row],[Opacidad]]+tblEnlaces[[#This Row],[Escalabilidad]]+tblEnlaces[[#This Row],[Velocidad]]+tblEnlaces[[#This Row],[Trazabilidad]]</f>
        <v>7</v>
      </c>
    </row>
    <row r="85" spans="2:16" ht="16.5" customHeight="1" x14ac:dyDescent="0.25">
      <c r="B85" s="66" t="str">
        <f t="array" ref="B8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E024</v>
      </c>
      <c r="C85" s="10" t="s">
        <v>45</v>
      </c>
      <c r="D85" s="10" t="str">
        <f>VLOOKUP(tblEnlaces[[#This Row],[Nodo Inicial]],tblNodos[],2,FALSE)</f>
        <v>Estructuras organizadas de captación</v>
      </c>
      <c r="E85" s="39" t="s">
        <v>55</v>
      </c>
      <c r="F85" s="10" t="str">
        <f>VLOOKUP(tblEnlaces[[#This Row],[Nodo Final]],tblNodos[],2,FALSE)</f>
        <v>Intermediarios informales y paralelos</v>
      </c>
      <c r="G85" s="39" t="s">
        <v>294</v>
      </c>
      <c r="H85" s="39">
        <v>1</v>
      </c>
      <c r="I85" s="53">
        <f>IFERROR(_xlfn.XLOOKUP(VLOOKUP(tblEnlaces[[#This Row],[Canal]],tblCanales[#All],2,FALSE),tblPesosValorOperativo[Valor],tblPesosValorOperativo[Frecuencia de Uso],0),0)</f>
        <v>2</v>
      </c>
      <c r="J85" s="63">
        <f>IF(tblEnlaces[[#This Row],[Activo]]&lt;&gt;1,0,IFERROR(tblEnlaces[[#This Row],[Frecuencia de Uso]]/SUMIFS(tblEnlaces[Frecuencia de Uso],tblEnlaces[Enlace],tblEnlaces[[#This Row],[Enlace]],tblEnlaces[Activo],1),0))</f>
        <v>0.2857142857142857</v>
      </c>
      <c r="K85" s="62">
        <f>IFERROR(_xlfn.XLOOKUP(VLOOKUP(tblEnlaces[[#This Row],[Canal]],tblCanales[#All],3,FALSE),tblPesosCoste[Valor],tblPesosCoste[Peso],0),0)</f>
        <v>4</v>
      </c>
      <c r="L85" s="10">
        <f>IFERROR(_xlfn.XLOOKUP(VLOOKUP(tblEnlaces[[#This Row],[Canal]],tblCanales[#All],5,FALSE),tblPesosValorOperativo[Valor],tblPesosValorOperativo[Opacidad],0),0)</f>
        <v>1</v>
      </c>
      <c r="M85" s="14">
        <f>IFERROR(_xlfn.XLOOKUP(VLOOKUP(tblEnlaces[[#This Row],[Canal]],tblCanales[#All],6,FALSE),tblPesosValorOperativo[Valor],tblPesosValorOperativo[Trazabilidad],0),0)</f>
        <v>2</v>
      </c>
      <c r="N85" s="14">
        <f>IFERROR(_xlfn.XLOOKUP(VLOOKUP(tblEnlaces[[#This Row],[Canal]],tblCanales[#All],7,FALSE),tblPesosValorOperativo[Valor],tblPesosValorOperativo[Velocidad],0),0)</f>
        <v>3</v>
      </c>
      <c r="O85" s="14">
        <f>IFERROR(_xlfn.XLOOKUP(VLOOKUP(tblEnlaces[[#This Row],[Canal]],tblCanales[#All],8,FALSE),tblPesosValorOperativo[Valor],tblPesosValorOperativo[Escalabilidad],0),0)</f>
        <v>0</v>
      </c>
      <c r="P85" s="53">
        <f>tblEnlaces[[#This Row],[Opacidad]]+tblEnlaces[[#This Row],[Escalabilidad]]+tblEnlaces[[#This Row],[Velocidad]]+tblEnlaces[[#This Row],[Trazabilidad]]</f>
        <v>6</v>
      </c>
    </row>
    <row r="86" spans="2:16" ht="16.5" customHeight="1" x14ac:dyDescent="0.25">
      <c r="B86" s="66" t="str">
        <f t="array" ref="B8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E025</v>
      </c>
      <c r="C86" s="10" t="s">
        <v>47</v>
      </c>
      <c r="D86" s="10" t="str">
        <f>VLOOKUP(tblEnlaces[[#This Row],[Nodo Inicial]],tblNodos[],2,FALSE)</f>
        <v>Colectores digitales instrumentales</v>
      </c>
      <c r="E86" s="39" t="s">
        <v>83</v>
      </c>
      <c r="F86" s="10" t="str">
        <f>VLOOKUP(tblEnlaces[[#This Row],[Nodo Final]],tblNodos[],2,FALSE)</f>
        <v>Coordinación de la red y soporte estratégico</v>
      </c>
      <c r="G86" s="39" t="s">
        <v>180</v>
      </c>
      <c r="H86" s="39">
        <v>1</v>
      </c>
      <c r="I86" s="53">
        <f>IFERROR(_xlfn.XLOOKUP(VLOOKUP(tblEnlaces[[#This Row],[Canal]],tblCanales[#All],2,FALSE),tblPesosValorOperativo[Valor],tblPesosValorOperativo[Frecuencia de Uso],0),0)</f>
        <v>4</v>
      </c>
      <c r="J86" s="63">
        <f>IF(tblEnlaces[[#This Row],[Activo]]&lt;&gt;1,0,IFERROR(tblEnlaces[[#This Row],[Frecuencia de Uso]]/SUMIFS(tblEnlaces[Frecuencia de Uso],tblEnlaces[Enlace],tblEnlaces[[#This Row],[Enlace]],tblEnlaces[Activo],1),0))</f>
        <v>0.30769230769230771</v>
      </c>
      <c r="K86" s="62">
        <f>IFERROR(_xlfn.XLOOKUP(VLOOKUP(tblEnlaces[[#This Row],[Canal]],tblCanales[#All],3,FALSE),tblPesosCoste[Valor],tblPesosCoste[Peso],0),0)</f>
        <v>5</v>
      </c>
      <c r="L86" s="10">
        <f>IFERROR(_xlfn.XLOOKUP(VLOOKUP(tblEnlaces[[#This Row],[Canal]],tblCanales[#All],5,FALSE),tblPesosValorOperativo[Valor],tblPesosValorOperativo[Opacidad],0),0)</f>
        <v>3</v>
      </c>
      <c r="M86" s="14">
        <f>IFERROR(_xlfn.XLOOKUP(VLOOKUP(tblEnlaces[[#This Row],[Canal]],tblCanales[#All],6,FALSE),tblPesosValorOperativo[Valor],tblPesosValorOperativo[Trazabilidad],0),0)</f>
        <v>1</v>
      </c>
      <c r="N86" s="14">
        <f>IFERROR(_xlfn.XLOOKUP(VLOOKUP(tblEnlaces[[#This Row],[Canal]],tblCanales[#All],7,FALSE),tblPesosValorOperativo[Valor],tblPesosValorOperativo[Velocidad],0),0)</f>
        <v>5</v>
      </c>
      <c r="O86" s="14">
        <f>IFERROR(_xlfn.XLOOKUP(VLOOKUP(tblEnlaces[[#This Row],[Canal]],tblCanales[#All],8,FALSE),tblPesosValorOperativo[Valor],tblPesosValorOperativo[Escalabilidad],0),0)</f>
        <v>0</v>
      </c>
      <c r="P86" s="53">
        <f>tblEnlaces[[#This Row],[Opacidad]]+tblEnlaces[[#This Row],[Escalabilidad]]+tblEnlaces[[#This Row],[Velocidad]]+tblEnlaces[[#This Row],[Trazabilidad]]</f>
        <v>9</v>
      </c>
    </row>
    <row r="87" spans="2:16" ht="16.5" customHeight="1" x14ac:dyDescent="0.25">
      <c r="B87" s="66" t="str">
        <f t="array" ref="B8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E025</v>
      </c>
      <c r="C87" s="10" t="s">
        <v>47</v>
      </c>
      <c r="D87" s="10" t="str">
        <f>VLOOKUP(tblEnlaces[[#This Row],[Nodo Inicial]],tblNodos[],2,FALSE)</f>
        <v>Colectores digitales instrumentales</v>
      </c>
      <c r="E87" s="39" t="s">
        <v>83</v>
      </c>
      <c r="F87" s="10" t="str">
        <f>VLOOKUP(tblEnlaces[[#This Row],[Nodo Final]],tblNodos[],2,FALSE)</f>
        <v>Coordinación de la red y soporte estratégico</v>
      </c>
      <c r="G87" s="39" t="s">
        <v>192</v>
      </c>
      <c r="H87" s="39">
        <v>1</v>
      </c>
      <c r="I87" s="53">
        <f>IFERROR(_xlfn.XLOOKUP(VLOOKUP(tblEnlaces[[#This Row],[Canal]],tblCanales[#All],2,FALSE),tblPesosValorOperativo[Valor],tblPesosValorOperativo[Frecuencia de Uso],0),0)</f>
        <v>3</v>
      </c>
      <c r="J87" s="63">
        <f>IF(tblEnlaces[[#This Row],[Activo]]&lt;&gt;1,0,IFERROR(tblEnlaces[[#This Row],[Frecuencia de Uso]]/SUMIFS(tblEnlaces[Frecuencia de Uso],tblEnlaces[Enlace],tblEnlaces[[#This Row],[Enlace]],tblEnlaces[Activo],1),0))</f>
        <v>0.23076923076923078</v>
      </c>
      <c r="K87" s="62">
        <f>IFERROR(_xlfn.XLOOKUP(VLOOKUP(tblEnlaces[[#This Row],[Canal]],tblCanales[#All],3,FALSE),tblPesosCoste[Valor],tblPesosCoste[Peso],0),0)</f>
        <v>5</v>
      </c>
      <c r="L87" s="10">
        <f>IFERROR(_xlfn.XLOOKUP(VLOOKUP(tblEnlaces[[#This Row],[Canal]],tblCanales[#All],5,FALSE),tblPesosValorOperativo[Valor],tblPesosValorOperativo[Opacidad],0),0)</f>
        <v>3</v>
      </c>
      <c r="M87" s="14">
        <f>IFERROR(_xlfn.XLOOKUP(VLOOKUP(tblEnlaces[[#This Row],[Canal]],tblCanales[#All],6,FALSE),tblPesosValorOperativo[Valor],tblPesosValorOperativo[Trazabilidad],0),0)</f>
        <v>1</v>
      </c>
      <c r="N87" s="14">
        <f>IFERROR(_xlfn.XLOOKUP(VLOOKUP(tblEnlaces[[#This Row],[Canal]],tblCanales[#All],7,FALSE),tblPesosValorOperativo[Valor],tblPesosValorOperativo[Velocidad],0),0)</f>
        <v>5</v>
      </c>
      <c r="O87" s="14">
        <f>IFERROR(_xlfn.XLOOKUP(VLOOKUP(tblEnlaces[[#This Row],[Canal]],tblCanales[#All],8,FALSE),tblPesosValorOperativo[Valor],tblPesosValorOperativo[Escalabilidad],0),0)</f>
        <v>0</v>
      </c>
      <c r="P87" s="53">
        <f>tblEnlaces[[#This Row],[Opacidad]]+tblEnlaces[[#This Row],[Escalabilidad]]+tblEnlaces[[#This Row],[Velocidad]]+tblEnlaces[[#This Row],[Trazabilidad]]</f>
        <v>9</v>
      </c>
    </row>
    <row r="88" spans="2:16" ht="16.5" customHeight="1" x14ac:dyDescent="0.25">
      <c r="B88" s="66" t="str">
        <f t="array" ref="B8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E025</v>
      </c>
      <c r="C88" s="10" t="s">
        <v>47</v>
      </c>
      <c r="D88" s="10" t="str">
        <f>VLOOKUP(tblEnlaces[[#This Row],[Nodo Inicial]],tblNodos[],2,FALSE)</f>
        <v>Colectores digitales instrumentales</v>
      </c>
      <c r="E88" s="39" t="s">
        <v>83</v>
      </c>
      <c r="F88" s="10" t="str">
        <f>VLOOKUP(tblEnlaces[[#This Row],[Nodo Final]],tblNodos[],2,FALSE)</f>
        <v>Coordinación de la red y soporte estratégico</v>
      </c>
      <c r="G88" s="39" t="s">
        <v>210</v>
      </c>
      <c r="H88" s="39">
        <v>1</v>
      </c>
      <c r="I88" s="53">
        <f>IFERROR(_xlfn.XLOOKUP(VLOOKUP(tblEnlaces[[#This Row],[Canal]],tblCanales[#All],2,FALSE),tblPesosValorOperativo[Valor],tblPesosValorOperativo[Frecuencia de Uso],0),0)</f>
        <v>4</v>
      </c>
      <c r="J88" s="63">
        <f>IF(tblEnlaces[[#This Row],[Activo]]&lt;&gt;1,0,IFERROR(tblEnlaces[[#This Row],[Frecuencia de Uso]]/SUMIFS(tblEnlaces[Frecuencia de Uso],tblEnlaces[Enlace],tblEnlaces[[#This Row],[Enlace]],tblEnlaces[Activo],1),0))</f>
        <v>0.30769230769230771</v>
      </c>
      <c r="K88" s="62">
        <f>IFERROR(_xlfn.XLOOKUP(VLOOKUP(tblEnlaces[[#This Row],[Canal]],tblCanales[#All],3,FALSE),tblPesosCoste[Valor],tblPesosCoste[Peso],0),0)</f>
        <v>5</v>
      </c>
      <c r="L88" s="10">
        <f>IFERROR(_xlfn.XLOOKUP(VLOOKUP(tblEnlaces[[#This Row],[Canal]],tblCanales[#All],5,FALSE),tblPesosValorOperativo[Valor],tblPesosValorOperativo[Opacidad],0),0)</f>
        <v>3</v>
      </c>
      <c r="M88" s="14">
        <f>IFERROR(_xlfn.XLOOKUP(VLOOKUP(tblEnlaces[[#This Row],[Canal]],tblCanales[#All],6,FALSE),tblPesosValorOperativo[Valor],tblPesosValorOperativo[Trazabilidad],0),0)</f>
        <v>1</v>
      </c>
      <c r="N88" s="14">
        <f>IFERROR(_xlfn.XLOOKUP(VLOOKUP(tblEnlaces[[#This Row],[Canal]],tblCanales[#All],7,FALSE),tblPesosValorOperativo[Valor],tblPesosValorOperativo[Velocidad],0),0)</f>
        <v>5</v>
      </c>
      <c r="O88" s="14">
        <f>IFERROR(_xlfn.XLOOKUP(VLOOKUP(tblEnlaces[[#This Row],[Canal]],tblCanales[#All],8,FALSE),tblPesosValorOperativo[Valor],tblPesosValorOperativo[Escalabilidad],0),0)</f>
        <v>0</v>
      </c>
      <c r="P88" s="53">
        <f>tblEnlaces[[#This Row],[Opacidad]]+tblEnlaces[[#This Row],[Escalabilidad]]+tblEnlaces[[#This Row],[Velocidad]]+tblEnlaces[[#This Row],[Trazabilidad]]</f>
        <v>9</v>
      </c>
    </row>
    <row r="89" spans="2:16" ht="16.5" customHeight="1" x14ac:dyDescent="0.25">
      <c r="B89" s="66" t="str">
        <f t="array" ref="B8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E025</v>
      </c>
      <c r="C89" s="10" t="s">
        <v>47</v>
      </c>
      <c r="D89" s="10" t="str">
        <f>VLOOKUP(tblEnlaces[[#This Row],[Nodo Inicial]],tblNodos[],2,FALSE)</f>
        <v>Colectores digitales instrumentales</v>
      </c>
      <c r="E89" s="39" t="s">
        <v>83</v>
      </c>
      <c r="F89" s="10" t="str">
        <f>VLOOKUP(tblEnlaces[[#This Row],[Nodo Final]],tblNodos[],2,FALSE)</f>
        <v>Coordinación de la red y soporte estratégico</v>
      </c>
      <c r="G89" s="39" t="s">
        <v>198</v>
      </c>
      <c r="H89" s="39">
        <v>1</v>
      </c>
      <c r="I89" s="53">
        <f>IFERROR(_xlfn.XLOOKUP(VLOOKUP(tblEnlaces[[#This Row],[Canal]],tblCanales[#All],2,FALSE),tblPesosValorOperativo[Valor],tblPesosValorOperativo[Frecuencia de Uso],0),0)</f>
        <v>2</v>
      </c>
      <c r="J89" s="63">
        <f>IF(tblEnlaces[[#This Row],[Activo]]&lt;&gt;1,0,IFERROR(tblEnlaces[[#This Row],[Frecuencia de Uso]]/SUMIFS(tblEnlaces[Frecuencia de Uso],tblEnlaces[Enlace],tblEnlaces[[#This Row],[Enlace]],tblEnlaces[Activo],1),0))</f>
        <v>0.15384615384615385</v>
      </c>
      <c r="K89" s="62">
        <f>IFERROR(_xlfn.XLOOKUP(VLOOKUP(tblEnlaces[[#This Row],[Canal]],tblCanales[#All],3,FALSE),tblPesosCoste[Valor],tblPesosCoste[Peso],0),0)</f>
        <v>5</v>
      </c>
      <c r="L89" s="10">
        <f>IFERROR(_xlfn.XLOOKUP(VLOOKUP(tblEnlaces[[#This Row],[Canal]],tblCanales[#All],5,FALSE),tblPesosValorOperativo[Valor],tblPesosValorOperativo[Opacidad],0),0)</f>
        <v>3</v>
      </c>
      <c r="M89" s="14">
        <f>IFERROR(_xlfn.XLOOKUP(VLOOKUP(tblEnlaces[[#This Row],[Canal]],tblCanales[#All],6,FALSE),tblPesosValorOperativo[Valor],tblPesosValorOperativo[Trazabilidad],0),0)</f>
        <v>3</v>
      </c>
      <c r="N89" s="14">
        <f>IFERROR(_xlfn.XLOOKUP(VLOOKUP(tblEnlaces[[#This Row],[Canal]],tblCanales[#All],7,FALSE),tblPesosValorOperativo[Valor],tblPesosValorOperativo[Velocidad],0),0)</f>
        <v>4</v>
      </c>
      <c r="O89" s="14">
        <f>IFERROR(_xlfn.XLOOKUP(VLOOKUP(tblEnlaces[[#This Row],[Canal]],tblCanales[#All],8,FALSE),tblPesosValorOperativo[Valor],tblPesosValorOperativo[Escalabilidad],0),0)</f>
        <v>0</v>
      </c>
      <c r="P89" s="53">
        <f>tblEnlaces[[#This Row],[Opacidad]]+tblEnlaces[[#This Row],[Escalabilidad]]+tblEnlaces[[#This Row],[Velocidad]]+tblEnlaces[[#This Row],[Trazabilidad]]</f>
        <v>10</v>
      </c>
    </row>
    <row r="90" spans="2:16" ht="16.5" customHeight="1" x14ac:dyDescent="0.25">
      <c r="B90" s="66" t="str">
        <f t="array" ref="B9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E026</v>
      </c>
      <c r="C90" s="10" t="s">
        <v>47</v>
      </c>
      <c r="D90" s="10" t="str">
        <f>VLOOKUP(tblEnlaces[[#This Row],[Nodo Inicial]],tblNodos[],2,FALSE)</f>
        <v>Colectores digitales instrumentales</v>
      </c>
      <c r="E90" s="39" t="s">
        <v>63</v>
      </c>
      <c r="F90" s="10" t="str">
        <f>VLOOKUP(tblEnlaces[[#This Row],[Nodo Final]],tblNodos[],2,FALSE)</f>
        <v>Intermediarios de pago digital (PSP /FinTech)</v>
      </c>
      <c r="G90" s="39" t="s">
        <v>288</v>
      </c>
      <c r="H90" s="39">
        <v>1</v>
      </c>
      <c r="I90" s="53">
        <f>IFERROR(_xlfn.XLOOKUP(VLOOKUP(tblEnlaces[[#This Row],[Canal]],tblCanales[#All],2,FALSE),tblPesosValorOperativo[Valor],tblPesosValorOperativo[Frecuencia de Uso],0),0)</f>
        <v>3</v>
      </c>
      <c r="J90" s="63">
        <f>IF(tblEnlaces[[#This Row],[Activo]]&lt;&gt;1,0,IFERROR(tblEnlaces[[#This Row],[Frecuencia de Uso]]/SUMIFS(tblEnlaces[Frecuencia de Uso],tblEnlaces[Enlace],tblEnlaces[[#This Row],[Enlace]],tblEnlaces[Activo],1),0))</f>
        <v>0.13043478260869565</v>
      </c>
      <c r="K90" s="62">
        <f>IFERROR(_xlfn.XLOOKUP(VLOOKUP(tblEnlaces[[#This Row],[Canal]],tblCanales[#All],3,FALSE),tblPesosCoste[Valor],tblPesosCoste[Peso],0),0)</f>
        <v>5</v>
      </c>
      <c r="L90" s="10">
        <f>IFERROR(_xlfn.XLOOKUP(VLOOKUP(tblEnlaces[[#This Row],[Canal]],tblCanales[#All],5,FALSE),tblPesosValorOperativo[Valor],tblPesosValorOperativo[Opacidad],0),0)</f>
        <v>3</v>
      </c>
      <c r="M90" s="14">
        <f>IFERROR(_xlfn.XLOOKUP(VLOOKUP(tblEnlaces[[#This Row],[Canal]],tblCanales[#All],6,FALSE),tblPesosValorOperativo[Valor],tblPesosValorOperativo[Trazabilidad],0),0)</f>
        <v>1</v>
      </c>
      <c r="N90" s="14">
        <f>IFERROR(_xlfn.XLOOKUP(VLOOKUP(tblEnlaces[[#This Row],[Canal]],tblCanales[#All],7,FALSE),tblPesosValorOperativo[Valor],tblPesosValorOperativo[Velocidad],0),0)</f>
        <v>5</v>
      </c>
      <c r="O90" s="14">
        <f>IFERROR(_xlfn.XLOOKUP(VLOOKUP(tblEnlaces[[#This Row],[Canal]],tblCanales[#All],8,FALSE),tblPesosValorOperativo[Valor],tblPesosValorOperativo[Escalabilidad],0),0)</f>
        <v>0</v>
      </c>
      <c r="P90" s="53">
        <f>tblEnlaces[[#This Row],[Opacidad]]+tblEnlaces[[#This Row],[Escalabilidad]]+tblEnlaces[[#This Row],[Velocidad]]+tblEnlaces[[#This Row],[Trazabilidad]]</f>
        <v>9</v>
      </c>
    </row>
    <row r="91" spans="2:16" ht="16.5" customHeight="1" x14ac:dyDescent="0.25">
      <c r="B91" s="66" t="str">
        <f t="array" ref="B9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E026</v>
      </c>
      <c r="C91" s="10" t="s">
        <v>47</v>
      </c>
      <c r="D91" s="10" t="str">
        <f>VLOOKUP(tblEnlaces[[#This Row],[Nodo Inicial]],tblNodos[],2,FALSE)</f>
        <v>Colectores digitales instrumentales</v>
      </c>
      <c r="E91" s="39" t="s">
        <v>63</v>
      </c>
      <c r="F91" s="10" t="str">
        <f>VLOOKUP(tblEnlaces[[#This Row],[Nodo Final]],tblNodos[],2,FALSE)</f>
        <v>Intermediarios de pago digital (PSP /FinTech)</v>
      </c>
      <c r="G91" s="39" t="s">
        <v>222</v>
      </c>
      <c r="H91" s="39">
        <v>1</v>
      </c>
      <c r="I91" s="53">
        <f>IFERROR(_xlfn.XLOOKUP(VLOOKUP(tblEnlaces[[#This Row],[Canal]],tblCanales[#All],2,FALSE),tblPesosValorOperativo[Valor],tblPesosValorOperativo[Frecuencia de Uso],0),0)</f>
        <v>4</v>
      </c>
      <c r="J91" s="63">
        <f>IF(tblEnlaces[[#This Row],[Activo]]&lt;&gt;1,0,IFERROR(tblEnlaces[[#This Row],[Frecuencia de Uso]]/SUMIFS(tblEnlaces[Frecuencia de Uso],tblEnlaces[Enlace],tblEnlaces[[#This Row],[Enlace]],tblEnlaces[Activo],1),0))</f>
        <v>0.17391304347826086</v>
      </c>
      <c r="K91" s="62">
        <f>IFERROR(_xlfn.XLOOKUP(VLOOKUP(tblEnlaces[[#This Row],[Canal]],tblCanales[#All],3,FALSE),tblPesosCoste[Valor],tblPesosCoste[Peso],0),0)</f>
        <v>5</v>
      </c>
      <c r="L91" s="10">
        <f>IFERROR(_xlfn.XLOOKUP(VLOOKUP(tblEnlaces[[#This Row],[Canal]],tblCanales[#All],5,FALSE),tblPesosValorOperativo[Valor],tblPesosValorOperativo[Opacidad],0),0)</f>
        <v>3</v>
      </c>
      <c r="M91" s="14">
        <f>IFERROR(_xlfn.XLOOKUP(VLOOKUP(tblEnlaces[[#This Row],[Canal]],tblCanales[#All],6,FALSE),tblPesosValorOperativo[Valor],tblPesosValorOperativo[Trazabilidad],0),0)</f>
        <v>1</v>
      </c>
      <c r="N91" s="14">
        <f>IFERROR(_xlfn.XLOOKUP(VLOOKUP(tblEnlaces[[#This Row],[Canal]],tblCanales[#All],7,FALSE),tblPesosValorOperativo[Valor],tblPesosValorOperativo[Velocidad],0),0)</f>
        <v>5</v>
      </c>
      <c r="O91" s="14">
        <f>IFERROR(_xlfn.XLOOKUP(VLOOKUP(tblEnlaces[[#This Row],[Canal]],tblCanales[#All],8,FALSE),tblPesosValorOperativo[Valor],tblPesosValorOperativo[Escalabilidad],0),0)</f>
        <v>0</v>
      </c>
      <c r="P91" s="53">
        <f>tblEnlaces[[#This Row],[Opacidad]]+tblEnlaces[[#This Row],[Escalabilidad]]+tblEnlaces[[#This Row],[Velocidad]]+tblEnlaces[[#This Row],[Trazabilidad]]</f>
        <v>9</v>
      </c>
    </row>
    <row r="92" spans="2:16" ht="16.5" customHeight="1" x14ac:dyDescent="0.25">
      <c r="B92" s="66" t="str">
        <f t="array" ref="B9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E026</v>
      </c>
      <c r="C92" s="10" t="s">
        <v>47</v>
      </c>
      <c r="D92" s="10" t="str">
        <f>VLOOKUP(tblEnlaces[[#This Row],[Nodo Inicial]],tblNodos[],2,FALSE)</f>
        <v>Colectores digitales instrumentales</v>
      </c>
      <c r="E92" s="39" t="s">
        <v>63</v>
      </c>
      <c r="F92" s="10" t="str">
        <f>VLOOKUP(tblEnlaces[[#This Row],[Nodo Final]],tblNodos[],2,FALSE)</f>
        <v>Intermediarios de pago digital (PSP /FinTech)</v>
      </c>
      <c r="G92" s="39" t="s">
        <v>252</v>
      </c>
      <c r="H92" s="39">
        <v>1</v>
      </c>
      <c r="I92" s="53">
        <f>IFERROR(_xlfn.XLOOKUP(VLOOKUP(tblEnlaces[[#This Row],[Canal]],tblCanales[#All],2,FALSE),tblPesosValorOperativo[Valor],tblPesosValorOperativo[Frecuencia de Uso],0),0)</f>
        <v>4</v>
      </c>
      <c r="J92" s="63">
        <f>IF(tblEnlaces[[#This Row],[Activo]]&lt;&gt;1,0,IFERROR(tblEnlaces[[#This Row],[Frecuencia de Uso]]/SUMIFS(tblEnlaces[Frecuencia de Uso],tblEnlaces[Enlace],tblEnlaces[[#This Row],[Enlace]],tblEnlaces[Activo],1),0))</f>
        <v>0.17391304347826086</v>
      </c>
      <c r="K92" s="62">
        <f>IFERROR(_xlfn.XLOOKUP(VLOOKUP(tblEnlaces[[#This Row],[Canal]],tblCanales[#All],3,FALSE),tblPesosCoste[Valor],tblPesosCoste[Peso],0),0)</f>
        <v>5</v>
      </c>
      <c r="L92" s="10">
        <f>IFERROR(_xlfn.XLOOKUP(VLOOKUP(tblEnlaces[[#This Row],[Canal]],tblCanales[#All],5,FALSE),tblPesosValorOperativo[Valor],tblPesosValorOperativo[Opacidad],0),0)</f>
        <v>3</v>
      </c>
      <c r="M92" s="14">
        <f>IFERROR(_xlfn.XLOOKUP(VLOOKUP(tblEnlaces[[#This Row],[Canal]],tblCanales[#All],6,FALSE),tblPesosValorOperativo[Valor],tblPesosValorOperativo[Trazabilidad],0),0)</f>
        <v>1</v>
      </c>
      <c r="N92" s="14">
        <f>IFERROR(_xlfn.XLOOKUP(VLOOKUP(tblEnlaces[[#This Row],[Canal]],tblCanales[#All],7,FALSE),tblPesosValorOperativo[Valor],tblPesosValorOperativo[Velocidad],0),0)</f>
        <v>5</v>
      </c>
      <c r="O92" s="14">
        <f>IFERROR(_xlfn.XLOOKUP(VLOOKUP(tblEnlaces[[#This Row],[Canal]],tblCanales[#All],8,FALSE),tblPesosValorOperativo[Valor],tblPesosValorOperativo[Escalabilidad],0),0)</f>
        <v>0</v>
      </c>
      <c r="P92" s="53">
        <f>tblEnlaces[[#This Row],[Opacidad]]+tblEnlaces[[#This Row],[Escalabilidad]]+tblEnlaces[[#This Row],[Velocidad]]+tblEnlaces[[#This Row],[Trazabilidad]]</f>
        <v>9</v>
      </c>
    </row>
    <row r="93" spans="2:16" ht="16.5" customHeight="1" x14ac:dyDescent="0.25">
      <c r="B93" s="66" t="str">
        <f t="array" ref="B9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E026</v>
      </c>
      <c r="C93" s="10" t="s">
        <v>47</v>
      </c>
      <c r="D93" s="10" t="str">
        <f>VLOOKUP(tblEnlaces[[#This Row],[Nodo Inicial]],tblNodos[],2,FALSE)</f>
        <v>Colectores digitales instrumentales</v>
      </c>
      <c r="E93" s="39" t="s">
        <v>63</v>
      </c>
      <c r="F93" s="10" t="str">
        <f>VLOOKUP(tblEnlaces[[#This Row],[Nodo Final]],tblNodos[],2,FALSE)</f>
        <v>Intermediarios de pago digital (PSP /FinTech)</v>
      </c>
      <c r="G93" s="39" t="s">
        <v>186</v>
      </c>
      <c r="H93" s="39">
        <v>1</v>
      </c>
      <c r="I93" s="53">
        <f>IFERROR(_xlfn.XLOOKUP(VLOOKUP(tblEnlaces[[#This Row],[Canal]],tblCanales[#All],2,FALSE),tblPesosValorOperativo[Valor],tblPesosValorOperativo[Frecuencia de Uso],0),0)</f>
        <v>4</v>
      </c>
      <c r="J93" s="63">
        <f>IF(tblEnlaces[[#This Row],[Activo]]&lt;&gt;1,0,IFERROR(tblEnlaces[[#This Row],[Frecuencia de Uso]]/SUMIFS(tblEnlaces[Frecuencia de Uso],tblEnlaces[Enlace],tblEnlaces[[#This Row],[Enlace]],tblEnlaces[Activo],1),0))</f>
        <v>0.17391304347826086</v>
      </c>
      <c r="K93" s="62">
        <f>IFERROR(_xlfn.XLOOKUP(VLOOKUP(tblEnlaces[[#This Row],[Canal]],tblCanales[#All],3,FALSE),tblPesosCoste[Valor],tblPesosCoste[Peso],0),0)</f>
        <v>5</v>
      </c>
      <c r="L93" s="10">
        <f>IFERROR(_xlfn.XLOOKUP(VLOOKUP(tblEnlaces[[#This Row],[Canal]],tblCanales[#All],5,FALSE),tblPesosValorOperativo[Valor],tblPesosValorOperativo[Opacidad],0),0)</f>
        <v>2</v>
      </c>
      <c r="M93" s="14">
        <f>IFERROR(_xlfn.XLOOKUP(VLOOKUP(tblEnlaces[[#This Row],[Canal]],tblCanales[#All],6,FALSE),tblPesosValorOperativo[Valor],tblPesosValorOperativo[Trazabilidad],0),0)</f>
        <v>1</v>
      </c>
      <c r="N93" s="14">
        <f>IFERROR(_xlfn.XLOOKUP(VLOOKUP(tblEnlaces[[#This Row],[Canal]],tblCanales[#All],7,FALSE),tblPesosValorOperativo[Valor],tblPesosValorOperativo[Velocidad],0),0)</f>
        <v>5</v>
      </c>
      <c r="O93" s="14">
        <f>IFERROR(_xlfn.XLOOKUP(VLOOKUP(tblEnlaces[[#This Row],[Canal]],tblCanales[#All],8,FALSE),tblPesosValorOperativo[Valor],tblPesosValorOperativo[Escalabilidad],0),0)</f>
        <v>0</v>
      </c>
      <c r="P93" s="53">
        <f>tblEnlaces[[#This Row],[Opacidad]]+tblEnlaces[[#This Row],[Escalabilidad]]+tblEnlaces[[#This Row],[Velocidad]]+tblEnlaces[[#This Row],[Trazabilidad]]</f>
        <v>8</v>
      </c>
    </row>
    <row r="94" spans="2:16" ht="16.5" customHeight="1" x14ac:dyDescent="0.25">
      <c r="B94" s="66" t="str">
        <f t="array" ref="B9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E026</v>
      </c>
      <c r="C94" s="10" t="s">
        <v>47</v>
      </c>
      <c r="D94" s="10" t="str">
        <f>VLOOKUP(tblEnlaces[[#This Row],[Nodo Inicial]],tblNodos[],2,FALSE)</f>
        <v>Colectores digitales instrumentales</v>
      </c>
      <c r="E94" s="39" t="s">
        <v>63</v>
      </c>
      <c r="F94" s="10" t="str">
        <f>VLOOKUP(tblEnlaces[[#This Row],[Nodo Final]],tblNodos[],2,FALSE)</f>
        <v>Intermediarios de pago digital (PSP /FinTech)</v>
      </c>
      <c r="G94" s="39" t="s">
        <v>186</v>
      </c>
      <c r="H94" s="39">
        <v>1</v>
      </c>
      <c r="I94" s="53">
        <f>IFERROR(_xlfn.XLOOKUP(VLOOKUP(tblEnlaces[[#This Row],[Canal]],tblCanales[#All],2,FALSE),tblPesosValorOperativo[Valor],tblPesosValorOperativo[Frecuencia de Uso],0),0)</f>
        <v>4</v>
      </c>
      <c r="J94" s="63">
        <f>IF(tblEnlaces[[#This Row],[Activo]]&lt;&gt;1,0,IFERROR(tblEnlaces[[#This Row],[Frecuencia de Uso]]/SUMIFS(tblEnlaces[Frecuencia de Uso],tblEnlaces[Enlace],tblEnlaces[[#This Row],[Enlace]],tblEnlaces[Activo],1),0))</f>
        <v>0.17391304347826086</v>
      </c>
      <c r="K94" s="62">
        <f>IFERROR(_xlfn.XLOOKUP(VLOOKUP(tblEnlaces[[#This Row],[Canal]],tblCanales[#All],3,FALSE),tblPesosCoste[Valor],tblPesosCoste[Peso],0),0)</f>
        <v>5</v>
      </c>
      <c r="L94" s="10">
        <f>IFERROR(_xlfn.XLOOKUP(VLOOKUP(tblEnlaces[[#This Row],[Canal]],tblCanales[#All],5,FALSE),tblPesosValorOperativo[Valor],tblPesosValorOperativo[Opacidad],0),0)</f>
        <v>2</v>
      </c>
      <c r="M94" s="14">
        <f>IFERROR(_xlfn.XLOOKUP(VLOOKUP(tblEnlaces[[#This Row],[Canal]],tblCanales[#All],6,FALSE),tblPesosValorOperativo[Valor],tblPesosValorOperativo[Trazabilidad],0),0)</f>
        <v>1</v>
      </c>
      <c r="N94" s="14">
        <f>IFERROR(_xlfn.XLOOKUP(VLOOKUP(tblEnlaces[[#This Row],[Canal]],tblCanales[#All],7,FALSE),tblPesosValorOperativo[Valor],tblPesosValorOperativo[Velocidad],0),0)</f>
        <v>5</v>
      </c>
      <c r="O94" s="14">
        <f>IFERROR(_xlfn.XLOOKUP(VLOOKUP(tblEnlaces[[#This Row],[Canal]],tblCanales[#All],8,FALSE),tblPesosValorOperativo[Valor],tblPesosValorOperativo[Escalabilidad],0),0)</f>
        <v>0</v>
      </c>
      <c r="P94" s="53">
        <f>tblEnlaces[[#This Row],[Opacidad]]+tblEnlaces[[#This Row],[Escalabilidad]]+tblEnlaces[[#This Row],[Velocidad]]+tblEnlaces[[#This Row],[Trazabilidad]]</f>
        <v>8</v>
      </c>
    </row>
    <row r="95" spans="2:16" ht="16.5" customHeight="1" x14ac:dyDescent="0.25">
      <c r="B95" s="66" t="str">
        <f t="array" ref="B9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E026</v>
      </c>
      <c r="C95" s="10" t="s">
        <v>47</v>
      </c>
      <c r="D95" s="10" t="str">
        <f>VLOOKUP(tblEnlaces[[#This Row],[Nodo Inicial]],tblNodos[],2,FALSE)</f>
        <v>Colectores digitales instrumentales</v>
      </c>
      <c r="E95" s="39" t="s">
        <v>63</v>
      </c>
      <c r="F95" s="10" t="str">
        <f>VLOOKUP(tblEnlaces[[#This Row],[Nodo Final]],tblNodos[],2,FALSE)</f>
        <v>Intermediarios de pago digital (PSP /FinTech)</v>
      </c>
      <c r="G95" s="39" t="s">
        <v>222</v>
      </c>
      <c r="H95" s="39">
        <v>1</v>
      </c>
      <c r="I95" s="53">
        <f>IFERROR(_xlfn.XLOOKUP(VLOOKUP(tblEnlaces[[#This Row],[Canal]],tblCanales[#All],2,FALSE),tblPesosValorOperativo[Valor],tblPesosValorOperativo[Frecuencia de Uso],0),0)</f>
        <v>4</v>
      </c>
      <c r="J95" s="63">
        <f>IF(tblEnlaces[[#This Row],[Activo]]&lt;&gt;1,0,IFERROR(tblEnlaces[[#This Row],[Frecuencia de Uso]]/SUMIFS(tblEnlaces[Frecuencia de Uso],tblEnlaces[Enlace],tblEnlaces[[#This Row],[Enlace]],tblEnlaces[Activo],1),0))</f>
        <v>0.17391304347826086</v>
      </c>
      <c r="K95" s="62">
        <f>IFERROR(_xlfn.XLOOKUP(VLOOKUP(tblEnlaces[[#This Row],[Canal]],tblCanales[#All],3,FALSE),tblPesosCoste[Valor],tblPesosCoste[Peso],0),0)</f>
        <v>5</v>
      </c>
      <c r="L95" s="10">
        <f>IFERROR(_xlfn.XLOOKUP(VLOOKUP(tblEnlaces[[#This Row],[Canal]],tblCanales[#All],5,FALSE),tblPesosValorOperativo[Valor],tblPesosValorOperativo[Opacidad],0),0)</f>
        <v>3</v>
      </c>
      <c r="M95" s="14">
        <f>IFERROR(_xlfn.XLOOKUP(VLOOKUP(tblEnlaces[[#This Row],[Canal]],tblCanales[#All],6,FALSE),tblPesosValorOperativo[Valor],tblPesosValorOperativo[Trazabilidad],0),0)</f>
        <v>1</v>
      </c>
      <c r="N95" s="14">
        <f>IFERROR(_xlfn.XLOOKUP(VLOOKUP(tblEnlaces[[#This Row],[Canal]],tblCanales[#All],7,FALSE),tblPesosValorOperativo[Valor],tblPesosValorOperativo[Velocidad],0),0)</f>
        <v>5</v>
      </c>
      <c r="O95" s="14">
        <f>IFERROR(_xlfn.XLOOKUP(VLOOKUP(tblEnlaces[[#This Row],[Canal]],tblCanales[#All],8,FALSE),tblPesosValorOperativo[Valor],tblPesosValorOperativo[Escalabilidad],0),0)</f>
        <v>0</v>
      </c>
      <c r="P95" s="53">
        <f>tblEnlaces[[#This Row],[Opacidad]]+tblEnlaces[[#This Row],[Escalabilidad]]+tblEnlaces[[#This Row],[Velocidad]]+tblEnlaces[[#This Row],[Trazabilidad]]</f>
        <v>9</v>
      </c>
    </row>
    <row r="96" spans="2:16" ht="16.5" customHeight="1" x14ac:dyDescent="0.25">
      <c r="B96" s="66" t="str">
        <f t="array" ref="B9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E027</v>
      </c>
      <c r="C96" s="10" t="s">
        <v>47</v>
      </c>
      <c r="D96" s="10" t="str">
        <f>VLOOKUP(tblEnlaces[[#This Row],[Nodo Inicial]],tblNodos[],2,FALSE)</f>
        <v>Colectores digitales instrumentales</v>
      </c>
      <c r="E96" s="39" t="s">
        <v>65</v>
      </c>
      <c r="F96" s="10" t="str">
        <f>VLOOKUP(tblEnlaces[[#This Row],[Nodo Final]],tblNodos[],2,FALSE)</f>
        <v>Intermediarios de activos virtuales y conversión</v>
      </c>
      <c r="G96" s="39" t="s">
        <v>174</v>
      </c>
      <c r="H96" s="39">
        <v>1</v>
      </c>
      <c r="I96" s="53">
        <f>IFERROR(_xlfn.XLOOKUP(VLOOKUP(tblEnlaces[[#This Row],[Canal]],tblCanales[#All],2,FALSE),tblPesosValorOperativo[Valor],tblPesosValorOperativo[Frecuencia de Uso],0),0)</f>
        <v>3</v>
      </c>
      <c r="J96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96" s="62">
        <f>IFERROR(_xlfn.XLOOKUP(VLOOKUP(tblEnlaces[[#This Row],[Canal]],tblCanales[#All],3,FALSE),tblPesosCoste[Valor],tblPesosCoste[Peso],0),0)</f>
        <v>5</v>
      </c>
      <c r="L96" s="10">
        <f>IFERROR(_xlfn.XLOOKUP(VLOOKUP(tblEnlaces[[#This Row],[Canal]],tblCanales[#All],5,FALSE),tblPesosValorOperativo[Valor],tblPesosValorOperativo[Opacidad],0),0)</f>
        <v>3</v>
      </c>
      <c r="M96" s="14">
        <f>IFERROR(_xlfn.XLOOKUP(VLOOKUP(tblEnlaces[[#This Row],[Canal]],tblCanales[#All],6,FALSE),tblPesosValorOperativo[Valor],tblPesosValorOperativo[Trazabilidad],0),0)</f>
        <v>1</v>
      </c>
      <c r="N96" s="14">
        <f>IFERROR(_xlfn.XLOOKUP(VLOOKUP(tblEnlaces[[#This Row],[Canal]],tblCanales[#All],7,FALSE),tblPesosValorOperativo[Valor],tblPesosValorOperativo[Velocidad],0),0)</f>
        <v>5</v>
      </c>
      <c r="O96" s="14">
        <f>IFERROR(_xlfn.XLOOKUP(VLOOKUP(tblEnlaces[[#This Row],[Canal]],tblCanales[#All],8,FALSE),tblPesosValorOperativo[Valor],tblPesosValorOperativo[Escalabilidad],0),0)</f>
        <v>0</v>
      </c>
      <c r="P96" s="53">
        <f>tblEnlaces[[#This Row],[Opacidad]]+tblEnlaces[[#This Row],[Escalabilidad]]+tblEnlaces[[#This Row],[Velocidad]]+tblEnlaces[[#This Row],[Trazabilidad]]</f>
        <v>9</v>
      </c>
    </row>
    <row r="97" spans="2:16" ht="16.5" customHeight="1" x14ac:dyDescent="0.25">
      <c r="B97" s="66" t="str">
        <f t="array" ref="B9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E027</v>
      </c>
      <c r="C97" s="10" t="s">
        <v>47</v>
      </c>
      <c r="D97" s="10" t="str">
        <f>VLOOKUP(tblEnlaces[[#This Row],[Nodo Inicial]],tblNodos[],2,FALSE)</f>
        <v>Colectores digitales instrumentales</v>
      </c>
      <c r="E97" s="39" t="s">
        <v>65</v>
      </c>
      <c r="F97" s="10" t="str">
        <f>VLOOKUP(tblEnlaces[[#This Row],[Nodo Final]],tblNodos[],2,FALSE)</f>
        <v>Intermediarios de activos virtuales y conversión</v>
      </c>
      <c r="G97" s="39" t="s">
        <v>168</v>
      </c>
      <c r="H97" s="39">
        <v>1</v>
      </c>
      <c r="I97" s="53">
        <f>IFERROR(_xlfn.XLOOKUP(VLOOKUP(tblEnlaces[[#This Row],[Canal]],tblCanales[#All],2,FALSE),tblPesosValorOperativo[Valor],tblPesosValorOperativo[Frecuencia de Uso],0),0)</f>
        <v>2</v>
      </c>
      <c r="J97" s="63">
        <f>IF(tblEnlaces[[#This Row],[Activo]]&lt;&gt;1,0,IFERROR(tblEnlaces[[#This Row],[Frecuencia de Uso]]/SUMIFS(tblEnlaces[Frecuencia de Uso],tblEnlaces[Enlace],tblEnlaces[[#This Row],[Enlace]],tblEnlaces[Activo],1),0))</f>
        <v>0.16666666666666666</v>
      </c>
      <c r="K97" s="62">
        <f>IFERROR(_xlfn.XLOOKUP(VLOOKUP(tblEnlaces[[#This Row],[Canal]],tblCanales[#All],3,FALSE),tblPesosCoste[Valor],tblPesosCoste[Peso],0),0)</f>
        <v>4</v>
      </c>
      <c r="L97" s="10">
        <f>IFERROR(_xlfn.XLOOKUP(VLOOKUP(tblEnlaces[[#This Row],[Canal]],tblCanales[#All],5,FALSE),tblPesosValorOperativo[Valor],tblPesosValorOperativo[Opacidad],0),0)</f>
        <v>4</v>
      </c>
      <c r="M97" s="14">
        <f>IFERROR(_xlfn.XLOOKUP(VLOOKUP(tblEnlaces[[#This Row],[Canal]],tblCanales[#All],6,FALSE),tblPesosValorOperativo[Valor],tblPesosValorOperativo[Trazabilidad],0),0)</f>
        <v>1</v>
      </c>
      <c r="N97" s="14">
        <f>IFERROR(_xlfn.XLOOKUP(VLOOKUP(tblEnlaces[[#This Row],[Canal]],tblCanales[#All],7,FALSE),tblPesosValorOperativo[Valor],tblPesosValorOperativo[Velocidad],0),0)</f>
        <v>5</v>
      </c>
      <c r="O97" s="14">
        <f>IFERROR(_xlfn.XLOOKUP(VLOOKUP(tblEnlaces[[#This Row],[Canal]],tblCanales[#All],8,FALSE),tblPesosValorOperativo[Valor],tblPesosValorOperativo[Escalabilidad],0),0)</f>
        <v>0</v>
      </c>
      <c r="P97" s="53">
        <f>tblEnlaces[[#This Row],[Opacidad]]+tblEnlaces[[#This Row],[Escalabilidad]]+tblEnlaces[[#This Row],[Velocidad]]+tblEnlaces[[#This Row],[Trazabilidad]]</f>
        <v>10</v>
      </c>
    </row>
    <row r="98" spans="2:16" ht="16.5" customHeight="1" x14ac:dyDescent="0.25">
      <c r="B98" s="66" t="str">
        <f t="array" ref="B9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E027</v>
      </c>
      <c r="C98" s="10" t="s">
        <v>47</v>
      </c>
      <c r="D98" s="10" t="str">
        <f>VLOOKUP(tblEnlaces[[#This Row],[Nodo Inicial]],tblNodos[],2,FALSE)</f>
        <v>Colectores digitales instrumentales</v>
      </c>
      <c r="E98" s="39" t="s">
        <v>65</v>
      </c>
      <c r="F98" s="10" t="str">
        <f>VLOOKUP(tblEnlaces[[#This Row],[Nodo Final]],tblNodos[],2,FALSE)</f>
        <v>Intermediarios de activos virtuales y conversión</v>
      </c>
      <c r="G98" s="39" t="s">
        <v>300</v>
      </c>
      <c r="H98" s="39">
        <v>1</v>
      </c>
      <c r="I98" s="53">
        <f>IFERROR(_xlfn.XLOOKUP(VLOOKUP(tblEnlaces[[#This Row],[Canal]],tblCanales[#All],2,FALSE),tblPesosValorOperativo[Valor],tblPesosValorOperativo[Frecuencia de Uso],0),0)</f>
        <v>3</v>
      </c>
      <c r="J98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98" s="62">
        <f>IFERROR(_xlfn.XLOOKUP(VLOOKUP(tblEnlaces[[#This Row],[Canal]],tblCanales[#All],3,FALSE),tblPesosCoste[Valor],tblPesosCoste[Peso],0),0)</f>
        <v>5</v>
      </c>
      <c r="L98" s="10">
        <f>IFERROR(_xlfn.XLOOKUP(VLOOKUP(tblEnlaces[[#This Row],[Canal]],tblCanales[#All],5,FALSE),tblPesosValorOperativo[Valor],tblPesosValorOperativo[Opacidad],0),0)</f>
        <v>2</v>
      </c>
      <c r="M98" s="14">
        <f>IFERROR(_xlfn.XLOOKUP(VLOOKUP(tblEnlaces[[#This Row],[Canal]],tblCanales[#All],6,FALSE),tblPesosValorOperativo[Valor],tblPesosValorOperativo[Trazabilidad],0),0)</f>
        <v>1</v>
      </c>
      <c r="N98" s="14">
        <f>IFERROR(_xlfn.XLOOKUP(VLOOKUP(tblEnlaces[[#This Row],[Canal]],tblCanales[#All],7,FALSE),tblPesosValorOperativo[Valor],tblPesosValorOperativo[Velocidad],0),0)</f>
        <v>5</v>
      </c>
      <c r="O98" s="14">
        <f>IFERROR(_xlfn.XLOOKUP(VLOOKUP(tblEnlaces[[#This Row],[Canal]],tblCanales[#All],8,FALSE),tblPesosValorOperativo[Valor],tblPesosValorOperativo[Escalabilidad],0),0)</f>
        <v>0</v>
      </c>
      <c r="P98" s="53">
        <f>tblEnlaces[[#This Row],[Opacidad]]+tblEnlaces[[#This Row],[Escalabilidad]]+tblEnlaces[[#This Row],[Velocidad]]+tblEnlaces[[#This Row],[Trazabilidad]]</f>
        <v>8</v>
      </c>
    </row>
    <row r="99" spans="2:16" ht="16.5" customHeight="1" x14ac:dyDescent="0.25">
      <c r="B99" s="66" t="str">
        <f t="array" ref="B9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E027</v>
      </c>
      <c r="C99" s="10" t="s">
        <v>47</v>
      </c>
      <c r="D99" s="10" t="str">
        <f>VLOOKUP(tblEnlaces[[#This Row],[Nodo Inicial]],tblNodos[],2,FALSE)</f>
        <v>Colectores digitales instrumentales</v>
      </c>
      <c r="E99" s="39" t="s">
        <v>65</v>
      </c>
      <c r="F99" s="10" t="str">
        <f>VLOOKUP(tblEnlaces[[#This Row],[Nodo Final]],tblNodos[],2,FALSE)</f>
        <v>Intermediarios de activos virtuales y conversión</v>
      </c>
      <c r="G99" s="39" t="s">
        <v>270</v>
      </c>
      <c r="H99" s="39">
        <v>1</v>
      </c>
      <c r="I99" s="53">
        <f>IFERROR(_xlfn.XLOOKUP(VLOOKUP(tblEnlaces[[#This Row],[Canal]],tblCanales[#All],2,FALSE),tblPesosValorOperativo[Valor],tblPesosValorOperativo[Frecuencia de Uso],0),0)</f>
        <v>4</v>
      </c>
      <c r="J99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99" s="62">
        <f>IFERROR(_xlfn.XLOOKUP(VLOOKUP(tblEnlaces[[#This Row],[Canal]],tblCanales[#All],3,FALSE),tblPesosCoste[Valor],tblPesosCoste[Peso],0),0)</f>
        <v>3</v>
      </c>
      <c r="L99" s="10">
        <f>IFERROR(_xlfn.XLOOKUP(VLOOKUP(tblEnlaces[[#This Row],[Canal]],tblCanales[#All],5,FALSE),tblPesosValorOperativo[Valor],tblPesosValorOperativo[Opacidad],0),0)</f>
        <v>4</v>
      </c>
      <c r="M99" s="14">
        <f>IFERROR(_xlfn.XLOOKUP(VLOOKUP(tblEnlaces[[#This Row],[Canal]],tblCanales[#All],6,FALSE),tblPesosValorOperativo[Valor],tblPesosValorOperativo[Trazabilidad],0),0)</f>
        <v>2</v>
      </c>
      <c r="N99" s="14">
        <f>IFERROR(_xlfn.XLOOKUP(VLOOKUP(tblEnlaces[[#This Row],[Canal]],tblCanales[#All],7,FALSE),tblPesosValorOperativo[Valor],tblPesosValorOperativo[Velocidad],0),0)</f>
        <v>5</v>
      </c>
      <c r="O99" s="14">
        <f>IFERROR(_xlfn.XLOOKUP(VLOOKUP(tblEnlaces[[#This Row],[Canal]],tblCanales[#All],8,FALSE),tblPesosValorOperativo[Valor],tblPesosValorOperativo[Escalabilidad],0),0)</f>
        <v>0</v>
      </c>
      <c r="P99" s="53">
        <f>tblEnlaces[[#This Row],[Opacidad]]+tblEnlaces[[#This Row],[Escalabilidad]]+tblEnlaces[[#This Row],[Velocidad]]+tblEnlaces[[#This Row],[Trazabilidad]]</f>
        <v>11</v>
      </c>
    </row>
    <row r="100" spans="2:16" ht="16.5" customHeight="1" x14ac:dyDescent="0.25">
      <c r="B100" s="66" t="str">
        <f t="array" ref="B10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E028</v>
      </c>
      <c r="C100" s="10" t="s">
        <v>49</v>
      </c>
      <c r="D100" s="10" t="str">
        <f>VLOOKUP(tblEnlaces[[#This Row],[Nodo Inicial]],tblNodos[],2,FALSE)</f>
        <v>Colectores empresariales y vehiculares</v>
      </c>
      <c r="E100" s="39" t="s">
        <v>67</v>
      </c>
      <c r="F100" s="10" t="str">
        <f>VLOOKUP(tblEnlaces[[#This Row],[Nodo Final]],tblNodos[],2,FALSE)</f>
        <v>Intermediarios comerciales y transaccionales</v>
      </c>
      <c r="G100" s="39" t="s">
        <v>390</v>
      </c>
      <c r="H100" s="39">
        <v>1</v>
      </c>
      <c r="I100" s="53">
        <f>IFERROR(_xlfn.XLOOKUP(VLOOKUP(tblEnlaces[[#This Row],[Canal]],tblCanales[#All],2,FALSE),tblPesosValorOperativo[Valor],tblPesosValorOperativo[Frecuencia de Uso],0),0)</f>
        <v>2</v>
      </c>
      <c r="J100" s="63">
        <f>IF(tblEnlaces[[#This Row],[Activo]]&lt;&gt;1,0,IFERROR(tblEnlaces[[#This Row],[Frecuencia de Uso]]/SUMIFS(tblEnlaces[Frecuencia de Uso],tblEnlaces[Enlace],tblEnlaces[[#This Row],[Enlace]],tblEnlaces[Activo],1),0))</f>
        <v>0.14285714285714285</v>
      </c>
      <c r="K100" s="62">
        <f>IFERROR(_xlfn.XLOOKUP(VLOOKUP(tblEnlaces[[#This Row],[Canal]],tblCanales[#All],3,FALSE),tblPesosCoste[Valor],tblPesosCoste[Peso],0),0)</f>
        <v>4</v>
      </c>
      <c r="L100" s="10">
        <f>IFERROR(_xlfn.XLOOKUP(VLOOKUP(tblEnlaces[[#This Row],[Canal]],tblCanales[#All],5,FALSE),tblPesosValorOperativo[Valor],tblPesosValorOperativo[Opacidad],0),0)</f>
        <v>3</v>
      </c>
      <c r="M100" s="14">
        <f>IFERROR(_xlfn.XLOOKUP(VLOOKUP(tblEnlaces[[#This Row],[Canal]],tblCanales[#All],6,FALSE),tblPesosValorOperativo[Valor],tblPesosValorOperativo[Trazabilidad],0),0)</f>
        <v>3</v>
      </c>
      <c r="N100" s="14">
        <f>IFERROR(_xlfn.XLOOKUP(VLOOKUP(tblEnlaces[[#This Row],[Canal]],tblCanales[#All],7,FALSE),tblPesosValorOperativo[Valor],tblPesosValorOperativo[Velocidad],0),0)</f>
        <v>4</v>
      </c>
      <c r="O100" s="14">
        <f>IFERROR(_xlfn.XLOOKUP(VLOOKUP(tblEnlaces[[#This Row],[Canal]],tblCanales[#All],8,FALSE),tblPesosValorOperativo[Valor],tblPesosValorOperativo[Escalabilidad],0),0)</f>
        <v>0</v>
      </c>
      <c r="P100" s="53">
        <f>tblEnlaces[[#This Row],[Opacidad]]+tblEnlaces[[#This Row],[Escalabilidad]]+tblEnlaces[[#This Row],[Velocidad]]+tblEnlaces[[#This Row],[Trazabilidad]]</f>
        <v>10</v>
      </c>
    </row>
    <row r="101" spans="2:16" ht="16.5" customHeight="1" x14ac:dyDescent="0.25">
      <c r="B101" s="66" t="str">
        <f t="array" ref="B10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E028</v>
      </c>
      <c r="C101" s="10" t="s">
        <v>49</v>
      </c>
      <c r="D101" s="10" t="str">
        <f>VLOOKUP(tblEnlaces[[#This Row],[Nodo Inicial]],tblNodos[],2,FALSE)</f>
        <v>Colectores empresariales y vehiculares</v>
      </c>
      <c r="E101" s="39" t="s">
        <v>67</v>
      </c>
      <c r="F101" s="10" t="str">
        <f>VLOOKUP(tblEnlaces[[#This Row],[Nodo Final]],tblNodos[],2,FALSE)</f>
        <v>Intermediarios comerciales y transaccionales</v>
      </c>
      <c r="G101" s="39" t="s">
        <v>396</v>
      </c>
      <c r="H101" s="39">
        <v>1</v>
      </c>
      <c r="I101" s="53">
        <f>IFERROR(_xlfn.XLOOKUP(VLOOKUP(tblEnlaces[[#This Row],[Canal]],tblCanales[#All],2,FALSE),tblPesosValorOperativo[Valor],tblPesosValorOperativo[Frecuencia de Uso],0),0)</f>
        <v>2</v>
      </c>
      <c r="J101" s="63">
        <f>IF(tblEnlaces[[#This Row],[Activo]]&lt;&gt;1,0,IFERROR(tblEnlaces[[#This Row],[Frecuencia de Uso]]/SUMIFS(tblEnlaces[Frecuencia de Uso],tblEnlaces[Enlace],tblEnlaces[[#This Row],[Enlace]],tblEnlaces[Activo],1),0))</f>
        <v>0.14285714285714285</v>
      </c>
      <c r="K101" s="62">
        <f>IFERROR(_xlfn.XLOOKUP(VLOOKUP(tblEnlaces[[#This Row],[Canal]],tblCanales[#All],3,FALSE),tblPesosCoste[Valor],tblPesosCoste[Peso],0),0)</f>
        <v>4</v>
      </c>
      <c r="L101" s="10">
        <f>IFERROR(_xlfn.XLOOKUP(VLOOKUP(tblEnlaces[[#This Row],[Canal]],tblCanales[#All],5,FALSE),tblPesosValorOperativo[Valor],tblPesosValorOperativo[Opacidad],0),0)</f>
        <v>4</v>
      </c>
      <c r="M101" s="14">
        <f>IFERROR(_xlfn.XLOOKUP(VLOOKUP(tblEnlaces[[#This Row],[Canal]],tblCanales[#All],6,FALSE),tblPesosValorOperativo[Valor],tblPesosValorOperativo[Trazabilidad],0),0)</f>
        <v>1</v>
      </c>
      <c r="N101" s="14">
        <f>IFERROR(_xlfn.XLOOKUP(VLOOKUP(tblEnlaces[[#This Row],[Canal]],tblCanales[#All],7,FALSE),tblPesosValorOperativo[Valor],tblPesosValorOperativo[Velocidad],0),0)</f>
        <v>3</v>
      </c>
      <c r="O101" s="14">
        <f>IFERROR(_xlfn.XLOOKUP(VLOOKUP(tblEnlaces[[#This Row],[Canal]],tblCanales[#All],8,FALSE),tblPesosValorOperativo[Valor],tblPesosValorOperativo[Escalabilidad],0),0)</f>
        <v>0</v>
      </c>
      <c r="P101" s="53">
        <f>tblEnlaces[[#This Row],[Opacidad]]+tblEnlaces[[#This Row],[Escalabilidad]]+tblEnlaces[[#This Row],[Velocidad]]+tblEnlaces[[#This Row],[Trazabilidad]]</f>
        <v>8</v>
      </c>
    </row>
    <row r="102" spans="2:16" ht="16.5" customHeight="1" x14ac:dyDescent="0.25">
      <c r="B102" s="66" t="str">
        <f t="array" ref="B10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E028</v>
      </c>
      <c r="C102" s="10" t="s">
        <v>49</v>
      </c>
      <c r="D102" s="10" t="str">
        <f>VLOOKUP(tblEnlaces[[#This Row],[Nodo Inicial]],tblNodos[],2,FALSE)</f>
        <v>Colectores empresariales y vehiculares</v>
      </c>
      <c r="E102" s="39" t="s">
        <v>67</v>
      </c>
      <c r="F102" s="10" t="str">
        <f>VLOOKUP(tblEnlaces[[#This Row],[Nodo Final]],tblNodos[],2,FALSE)</f>
        <v>Intermediarios comerciales y transaccionales</v>
      </c>
      <c r="G102" s="39" t="s">
        <v>402</v>
      </c>
      <c r="H102" s="39">
        <v>1</v>
      </c>
      <c r="I102" s="53">
        <f>IFERROR(_xlfn.XLOOKUP(VLOOKUP(tblEnlaces[[#This Row],[Canal]],tblCanales[#All],2,FALSE),tblPesosValorOperativo[Valor],tblPesosValorOperativo[Frecuencia de Uso],0),0)</f>
        <v>2</v>
      </c>
      <c r="J102" s="63">
        <f>IF(tblEnlaces[[#This Row],[Activo]]&lt;&gt;1,0,IFERROR(tblEnlaces[[#This Row],[Frecuencia de Uso]]/SUMIFS(tblEnlaces[Frecuencia de Uso],tblEnlaces[Enlace],tblEnlaces[[#This Row],[Enlace]],tblEnlaces[Activo],1),0))</f>
        <v>0.14285714285714285</v>
      </c>
      <c r="K102" s="62">
        <f>IFERROR(_xlfn.XLOOKUP(VLOOKUP(tblEnlaces[[#This Row],[Canal]],tblCanales[#All],3,FALSE),tblPesosCoste[Valor],tblPesosCoste[Peso],0),0)</f>
        <v>3</v>
      </c>
      <c r="L102" s="10">
        <f>IFERROR(_xlfn.XLOOKUP(VLOOKUP(tblEnlaces[[#This Row],[Canal]],tblCanales[#All],5,FALSE),tblPesosValorOperativo[Valor],tblPesosValorOperativo[Opacidad],0),0)</f>
        <v>2</v>
      </c>
      <c r="M102" s="14">
        <f>IFERROR(_xlfn.XLOOKUP(VLOOKUP(tblEnlaces[[#This Row],[Canal]],tblCanales[#All],6,FALSE),tblPesosValorOperativo[Valor],tblPesosValorOperativo[Trazabilidad],0),0)</f>
        <v>3</v>
      </c>
      <c r="N102" s="14">
        <f>IFERROR(_xlfn.XLOOKUP(VLOOKUP(tblEnlaces[[#This Row],[Canal]],tblCanales[#All],7,FALSE),tblPesosValorOperativo[Valor],tblPesosValorOperativo[Velocidad],0),0)</f>
        <v>5</v>
      </c>
      <c r="O102" s="14">
        <f>IFERROR(_xlfn.XLOOKUP(VLOOKUP(tblEnlaces[[#This Row],[Canal]],tblCanales[#All],8,FALSE),tblPesosValorOperativo[Valor],tblPesosValorOperativo[Escalabilidad],0),0)</f>
        <v>0</v>
      </c>
      <c r="P102" s="53">
        <f>tblEnlaces[[#This Row],[Opacidad]]+tblEnlaces[[#This Row],[Escalabilidad]]+tblEnlaces[[#This Row],[Velocidad]]+tblEnlaces[[#This Row],[Trazabilidad]]</f>
        <v>10</v>
      </c>
    </row>
    <row r="103" spans="2:16" ht="16.5" customHeight="1" x14ac:dyDescent="0.25">
      <c r="B103" s="66" t="str">
        <f t="array" ref="B10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E028</v>
      </c>
      <c r="C103" s="10" t="s">
        <v>49</v>
      </c>
      <c r="D103" s="10" t="str">
        <f>VLOOKUP(tblEnlaces[[#This Row],[Nodo Inicial]],tblNodos[],2,FALSE)</f>
        <v>Colectores empresariales y vehiculares</v>
      </c>
      <c r="E103" s="39" t="s">
        <v>67</v>
      </c>
      <c r="F103" s="10" t="str">
        <f>VLOOKUP(tblEnlaces[[#This Row],[Nodo Final]],tblNodos[],2,FALSE)</f>
        <v>Intermediarios comerciales y transaccionales</v>
      </c>
      <c r="G103" s="39" t="s">
        <v>222</v>
      </c>
      <c r="H103" s="39">
        <v>1</v>
      </c>
      <c r="I103" s="53">
        <f>IFERROR(_xlfn.XLOOKUP(VLOOKUP(tblEnlaces[[#This Row],[Canal]],tblCanales[#All],2,FALSE),tblPesosValorOperativo[Valor],tblPesosValorOperativo[Frecuencia de Uso],0),0)</f>
        <v>4</v>
      </c>
      <c r="J103" s="63">
        <f>IF(tblEnlaces[[#This Row],[Activo]]&lt;&gt;1,0,IFERROR(tblEnlaces[[#This Row],[Frecuencia de Uso]]/SUMIFS(tblEnlaces[Frecuencia de Uso],tblEnlaces[Enlace],tblEnlaces[[#This Row],[Enlace]],tblEnlaces[Activo],1),0))</f>
        <v>0.2857142857142857</v>
      </c>
      <c r="K103" s="62">
        <f>IFERROR(_xlfn.XLOOKUP(VLOOKUP(tblEnlaces[[#This Row],[Canal]],tblCanales[#All],3,FALSE),tblPesosCoste[Valor],tblPesosCoste[Peso],0),0)</f>
        <v>5</v>
      </c>
      <c r="L103" s="10">
        <f>IFERROR(_xlfn.XLOOKUP(VLOOKUP(tblEnlaces[[#This Row],[Canal]],tblCanales[#All],5,FALSE),tblPesosValorOperativo[Valor],tblPesosValorOperativo[Opacidad],0),0)</f>
        <v>3</v>
      </c>
      <c r="M103" s="14">
        <f>IFERROR(_xlfn.XLOOKUP(VLOOKUP(tblEnlaces[[#This Row],[Canal]],tblCanales[#All],6,FALSE),tblPesosValorOperativo[Valor],tblPesosValorOperativo[Trazabilidad],0),0)</f>
        <v>1</v>
      </c>
      <c r="N103" s="14">
        <f>IFERROR(_xlfn.XLOOKUP(VLOOKUP(tblEnlaces[[#This Row],[Canal]],tblCanales[#All],7,FALSE),tblPesosValorOperativo[Valor],tblPesosValorOperativo[Velocidad],0),0)</f>
        <v>5</v>
      </c>
      <c r="O103" s="14">
        <f>IFERROR(_xlfn.XLOOKUP(VLOOKUP(tblEnlaces[[#This Row],[Canal]],tblCanales[#All],8,FALSE),tblPesosValorOperativo[Valor],tblPesosValorOperativo[Escalabilidad],0),0)</f>
        <v>0</v>
      </c>
      <c r="P103" s="53">
        <f>tblEnlaces[[#This Row],[Opacidad]]+tblEnlaces[[#This Row],[Escalabilidad]]+tblEnlaces[[#This Row],[Velocidad]]+tblEnlaces[[#This Row],[Trazabilidad]]</f>
        <v>9</v>
      </c>
    </row>
    <row r="104" spans="2:16" ht="16.5" customHeight="1" x14ac:dyDescent="0.25">
      <c r="B104" s="66" t="str">
        <f t="array" ref="B10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E028</v>
      </c>
      <c r="C104" s="10" t="s">
        <v>49</v>
      </c>
      <c r="D104" s="10" t="str">
        <f>VLOOKUP(tblEnlaces[[#This Row],[Nodo Inicial]],tblNodos[],2,FALSE)</f>
        <v>Colectores empresariales y vehiculares</v>
      </c>
      <c r="E104" s="39" t="s">
        <v>67</v>
      </c>
      <c r="F104" s="10" t="str">
        <f>VLOOKUP(tblEnlaces[[#This Row],[Nodo Final]],tblNodos[],2,FALSE)</f>
        <v>Intermediarios comerciales y transaccionales</v>
      </c>
      <c r="G104" s="39" t="s">
        <v>390</v>
      </c>
      <c r="H104" s="39">
        <v>1</v>
      </c>
      <c r="I104" s="53">
        <f>IFERROR(_xlfn.XLOOKUP(VLOOKUP(tblEnlaces[[#This Row],[Canal]],tblCanales[#All],2,FALSE),tblPesosValorOperativo[Valor],tblPesosValorOperativo[Frecuencia de Uso],0),0)</f>
        <v>2</v>
      </c>
      <c r="J104" s="63">
        <f>IF(tblEnlaces[[#This Row],[Activo]]&lt;&gt;1,0,IFERROR(tblEnlaces[[#This Row],[Frecuencia de Uso]]/SUMIFS(tblEnlaces[Frecuencia de Uso],tblEnlaces[Enlace],tblEnlaces[[#This Row],[Enlace]],tblEnlaces[Activo],1),0))</f>
        <v>0.14285714285714285</v>
      </c>
      <c r="K104" s="62">
        <f>IFERROR(_xlfn.XLOOKUP(VLOOKUP(tblEnlaces[[#This Row],[Canal]],tblCanales[#All],3,FALSE),tblPesosCoste[Valor],tblPesosCoste[Peso],0),0)</f>
        <v>4</v>
      </c>
      <c r="L104" s="10">
        <f>IFERROR(_xlfn.XLOOKUP(VLOOKUP(tblEnlaces[[#This Row],[Canal]],tblCanales[#All],5,FALSE),tblPesosValorOperativo[Valor],tblPesosValorOperativo[Opacidad],0),0)</f>
        <v>3</v>
      </c>
      <c r="M104" s="14">
        <f>IFERROR(_xlfn.XLOOKUP(VLOOKUP(tblEnlaces[[#This Row],[Canal]],tblCanales[#All],6,FALSE),tblPesosValorOperativo[Valor],tblPesosValorOperativo[Trazabilidad],0),0)</f>
        <v>3</v>
      </c>
      <c r="N104" s="14">
        <f>IFERROR(_xlfn.XLOOKUP(VLOOKUP(tblEnlaces[[#This Row],[Canal]],tblCanales[#All],7,FALSE),tblPesosValorOperativo[Valor],tblPesosValorOperativo[Velocidad],0),0)</f>
        <v>4</v>
      </c>
      <c r="O104" s="14">
        <f>IFERROR(_xlfn.XLOOKUP(VLOOKUP(tblEnlaces[[#This Row],[Canal]],tblCanales[#All],8,FALSE),tblPesosValorOperativo[Valor],tblPesosValorOperativo[Escalabilidad],0),0)</f>
        <v>0</v>
      </c>
      <c r="P104" s="53">
        <f>tblEnlaces[[#This Row],[Opacidad]]+tblEnlaces[[#This Row],[Escalabilidad]]+tblEnlaces[[#This Row],[Velocidad]]+tblEnlaces[[#This Row],[Trazabilidad]]</f>
        <v>10</v>
      </c>
    </row>
    <row r="105" spans="2:16" ht="16.5" customHeight="1" x14ac:dyDescent="0.25">
      <c r="B105" s="66" t="str">
        <f t="array" ref="B10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E028</v>
      </c>
      <c r="C105" s="10" t="s">
        <v>49</v>
      </c>
      <c r="D105" s="10" t="str">
        <f>VLOOKUP(tblEnlaces[[#This Row],[Nodo Inicial]],tblNodos[],2,FALSE)</f>
        <v>Colectores empresariales y vehiculares</v>
      </c>
      <c r="E105" s="39" t="s">
        <v>67</v>
      </c>
      <c r="F105" s="10" t="str">
        <f>VLOOKUP(tblEnlaces[[#This Row],[Nodo Final]],tblNodos[],2,FALSE)</f>
        <v>Intermediarios comerciales y transaccionales</v>
      </c>
      <c r="G105" s="39" t="s">
        <v>402</v>
      </c>
      <c r="H105" s="39">
        <v>1</v>
      </c>
      <c r="I105" s="53">
        <f>IFERROR(_xlfn.XLOOKUP(VLOOKUP(tblEnlaces[[#This Row],[Canal]],tblCanales[#All],2,FALSE),tblPesosValorOperativo[Valor],tblPesosValorOperativo[Frecuencia de Uso],0),0)</f>
        <v>2</v>
      </c>
      <c r="J105" s="63">
        <f>IF(tblEnlaces[[#This Row],[Activo]]&lt;&gt;1,0,IFERROR(tblEnlaces[[#This Row],[Frecuencia de Uso]]/SUMIFS(tblEnlaces[Frecuencia de Uso],tblEnlaces[Enlace],tblEnlaces[[#This Row],[Enlace]],tblEnlaces[Activo],1),0))</f>
        <v>0.14285714285714285</v>
      </c>
      <c r="K105" s="62">
        <f>IFERROR(_xlfn.XLOOKUP(VLOOKUP(tblEnlaces[[#This Row],[Canal]],tblCanales[#All],3,FALSE),tblPesosCoste[Valor],tblPesosCoste[Peso],0),0)</f>
        <v>3</v>
      </c>
      <c r="L105" s="10">
        <f>IFERROR(_xlfn.XLOOKUP(VLOOKUP(tblEnlaces[[#This Row],[Canal]],tblCanales[#All],5,FALSE),tblPesosValorOperativo[Valor],tblPesosValorOperativo[Opacidad],0),0)</f>
        <v>2</v>
      </c>
      <c r="M105" s="14">
        <f>IFERROR(_xlfn.XLOOKUP(VLOOKUP(tblEnlaces[[#This Row],[Canal]],tblCanales[#All],6,FALSE),tblPesosValorOperativo[Valor],tblPesosValorOperativo[Trazabilidad],0),0)</f>
        <v>3</v>
      </c>
      <c r="N105" s="14">
        <f>IFERROR(_xlfn.XLOOKUP(VLOOKUP(tblEnlaces[[#This Row],[Canal]],tblCanales[#All],7,FALSE),tblPesosValorOperativo[Valor],tblPesosValorOperativo[Velocidad],0),0)</f>
        <v>5</v>
      </c>
      <c r="O105" s="14">
        <f>IFERROR(_xlfn.XLOOKUP(VLOOKUP(tblEnlaces[[#This Row],[Canal]],tblCanales[#All],8,FALSE),tblPesosValorOperativo[Valor],tblPesosValorOperativo[Escalabilidad],0),0)</f>
        <v>0</v>
      </c>
      <c r="P105" s="53">
        <f>tblEnlaces[[#This Row],[Opacidad]]+tblEnlaces[[#This Row],[Escalabilidad]]+tblEnlaces[[#This Row],[Velocidad]]+tblEnlaces[[#This Row],[Trazabilidad]]</f>
        <v>10</v>
      </c>
    </row>
    <row r="106" spans="2:16" ht="16.5" customHeight="1" x14ac:dyDescent="0.25">
      <c r="B106" s="66" t="str">
        <f t="array" ref="B10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E029</v>
      </c>
      <c r="C106" s="10" t="s">
        <v>49</v>
      </c>
      <c r="D106" s="10" t="str">
        <f>VLOOKUP(tblEnlaces[[#This Row],[Nodo Inicial]],tblNodos[],2,FALSE)</f>
        <v>Colectores empresariales y vehiculares</v>
      </c>
      <c r="E106" s="39" t="s">
        <v>61</v>
      </c>
      <c r="F106" s="10" t="str">
        <f>VLOOKUP(tblEnlaces[[#This Row],[Nodo Final]],tblNodos[],2,FALSE)</f>
        <v>Intermediarios bancarios formales</v>
      </c>
      <c r="G106" s="39" t="s">
        <v>128</v>
      </c>
      <c r="H106" s="39">
        <v>1</v>
      </c>
      <c r="I106" s="53">
        <f>IFERROR(_xlfn.XLOOKUP(VLOOKUP(tblEnlaces[[#This Row],[Canal]],tblCanales[#All],2,FALSE),tblPesosValorOperativo[Valor],tblPesosValorOperativo[Frecuencia de Uso],0),0)</f>
        <v>2</v>
      </c>
      <c r="J106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06" s="62">
        <f>IFERROR(_xlfn.XLOOKUP(VLOOKUP(tblEnlaces[[#This Row],[Canal]],tblCanales[#All],3,FALSE),tblPesosCoste[Valor],tblPesosCoste[Peso],0),0)</f>
        <v>5</v>
      </c>
      <c r="L106" s="10">
        <f>IFERROR(_xlfn.XLOOKUP(VLOOKUP(tblEnlaces[[#This Row],[Canal]],tblCanales[#All],5,FALSE),tblPesosValorOperativo[Valor],tblPesosValorOperativo[Opacidad],0),0)</f>
        <v>5</v>
      </c>
      <c r="M106" s="14">
        <f>IFERROR(_xlfn.XLOOKUP(VLOOKUP(tblEnlaces[[#This Row],[Canal]],tblCanales[#All],6,FALSE),tblPesosValorOperativo[Valor],tblPesosValorOperativo[Trazabilidad],0),0)</f>
        <v>3</v>
      </c>
      <c r="N106" s="14">
        <f>IFERROR(_xlfn.XLOOKUP(VLOOKUP(tblEnlaces[[#This Row],[Canal]],tblCanales[#All],7,FALSE),tblPesosValorOperativo[Valor],tblPesosValorOperativo[Velocidad],0),0)</f>
        <v>4</v>
      </c>
      <c r="O106" s="14">
        <f>IFERROR(_xlfn.XLOOKUP(VLOOKUP(tblEnlaces[[#This Row],[Canal]],tblCanales[#All],8,FALSE),tblPesosValorOperativo[Valor],tblPesosValorOperativo[Escalabilidad],0),0)</f>
        <v>0</v>
      </c>
      <c r="P106" s="53">
        <f>tblEnlaces[[#This Row],[Opacidad]]+tblEnlaces[[#This Row],[Escalabilidad]]+tblEnlaces[[#This Row],[Velocidad]]+tblEnlaces[[#This Row],[Trazabilidad]]</f>
        <v>12</v>
      </c>
    </row>
    <row r="107" spans="2:16" ht="16.5" customHeight="1" x14ac:dyDescent="0.25">
      <c r="B107" s="66" t="str">
        <f t="array" ref="B10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E029</v>
      </c>
      <c r="C107" s="10" t="s">
        <v>49</v>
      </c>
      <c r="D107" s="10" t="str">
        <f>VLOOKUP(tblEnlaces[[#This Row],[Nodo Inicial]],tblNodos[],2,FALSE)</f>
        <v>Colectores empresariales y vehiculares</v>
      </c>
      <c r="E107" s="39" t="s">
        <v>61</v>
      </c>
      <c r="F107" s="10" t="str">
        <f>VLOOKUP(tblEnlaces[[#This Row],[Nodo Final]],tblNodos[],2,FALSE)</f>
        <v>Intermediarios bancarios formales</v>
      </c>
      <c r="G107" s="39" t="s">
        <v>136</v>
      </c>
      <c r="H107" s="39">
        <v>1</v>
      </c>
      <c r="I107" s="53">
        <f>IFERROR(_xlfn.XLOOKUP(VLOOKUP(tblEnlaces[[#This Row],[Canal]],tblCanales[#All],2,FALSE),tblPesosValorOperativo[Valor],tblPesosValorOperativo[Frecuencia de Uso],0),0)</f>
        <v>2</v>
      </c>
      <c r="J107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07" s="62">
        <f>IFERROR(_xlfn.XLOOKUP(VLOOKUP(tblEnlaces[[#This Row],[Canal]],tblCanales[#All],3,FALSE),tblPesosCoste[Valor],tblPesosCoste[Peso],0),0)</f>
        <v>4</v>
      </c>
      <c r="L107" s="10">
        <f>IFERROR(_xlfn.XLOOKUP(VLOOKUP(tblEnlaces[[#This Row],[Canal]],tblCanales[#All],5,FALSE),tblPesosValorOperativo[Valor],tblPesosValorOperativo[Opacidad],0),0)</f>
        <v>5</v>
      </c>
      <c r="M107" s="14">
        <f>IFERROR(_xlfn.XLOOKUP(VLOOKUP(tblEnlaces[[#This Row],[Canal]],tblCanales[#All],6,FALSE),tblPesosValorOperativo[Valor],tblPesosValorOperativo[Trazabilidad],0),0)</f>
        <v>2</v>
      </c>
      <c r="N107" s="14">
        <f>IFERROR(_xlfn.XLOOKUP(VLOOKUP(tblEnlaces[[#This Row],[Canal]],tblCanales[#All],7,FALSE),tblPesosValorOperativo[Valor],tblPesosValorOperativo[Velocidad],0),0)</f>
        <v>4</v>
      </c>
      <c r="O107" s="14">
        <f>IFERROR(_xlfn.XLOOKUP(VLOOKUP(tblEnlaces[[#This Row],[Canal]],tblCanales[#All],8,FALSE),tblPesosValorOperativo[Valor],tblPesosValorOperativo[Escalabilidad],0),0)</f>
        <v>0</v>
      </c>
      <c r="P107" s="53">
        <f>tblEnlaces[[#This Row],[Opacidad]]+tblEnlaces[[#This Row],[Escalabilidad]]+tblEnlaces[[#This Row],[Velocidad]]+tblEnlaces[[#This Row],[Trazabilidad]]</f>
        <v>11</v>
      </c>
    </row>
    <row r="108" spans="2:16" ht="16.5" customHeight="1" x14ac:dyDescent="0.25">
      <c r="B108" s="66" t="str">
        <f t="array" ref="B10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E030</v>
      </c>
      <c r="C108" s="10" t="s">
        <v>49</v>
      </c>
      <c r="D108" s="10" t="str">
        <f>VLOOKUP(tblEnlaces[[#This Row],[Nodo Inicial]],tblNodos[],2,FALSE)</f>
        <v>Colectores empresariales y vehiculares</v>
      </c>
      <c r="E108" s="39" t="s">
        <v>63</v>
      </c>
      <c r="F108" s="10" t="str">
        <f>VLOOKUP(tblEnlaces[[#This Row],[Nodo Final]],tblNodos[],2,FALSE)</f>
        <v>Intermediarios de pago digital (PSP /FinTech)</v>
      </c>
      <c r="G108" s="39" t="s">
        <v>222</v>
      </c>
      <c r="H108" s="39">
        <v>1</v>
      </c>
      <c r="I108" s="53">
        <f>IFERROR(_xlfn.XLOOKUP(VLOOKUP(tblEnlaces[[#This Row],[Canal]],tblCanales[#All],2,FALSE),tblPesosValorOperativo[Valor],tblPesosValorOperativo[Frecuencia de Uso],0),0)</f>
        <v>4</v>
      </c>
      <c r="J108" s="63">
        <f>IF(tblEnlaces[[#This Row],[Activo]]&lt;&gt;1,0,IFERROR(tblEnlaces[[#This Row],[Frecuencia de Uso]]/SUMIFS(tblEnlaces[Frecuencia de Uso],tblEnlaces[Enlace],tblEnlaces[[#This Row],[Enlace]],tblEnlaces[Activo],1),0))</f>
        <v>0.26666666666666666</v>
      </c>
      <c r="K108" s="62">
        <f>IFERROR(_xlfn.XLOOKUP(VLOOKUP(tblEnlaces[[#This Row],[Canal]],tblCanales[#All],3,FALSE),tblPesosCoste[Valor],tblPesosCoste[Peso],0),0)</f>
        <v>5</v>
      </c>
      <c r="L108" s="10">
        <f>IFERROR(_xlfn.XLOOKUP(VLOOKUP(tblEnlaces[[#This Row],[Canal]],tblCanales[#All],5,FALSE),tblPesosValorOperativo[Valor],tblPesosValorOperativo[Opacidad],0),0)</f>
        <v>3</v>
      </c>
      <c r="M108" s="14">
        <f>IFERROR(_xlfn.XLOOKUP(VLOOKUP(tblEnlaces[[#This Row],[Canal]],tblCanales[#All],6,FALSE),tblPesosValorOperativo[Valor],tblPesosValorOperativo[Trazabilidad],0),0)</f>
        <v>1</v>
      </c>
      <c r="N108" s="14">
        <f>IFERROR(_xlfn.XLOOKUP(VLOOKUP(tblEnlaces[[#This Row],[Canal]],tblCanales[#All],7,FALSE),tblPesosValorOperativo[Valor],tblPesosValorOperativo[Velocidad],0),0)</f>
        <v>5</v>
      </c>
      <c r="O108" s="14">
        <f>IFERROR(_xlfn.XLOOKUP(VLOOKUP(tblEnlaces[[#This Row],[Canal]],tblCanales[#All],8,FALSE),tblPesosValorOperativo[Valor],tblPesosValorOperativo[Escalabilidad],0),0)</f>
        <v>0</v>
      </c>
      <c r="P108" s="53">
        <f>tblEnlaces[[#This Row],[Opacidad]]+tblEnlaces[[#This Row],[Escalabilidad]]+tblEnlaces[[#This Row],[Velocidad]]+tblEnlaces[[#This Row],[Trazabilidad]]</f>
        <v>9</v>
      </c>
    </row>
    <row r="109" spans="2:16" ht="16.5" customHeight="1" x14ac:dyDescent="0.25">
      <c r="B109" s="66" t="str">
        <f t="array" ref="B10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E030</v>
      </c>
      <c r="C109" s="10" t="s">
        <v>49</v>
      </c>
      <c r="D109" s="10" t="str">
        <f>VLOOKUP(tblEnlaces[[#This Row],[Nodo Inicial]],tblNodos[],2,FALSE)</f>
        <v>Colectores empresariales y vehiculares</v>
      </c>
      <c r="E109" s="39" t="s">
        <v>63</v>
      </c>
      <c r="F109" s="10" t="str">
        <f>VLOOKUP(tblEnlaces[[#This Row],[Nodo Final]],tblNodos[],2,FALSE)</f>
        <v>Intermediarios de pago digital (PSP /FinTech)</v>
      </c>
      <c r="G109" s="39" t="s">
        <v>288</v>
      </c>
      <c r="H109" s="39">
        <v>1</v>
      </c>
      <c r="I109" s="53">
        <f>IFERROR(_xlfn.XLOOKUP(VLOOKUP(tblEnlaces[[#This Row],[Canal]],tblCanales[#All],2,FALSE),tblPesosValorOperativo[Valor],tblPesosValorOperativo[Frecuencia de Uso],0),0)</f>
        <v>3</v>
      </c>
      <c r="J109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109" s="62">
        <f>IFERROR(_xlfn.XLOOKUP(VLOOKUP(tblEnlaces[[#This Row],[Canal]],tblCanales[#All],3,FALSE),tblPesosCoste[Valor],tblPesosCoste[Peso],0),0)</f>
        <v>5</v>
      </c>
      <c r="L109" s="10">
        <f>IFERROR(_xlfn.XLOOKUP(VLOOKUP(tblEnlaces[[#This Row],[Canal]],tblCanales[#All],5,FALSE),tblPesosValorOperativo[Valor],tblPesosValorOperativo[Opacidad],0),0)</f>
        <v>3</v>
      </c>
      <c r="M109" s="14">
        <f>IFERROR(_xlfn.XLOOKUP(VLOOKUP(tblEnlaces[[#This Row],[Canal]],tblCanales[#All],6,FALSE),tblPesosValorOperativo[Valor],tblPesosValorOperativo[Trazabilidad],0),0)</f>
        <v>1</v>
      </c>
      <c r="N109" s="14">
        <f>IFERROR(_xlfn.XLOOKUP(VLOOKUP(tblEnlaces[[#This Row],[Canal]],tblCanales[#All],7,FALSE),tblPesosValorOperativo[Valor],tblPesosValorOperativo[Velocidad],0),0)</f>
        <v>5</v>
      </c>
      <c r="O109" s="14">
        <f>IFERROR(_xlfn.XLOOKUP(VLOOKUP(tblEnlaces[[#This Row],[Canal]],tblCanales[#All],8,FALSE),tblPesosValorOperativo[Valor],tblPesosValorOperativo[Escalabilidad],0),0)</f>
        <v>0</v>
      </c>
      <c r="P109" s="53">
        <f>tblEnlaces[[#This Row],[Opacidad]]+tblEnlaces[[#This Row],[Escalabilidad]]+tblEnlaces[[#This Row],[Velocidad]]+tblEnlaces[[#This Row],[Trazabilidad]]</f>
        <v>9</v>
      </c>
    </row>
    <row r="110" spans="2:16" ht="16.5" customHeight="1" x14ac:dyDescent="0.25">
      <c r="B110" s="66" t="str">
        <f t="array" ref="B11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E030</v>
      </c>
      <c r="C110" s="10" t="s">
        <v>49</v>
      </c>
      <c r="D110" s="10" t="str">
        <f>VLOOKUP(tblEnlaces[[#This Row],[Nodo Inicial]],tblNodos[],2,FALSE)</f>
        <v>Colectores empresariales y vehiculares</v>
      </c>
      <c r="E110" s="39" t="s">
        <v>63</v>
      </c>
      <c r="F110" s="10" t="str">
        <f>VLOOKUP(tblEnlaces[[#This Row],[Nodo Final]],tblNodos[],2,FALSE)</f>
        <v>Intermediarios de pago digital (PSP /FinTech)</v>
      </c>
      <c r="G110" s="39" t="s">
        <v>252</v>
      </c>
      <c r="H110" s="39">
        <v>1</v>
      </c>
      <c r="I110" s="53">
        <f>IFERROR(_xlfn.XLOOKUP(VLOOKUP(tblEnlaces[[#This Row],[Canal]],tblCanales[#All],2,FALSE),tblPesosValorOperativo[Valor],tblPesosValorOperativo[Frecuencia de Uso],0),0)</f>
        <v>4</v>
      </c>
      <c r="J110" s="63">
        <f>IF(tblEnlaces[[#This Row],[Activo]]&lt;&gt;1,0,IFERROR(tblEnlaces[[#This Row],[Frecuencia de Uso]]/SUMIFS(tblEnlaces[Frecuencia de Uso],tblEnlaces[Enlace],tblEnlaces[[#This Row],[Enlace]],tblEnlaces[Activo],1),0))</f>
        <v>0.26666666666666666</v>
      </c>
      <c r="K110" s="62">
        <f>IFERROR(_xlfn.XLOOKUP(VLOOKUP(tblEnlaces[[#This Row],[Canal]],tblCanales[#All],3,FALSE),tblPesosCoste[Valor],tblPesosCoste[Peso],0),0)</f>
        <v>5</v>
      </c>
      <c r="L110" s="10">
        <f>IFERROR(_xlfn.XLOOKUP(VLOOKUP(tblEnlaces[[#This Row],[Canal]],tblCanales[#All],5,FALSE),tblPesosValorOperativo[Valor],tblPesosValorOperativo[Opacidad],0),0)</f>
        <v>3</v>
      </c>
      <c r="M110" s="14">
        <f>IFERROR(_xlfn.XLOOKUP(VLOOKUP(tblEnlaces[[#This Row],[Canal]],tblCanales[#All],6,FALSE),tblPesosValorOperativo[Valor],tblPesosValorOperativo[Trazabilidad],0),0)</f>
        <v>1</v>
      </c>
      <c r="N110" s="14">
        <f>IFERROR(_xlfn.XLOOKUP(VLOOKUP(tblEnlaces[[#This Row],[Canal]],tblCanales[#All],7,FALSE),tblPesosValorOperativo[Valor],tblPesosValorOperativo[Velocidad],0),0)</f>
        <v>5</v>
      </c>
      <c r="O110" s="14">
        <f>IFERROR(_xlfn.XLOOKUP(VLOOKUP(tblEnlaces[[#This Row],[Canal]],tblCanales[#All],8,FALSE),tblPesosValorOperativo[Valor],tblPesosValorOperativo[Escalabilidad],0),0)</f>
        <v>0</v>
      </c>
      <c r="P110" s="53">
        <f>tblEnlaces[[#This Row],[Opacidad]]+tblEnlaces[[#This Row],[Escalabilidad]]+tblEnlaces[[#This Row],[Velocidad]]+tblEnlaces[[#This Row],[Trazabilidad]]</f>
        <v>9</v>
      </c>
    </row>
    <row r="111" spans="2:16" ht="16.5" customHeight="1" x14ac:dyDescent="0.25">
      <c r="B111" s="66" t="str">
        <f t="array" ref="B11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E030</v>
      </c>
      <c r="C111" s="10" t="s">
        <v>49</v>
      </c>
      <c r="D111" s="10" t="str">
        <f>VLOOKUP(tblEnlaces[[#This Row],[Nodo Inicial]],tblNodos[],2,FALSE)</f>
        <v>Colectores empresariales y vehiculares</v>
      </c>
      <c r="E111" s="39" t="s">
        <v>63</v>
      </c>
      <c r="F111" s="10" t="str">
        <f>VLOOKUP(tblEnlaces[[#This Row],[Nodo Final]],tblNodos[],2,FALSE)</f>
        <v>Intermediarios de pago digital (PSP /FinTech)</v>
      </c>
      <c r="G111" s="39" t="s">
        <v>186</v>
      </c>
      <c r="H111" s="39">
        <v>1</v>
      </c>
      <c r="I111" s="53">
        <f>IFERROR(_xlfn.XLOOKUP(VLOOKUP(tblEnlaces[[#This Row],[Canal]],tblCanales[#All],2,FALSE),tblPesosValorOperativo[Valor],tblPesosValorOperativo[Frecuencia de Uso],0),0)</f>
        <v>4</v>
      </c>
      <c r="J111" s="63">
        <f>IF(tblEnlaces[[#This Row],[Activo]]&lt;&gt;1,0,IFERROR(tblEnlaces[[#This Row],[Frecuencia de Uso]]/SUMIFS(tblEnlaces[Frecuencia de Uso],tblEnlaces[Enlace],tblEnlaces[[#This Row],[Enlace]],tblEnlaces[Activo],1),0))</f>
        <v>0.26666666666666666</v>
      </c>
      <c r="K111" s="62">
        <f>IFERROR(_xlfn.XLOOKUP(VLOOKUP(tblEnlaces[[#This Row],[Canal]],tblCanales[#All],3,FALSE),tblPesosCoste[Valor],tblPesosCoste[Peso],0),0)</f>
        <v>5</v>
      </c>
      <c r="L111" s="10">
        <f>IFERROR(_xlfn.XLOOKUP(VLOOKUP(tblEnlaces[[#This Row],[Canal]],tblCanales[#All],5,FALSE),tblPesosValorOperativo[Valor],tblPesosValorOperativo[Opacidad],0),0)</f>
        <v>2</v>
      </c>
      <c r="M111" s="14">
        <f>IFERROR(_xlfn.XLOOKUP(VLOOKUP(tblEnlaces[[#This Row],[Canal]],tblCanales[#All],6,FALSE),tblPesosValorOperativo[Valor],tblPesosValorOperativo[Trazabilidad],0),0)</f>
        <v>1</v>
      </c>
      <c r="N111" s="14">
        <f>IFERROR(_xlfn.XLOOKUP(VLOOKUP(tblEnlaces[[#This Row],[Canal]],tblCanales[#All],7,FALSE),tblPesosValorOperativo[Valor],tblPesosValorOperativo[Velocidad],0),0)</f>
        <v>5</v>
      </c>
      <c r="O111" s="14">
        <f>IFERROR(_xlfn.XLOOKUP(VLOOKUP(tblEnlaces[[#This Row],[Canal]],tblCanales[#All],8,FALSE),tblPesosValorOperativo[Valor],tblPesosValorOperativo[Escalabilidad],0),0)</f>
        <v>0</v>
      </c>
      <c r="P111" s="53">
        <f>tblEnlaces[[#This Row],[Opacidad]]+tblEnlaces[[#This Row],[Escalabilidad]]+tblEnlaces[[#This Row],[Velocidad]]+tblEnlaces[[#This Row],[Trazabilidad]]</f>
        <v>8</v>
      </c>
    </row>
    <row r="112" spans="2:16" ht="16.5" customHeight="1" x14ac:dyDescent="0.25">
      <c r="B112" s="66" t="str">
        <f t="array" ref="B11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E031</v>
      </c>
      <c r="C112" s="10" t="s">
        <v>49</v>
      </c>
      <c r="D112" s="10" t="str">
        <f>VLOOKUP(tblEnlaces[[#This Row],[Nodo Inicial]],tblNodos[],2,FALSE)</f>
        <v>Colectores empresariales y vehiculares</v>
      </c>
      <c r="E112" s="39" t="s">
        <v>73</v>
      </c>
      <c r="F112" s="10" t="str">
        <f>VLOOKUP(tblEnlaces[[#This Row],[Nodo Final]],tblNodos[],2,FALSE)</f>
        <v>Intermediarios operativos y de cobertura</v>
      </c>
      <c r="G112" s="39" t="s">
        <v>136</v>
      </c>
      <c r="H112" s="39">
        <v>1</v>
      </c>
      <c r="I112" s="53">
        <f>IFERROR(_xlfn.XLOOKUP(VLOOKUP(tblEnlaces[[#This Row],[Canal]],tblCanales[#All],2,FALSE),tblPesosValorOperativo[Valor],tblPesosValorOperativo[Frecuencia de Uso],0),0)</f>
        <v>2</v>
      </c>
      <c r="J112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112" s="62">
        <f>IFERROR(_xlfn.XLOOKUP(VLOOKUP(tblEnlaces[[#This Row],[Canal]],tblCanales[#All],3,FALSE),tblPesosCoste[Valor],tblPesosCoste[Peso],0),0)</f>
        <v>4</v>
      </c>
      <c r="L112" s="10">
        <f>IFERROR(_xlfn.XLOOKUP(VLOOKUP(tblEnlaces[[#This Row],[Canal]],tblCanales[#All],5,FALSE),tblPesosValorOperativo[Valor],tblPesosValorOperativo[Opacidad],0),0)</f>
        <v>5</v>
      </c>
      <c r="M112" s="14">
        <f>IFERROR(_xlfn.XLOOKUP(VLOOKUP(tblEnlaces[[#This Row],[Canal]],tblCanales[#All],6,FALSE),tblPesosValorOperativo[Valor],tblPesosValorOperativo[Trazabilidad],0),0)</f>
        <v>2</v>
      </c>
      <c r="N112" s="14">
        <f>IFERROR(_xlfn.XLOOKUP(VLOOKUP(tblEnlaces[[#This Row],[Canal]],tblCanales[#All],7,FALSE),tblPesosValorOperativo[Valor],tblPesosValorOperativo[Velocidad],0),0)</f>
        <v>4</v>
      </c>
      <c r="O112" s="14">
        <f>IFERROR(_xlfn.XLOOKUP(VLOOKUP(tblEnlaces[[#This Row],[Canal]],tblCanales[#All],8,FALSE),tblPesosValorOperativo[Valor],tblPesosValorOperativo[Escalabilidad],0),0)</f>
        <v>0</v>
      </c>
      <c r="P112" s="53">
        <f>tblEnlaces[[#This Row],[Opacidad]]+tblEnlaces[[#This Row],[Escalabilidad]]+tblEnlaces[[#This Row],[Velocidad]]+tblEnlaces[[#This Row],[Trazabilidad]]</f>
        <v>11</v>
      </c>
    </row>
    <row r="113" spans="2:16" ht="16.5" customHeight="1" x14ac:dyDescent="0.25">
      <c r="B113" s="66" t="str">
        <f t="array" ref="B11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E031</v>
      </c>
      <c r="C113" s="10" t="s">
        <v>49</v>
      </c>
      <c r="D113" s="10" t="str">
        <f>VLOOKUP(tblEnlaces[[#This Row],[Nodo Inicial]],tblNodos[],2,FALSE)</f>
        <v>Colectores empresariales y vehiculares</v>
      </c>
      <c r="E113" s="39" t="s">
        <v>73</v>
      </c>
      <c r="F113" s="10" t="str">
        <f>VLOOKUP(tblEnlaces[[#This Row],[Nodo Final]],tblNodos[],2,FALSE)</f>
        <v>Intermediarios operativos y de cobertura</v>
      </c>
      <c r="G113" s="39" t="s">
        <v>128</v>
      </c>
      <c r="H113" s="39">
        <v>1</v>
      </c>
      <c r="I113" s="53">
        <f>IFERROR(_xlfn.XLOOKUP(VLOOKUP(tblEnlaces[[#This Row],[Canal]],tblCanales[#All],2,FALSE),tblPesosValorOperativo[Valor],tblPesosValorOperativo[Frecuencia de Uso],0),0)</f>
        <v>2</v>
      </c>
      <c r="J113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113" s="62">
        <f>IFERROR(_xlfn.XLOOKUP(VLOOKUP(tblEnlaces[[#This Row],[Canal]],tblCanales[#All],3,FALSE),tblPesosCoste[Valor],tblPesosCoste[Peso],0),0)</f>
        <v>5</v>
      </c>
      <c r="L113" s="10">
        <f>IFERROR(_xlfn.XLOOKUP(VLOOKUP(tblEnlaces[[#This Row],[Canal]],tblCanales[#All],5,FALSE),tblPesosValorOperativo[Valor],tblPesosValorOperativo[Opacidad],0),0)</f>
        <v>5</v>
      </c>
      <c r="M113" s="14">
        <f>IFERROR(_xlfn.XLOOKUP(VLOOKUP(tblEnlaces[[#This Row],[Canal]],tblCanales[#All],6,FALSE),tblPesosValorOperativo[Valor],tblPesosValorOperativo[Trazabilidad],0),0)</f>
        <v>3</v>
      </c>
      <c r="N113" s="14">
        <f>IFERROR(_xlfn.XLOOKUP(VLOOKUP(tblEnlaces[[#This Row],[Canal]],tblCanales[#All],7,FALSE),tblPesosValorOperativo[Valor],tblPesosValorOperativo[Velocidad],0),0)</f>
        <v>4</v>
      </c>
      <c r="O113" s="14">
        <f>IFERROR(_xlfn.XLOOKUP(VLOOKUP(tblEnlaces[[#This Row],[Canal]],tblCanales[#All],8,FALSE),tblPesosValorOperativo[Valor],tblPesosValorOperativo[Escalabilidad],0),0)</f>
        <v>0</v>
      </c>
      <c r="P113" s="53">
        <f>tblEnlaces[[#This Row],[Opacidad]]+tblEnlaces[[#This Row],[Escalabilidad]]+tblEnlaces[[#This Row],[Velocidad]]+tblEnlaces[[#This Row],[Trazabilidad]]</f>
        <v>12</v>
      </c>
    </row>
    <row r="114" spans="2:16" ht="16.5" customHeight="1" x14ac:dyDescent="0.25">
      <c r="B114" s="66" t="str">
        <f t="array" ref="B11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E031</v>
      </c>
      <c r="C114" s="10" t="s">
        <v>49</v>
      </c>
      <c r="D114" s="10" t="str">
        <f>VLOOKUP(tblEnlaces[[#This Row],[Nodo Inicial]],tblNodos[],2,FALSE)</f>
        <v>Colectores empresariales y vehiculares</v>
      </c>
      <c r="E114" s="39" t="s">
        <v>73</v>
      </c>
      <c r="F114" s="10" t="str">
        <f>VLOOKUP(tblEnlaces[[#This Row],[Nodo Final]],tblNodos[],2,FALSE)</f>
        <v>Intermediarios operativos y de cobertura</v>
      </c>
      <c r="G114" s="39" t="s">
        <v>252</v>
      </c>
      <c r="H114" s="39">
        <v>1</v>
      </c>
      <c r="I114" s="53">
        <f>IFERROR(_xlfn.XLOOKUP(VLOOKUP(tblEnlaces[[#This Row],[Canal]],tblCanales[#All],2,FALSE),tblPesosValorOperativo[Valor],tblPesosValorOperativo[Frecuencia de Uso],0),0)</f>
        <v>4</v>
      </c>
      <c r="J114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14" s="62">
        <f>IFERROR(_xlfn.XLOOKUP(VLOOKUP(tblEnlaces[[#This Row],[Canal]],tblCanales[#All],3,FALSE),tblPesosCoste[Valor],tblPesosCoste[Peso],0),0)</f>
        <v>5</v>
      </c>
      <c r="L114" s="10">
        <f>IFERROR(_xlfn.XLOOKUP(VLOOKUP(tblEnlaces[[#This Row],[Canal]],tblCanales[#All],5,FALSE),tblPesosValorOperativo[Valor],tblPesosValorOperativo[Opacidad],0),0)</f>
        <v>3</v>
      </c>
      <c r="M114" s="14">
        <f>IFERROR(_xlfn.XLOOKUP(VLOOKUP(tblEnlaces[[#This Row],[Canal]],tblCanales[#All],6,FALSE),tblPesosValorOperativo[Valor],tblPesosValorOperativo[Trazabilidad],0),0)</f>
        <v>1</v>
      </c>
      <c r="N114" s="14">
        <f>IFERROR(_xlfn.XLOOKUP(VLOOKUP(tblEnlaces[[#This Row],[Canal]],tblCanales[#All],7,FALSE),tblPesosValorOperativo[Valor],tblPesosValorOperativo[Velocidad],0),0)</f>
        <v>5</v>
      </c>
      <c r="O114" s="14">
        <f>IFERROR(_xlfn.XLOOKUP(VLOOKUP(tblEnlaces[[#This Row],[Canal]],tblCanales[#All],8,FALSE),tblPesosValorOperativo[Valor],tblPesosValorOperativo[Escalabilidad],0),0)</f>
        <v>0</v>
      </c>
      <c r="P114" s="53">
        <f>tblEnlaces[[#This Row],[Opacidad]]+tblEnlaces[[#This Row],[Escalabilidad]]+tblEnlaces[[#This Row],[Velocidad]]+tblEnlaces[[#This Row],[Trazabilidad]]</f>
        <v>9</v>
      </c>
    </row>
    <row r="115" spans="2:16" ht="16.5" customHeight="1" x14ac:dyDescent="0.25">
      <c r="B115" s="66" t="str">
        <f t="array" ref="B11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E032</v>
      </c>
      <c r="C115" s="10" t="s">
        <v>51</v>
      </c>
      <c r="D115" s="10" t="str">
        <f>VLOOKUP(tblEnlaces[[#This Row],[Nodo Inicial]],tblNodos[],2,FALSE)</f>
        <v>Colectores instrumentales / de ocultación</v>
      </c>
      <c r="E115" s="39" t="s">
        <v>57</v>
      </c>
      <c r="F115" s="10" t="str">
        <f>VLOOKUP(tblEnlaces[[#This Row],[Nodo Final]],tblNodos[],2,FALSE)</f>
        <v>Intermediarios MVTS y remesas</v>
      </c>
      <c r="G115" s="39" t="s">
        <v>234</v>
      </c>
      <c r="H115" s="39">
        <v>1</v>
      </c>
      <c r="I115" s="53">
        <f>IFERROR(_xlfn.XLOOKUP(VLOOKUP(tblEnlaces[[#This Row],[Canal]],tblCanales[#All],2,FALSE),tblPesosValorOperativo[Valor],tblPesosValorOperativo[Frecuencia de Uso],0),0)</f>
        <v>4</v>
      </c>
      <c r="J115" s="63">
        <f>IF(tblEnlaces[[#This Row],[Activo]]&lt;&gt;1,0,IFERROR(tblEnlaces[[#This Row],[Frecuencia de Uso]]/SUMIFS(tblEnlaces[Frecuencia de Uso],tblEnlaces[Enlace],tblEnlaces[[#This Row],[Enlace]],tblEnlaces[Activo],1),0))</f>
        <v>0.66666666666666663</v>
      </c>
      <c r="K115" s="62">
        <f>IFERROR(_xlfn.XLOOKUP(VLOOKUP(tblEnlaces[[#This Row],[Canal]],tblCanales[#All],3,FALSE),tblPesosCoste[Valor],tblPesosCoste[Peso],0),0)</f>
        <v>4</v>
      </c>
      <c r="L115" s="10">
        <f>IFERROR(_xlfn.XLOOKUP(VLOOKUP(tblEnlaces[[#This Row],[Canal]],tblCanales[#All],5,FALSE),tblPesosValorOperativo[Valor],tblPesosValorOperativo[Opacidad],0),0)</f>
        <v>3</v>
      </c>
      <c r="M115" s="14">
        <f>IFERROR(_xlfn.XLOOKUP(VLOOKUP(tblEnlaces[[#This Row],[Canal]],tblCanales[#All],6,FALSE),tblPesosValorOperativo[Valor],tblPesosValorOperativo[Trazabilidad],0),0)</f>
        <v>1</v>
      </c>
      <c r="N115" s="14">
        <f>IFERROR(_xlfn.XLOOKUP(VLOOKUP(tblEnlaces[[#This Row],[Canal]],tblCanales[#All],7,FALSE),tblPesosValorOperativo[Valor],tblPesosValorOperativo[Velocidad],0),0)</f>
        <v>5</v>
      </c>
      <c r="O115" s="14">
        <f>IFERROR(_xlfn.XLOOKUP(VLOOKUP(tblEnlaces[[#This Row],[Canal]],tblCanales[#All],8,FALSE),tblPesosValorOperativo[Valor],tblPesosValorOperativo[Escalabilidad],0),0)</f>
        <v>0</v>
      </c>
      <c r="P115" s="53">
        <f>tblEnlaces[[#This Row],[Opacidad]]+tblEnlaces[[#This Row],[Escalabilidad]]+tblEnlaces[[#This Row],[Velocidad]]+tblEnlaces[[#This Row],[Trazabilidad]]</f>
        <v>9</v>
      </c>
    </row>
    <row r="116" spans="2:16" ht="16.5" customHeight="1" x14ac:dyDescent="0.25">
      <c r="B116" s="66" t="str">
        <f t="array" ref="B11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E032</v>
      </c>
      <c r="C116" s="10" t="s">
        <v>51</v>
      </c>
      <c r="D116" s="10" t="str">
        <f>VLOOKUP(tblEnlaces[[#This Row],[Nodo Inicial]],tblNodos[],2,FALSE)</f>
        <v>Colectores instrumentales / de ocultación</v>
      </c>
      <c r="E116" s="39" t="s">
        <v>57</v>
      </c>
      <c r="F116" s="10" t="str">
        <f>VLOOKUP(tblEnlaces[[#This Row],[Nodo Final]],tblNodos[],2,FALSE)</f>
        <v>Intermediarios MVTS y remesas</v>
      </c>
      <c r="G116" s="39" t="s">
        <v>276</v>
      </c>
      <c r="H116" s="39">
        <v>1</v>
      </c>
      <c r="I116" s="53">
        <f>IFERROR(_xlfn.XLOOKUP(VLOOKUP(tblEnlaces[[#This Row],[Canal]],tblCanales[#All],2,FALSE),tblPesosValorOperativo[Valor],tblPesosValorOperativo[Frecuencia de Uso],0),0)</f>
        <v>2</v>
      </c>
      <c r="J116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116" s="62">
        <f>IFERROR(_xlfn.XLOOKUP(VLOOKUP(tblEnlaces[[#This Row],[Canal]],tblCanales[#All],3,FALSE),tblPesosCoste[Valor],tblPesosCoste[Peso],0),0)</f>
        <v>4</v>
      </c>
      <c r="L116" s="10">
        <f>IFERROR(_xlfn.XLOOKUP(VLOOKUP(tblEnlaces[[#This Row],[Canal]],tblCanales[#All],5,FALSE),tblPesosValorOperativo[Valor],tblPesosValorOperativo[Opacidad],0),0)</f>
        <v>3</v>
      </c>
      <c r="M116" s="14">
        <f>IFERROR(_xlfn.XLOOKUP(VLOOKUP(tblEnlaces[[#This Row],[Canal]],tblCanales[#All],6,FALSE),tblPesosValorOperativo[Valor],tblPesosValorOperativo[Trazabilidad],0),0)</f>
        <v>1</v>
      </c>
      <c r="N116" s="14">
        <f>IFERROR(_xlfn.XLOOKUP(VLOOKUP(tblEnlaces[[#This Row],[Canal]],tblCanales[#All],7,FALSE),tblPesosValorOperativo[Valor],tblPesosValorOperativo[Velocidad],0),0)</f>
        <v>5</v>
      </c>
      <c r="O116" s="14">
        <f>IFERROR(_xlfn.XLOOKUP(VLOOKUP(tblEnlaces[[#This Row],[Canal]],tblCanales[#All],8,FALSE),tblPesosValorOperativo[Valor],tblPesosValorOperativo[Escalabilidad],0),0)</f>
        <v>0</v>
      </c>
      <c r="P116" s="53">
        <f>tblEnlaces[[#This Row],[Opacidad]]+tblEnlaces[[#This Row],[Escalabilidad]]+tblEnlaces[[#This Row],[Velocidad]]+tblEnlaces[[#This Row],[Trazabilidad]]</f>
        <v>9</v>
      </c>
    </row>
    <row r="117" spans="2:16" ht="16.5" customHeight="1" x14ac:dyDescent="0.25">
      <c r="B117" s="66" t="str">
        <f t="array" ref="B11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E033</v>
      </c>
      <c r="C117" s="10" t="s">
        <v>51</v>
      </c>
      <c r="D117" s="10" t="str">
        <f>VLOOKUP(tblEnlaces[[#This Row],[Nodo Inicial]],tblNodos[],2,FALSE)</f>
        <v>Colectores instrumentales / de ocultación</v>
      </c>
      <c r="E117" s="39" t="s">
        <v>63</v>
      </c>
      <c r="F117" s="10" t="str">
        <f>VLOOKUP(tblEnlaces[[#This Row],[Nodo Final]],tblNodos[],2,FALSE)</f>
        <v>Intermediarios de pago digital (PSP /FinTech)</v>
      </c>
      <c r="G117" s="39" t="s">
        <v>252</v>
      </c>
      <c r="H117" s="39">
        <v>1</v>
      </c>
      <c r="I117" s="53">
        <f>IFERROR(_xlfn.XLOOKUP(VLOOKUP(tblEnlaces[[#This Row],[Canal]],tblCanales[#All],2,FALSE),tblPesosValorOperativo[Valor],tblPesosValorOperativo[Frecuencia de Uso],0),0)</f>
        <v>4</v>
      </c>
      <c r="J117" s="63">
        <f>IF(tblEnlaces[[#This Row],[Activo]]&lt;&gt;1,0,IFERROR(tblEnlaces[[#This Row],[Frecuencia de Uso]]/SUMIFS(tblEnlaces[Frecuencia de Uso],tblEnlaces[Enlace],tblEnlaces[[#This Row],[Enlace]],tblEnlaces[Activo],1),0))</f>
        <v>1</v>
      </c>
      <c r="K117" s="62">
        <f>IFERROR(_xlfn.XLOOKUP(VLOOKUP(tblEnlaces[[#This Row],[Canal]],tblCanales[#All],3,FALSE),tblPesosCoste[Valor],tblPesosCoste[Peso],0),0)</f>
        <v>5</v>
      </c>
      <c r="L117" s="10">
        <f>IFERROR(_xlfn.XLOOKUP(VLOOKUP(tblEnlaces[[#This Row],[Canal]],tblCanales[#All],5,FALSE),tblPesosValorOperativo[Valor],tblPesosValorOperativo[Opacidad],0),0)</f>
        <v>3</v>
      </c>
      <c r="M117" s="14">
        <f>IFERROR(_xlfn.XLOOKUP(VLOOKUP(tblEnlaces[[#This Row],[Canal]],tblCanales[#All],6,FALSE),tblPesosValorOperativo[Valor],tblPesosValorOperativo[Trazabilidad],0),0)</f>
        <v>1</v>
      </c>
      <c r="N117" s="14">
        <f>IFERROR(_xlfn.XLOOKUP(VLOOKUP(tblEnlaces[[#This Row],[Canal]],tblCanales[#All],7,FALSE),tblPesosValorOperativo[Valor],tblPesosValorOperativo[Velocidad],0),0)</f>
        <v>5</v>
      </c>
      <c r="O117" s="14">
        <f>IFERROR(_xlfn.XLOOKUP(VLOOKUP(tblEnlaces[[#This Row],[Canal]],tblCanales[#All],8,FALSE),tblPesosValorOperativo[Valor],tblPesosValorOperativo[Escalabilidad],0),0)</f>
        <v>0</v>
      </c>
      <c r="P117" s="53">
        <f>tblEnlaces[[#This Row],[Opacidad]]+tblEnlaces[[#This Row],[Escalabilidad]]+tblEnlaces[[#This Row],[Velocidad]]+tblEnlaces[[#This Row],[Trazabilidad]]</f>
        <v>9</v>
      </c>
    </row>
    <row r="118" spans="2:16" ht="16.5" customHeight="1" x14ac:dyDescent="0.25">
      <c r="B118" s="66" t="str">
        <f t="array" ref="B11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E034</v>
      </c>
      <c r="C118" s="10" t="s">
        <v>51</v>
      </c>
      <c r="D118" s="10" t="str">
        <f>VLOOKUP(tblEnlaces[[#This Row],[Nodo Inicial]],tblNodos[],2,FALSE)</f>
        <v>Colectores instrumentales / de ocultación</v>
      </c>
      <c r="E118" s="39" t="s">
        <v>61</v>
      </c>
      <c r="F118" s="10" t="str">
        <f>VLOOKUP(tblEnlaces[[#This Row],[Nodo Final]],tblNodos[],2,FALSE)</f>
        <v>Intermediarios bancarios formales</v>
      </c>
      <c r="G118" s="39" t="s">
        <v>128</v>
      </c>
      <c r="H118" s="39">
        <v>1</v>
      </c>
      <c r="I118" s="53">
        <f>IFERROR(_xlfn.XLOOKUP(VLOOKUP(tblEnlaces[[#This Row],[Canal]],tblCanales[#All],2,FALSE),tblPesosValorOperativo[Valor],tblPesosValorOperativo[Frecuencia de Uso],0),0)</f>
        <v>2</v>
      </c>
      <c r="J118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18" s="62">
        <f>IFERROR(_xlfn.XLOOKUP(VLOOKUP(tblEnlaces[[#This Row],[Canal]],tblCanales[#All],3,FALSE),tblPesosCoste[Valor],tblPesosCoste[Peso],0),0)</f>
        <v>5</v>
      </c>
      <c r="L118" s="10">
        <f>IFERROR(_xlfn.XLOOKUP(VLOOKUP(tblEnlaces[[#This Row],[Canal]],tblCanales[#All],5,FALSE),tblPesosValorOperativo[Valor],tblPesosValorOperativo[Opacidad],0),0)</f>
        <v>5</v>
      </c>
      <c r="M118" s="14">
        <f>IFERROR(_xlfn.XLOOKUP(VLOOKUP(tblEnlaces[[#This Row],[Canal]],tblCanales[#All],6,FALSE),tblPesosValorOperativo[Valor],tblPesosValorOperativo[Trazabilidad],0),0)</f>
        <v>3</v>
      </c>
      <c r="N118" s="14">
        <f>IFERROR(_xlfn.XLOOKUP(VLOOKUP(tblEnlaces[[#This Row],[Canal]],tblCanales[#All],7,FALSE),tblPesosValorOperativo[Valor],tblPesosValorOperativo[Velocidad],0),0)</f>
        <v>4</v>
      </c>
      <c r="O118" s="14">
        <f>IFERROR(_xlfn.XLOOKUP(VLOOKUP(tblEnlaces[[#This Row],[Canal]],tblCanales[#All],8,FALSE),tblPesosValorOperativo[Valor],tblPesosValorOperativo[Escalabilidad],0),0)</f>
        <v>0</v>
      </c>
      <c r="P118" s="53">
        <f>tblEnlaces[[#This Row],[Opacidad]]+tblEnlaces[[#This Row],[Escalabilidad]]+tblEnlaces[[#This Row],[Velocidad]]+tblEnlaces[[#This Row],[Trazabilidad]]</f>
        <v>12</v>
      </c>
    </row>
    <row r="119" spans="2:16" ht="16.5" customHeight="1" x14ac:dyDescent="0.25">
      <c r="B119" s="66" t="str">
        <f t="array" ref="B11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E034</v>
      </c>
      <c r="C119" s="10" t="s">
        <v>51</v>
      </c>
      <c r="D119" s="10" t="str">
        <f>VLOOKUP(tblEnlaces[[#This Row],[Nodo Inicial]],tblNodos[],2,FALSE)</f>
        <v>Colectores instrumentales / de ocultación</v>
      </c>
      <c r="E119" s="39" t="s">
        <v>61</v>
      </c>
      <c r="F119" s="10" t="str">
        <f>VLOOKUP(tblEnlaces[[#This Row],[Nodo Final]],tblNodos[],2,FALSE)</f>
        <v>Intermediarios bancarios formales</v>
      </c>
      <c r="G119" s="39" t="s">
        <v>136</v>
      </c>
      <c r="H119" s="39">
        <v>1</v>
      </c>
      <c r="I119" s="53">
        <f>IFERROR(_xlfn.XLOOKUP(VLOOKUP(tblEnlaces[[#This Row],[Canal]],tblCanales[#All],2,FALSE),tblPesosValorOperativo[Valor],tblPesosValorOperativo[Frecuencia de Uso],0),0)</f>
        <v>2</v>
      </c>
      <c r="J119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19" s="62">
        <f>IFERROR(_xlfn.XLOOKUP(VLOOKUP(tblEnlaces[[#This Row],[Canal]],tblCanales[#All],3,FALSE),tblPesosCoste[Valor],tblPesosCoste[Peso],0),0)</f>
        <v>4</v>
      </c>
      <c r="L119" s="10">
        <f>IFERROR(_xlfn.XLOOKUP(VLOOKUP(tblEnlaces[[#This Row],[Canal]],tblCanales[#All],5,FALSE),tblPesosValorOperativo[Valor],tblPesosValorOperativo[Opacidad],0),0)</f>
        <v>5</v>
      </c>
      <c r="M119" s="14">
        <f>IFERROR(_xlfn.XLOOKUP(VLOOKUP(tblEnlaces[[#This Row],[Canal]],tblCanales[#All],6,FALSE),tblPesosValorOperativo[Valor],tblPesosValorOperativo[Trazabilidad],0),0)</f>
        <v>2</v>
      </c>
      <c r="N119" s="14">
        <f>IFERROR(_xlfn.XLOOKUP(VLOOKUP(tblEnlaces[[#This Row],[Canal]],tblCanales[#All],7,FALSE),tblPesosValorOperativo[Valor],tblPesosValorOperativo[Velocidad],0),0)</f>
        <v>4</v>
      </c>
      <c r="O119" s="14">
        <f>IFERROR(_xlfn.XLOOKUP(VLOOKUP(tblEnlaces[[#This Row],[Canal]],tblCanales[#All],8,FALSE),tblPesosValorOperativo[Valor],tblPesosValorOperativo[Escalabilidad],0),0)</f>
        <v>0</v>
      </c>
      <c r="P119" s="53">
        <f>tblEnlaces[[#This Row],[Opacidad]]+tblEnlaces[[#This Row],[Escalabilidad]]+tblEnlaces[[#This Row],[Velocidad]]+tblEnlaces[[#This Row],[Trazabilidad]]</f>
        <v>11</v>
      </c>
    </row>
    <row r="120" spans="2:16" ht="16.5" customHeight="1" x14ac:dyDescent="0.25">
      <c r="B120" s="66" t="str">
        <f t="array" ref="B12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E035</v>
      </c>
      <c r="C120" s="10" t="s">
        <v>51</v>
      </c>
      <c r="D120" s="10" t="str">
        <f>VLOOKUP(tblEnlaces[[#This Row],[Nodo Inicial]],tblNodos[],2,FALSE)</f>
        <v>Colectores instrumentales / de ocultación</v>
      </c>
      <c r="E120" s="39" t="s">
        <v>71</v>
      </c>
      <c r="F120" s="10" t="str">
        <f>VLOOKUP(tblEnlaces[[#This Row],[Nodo Final]],tblNodos[],2,FALSE)</f>
        <v>Intermediarios financeros especializados</v>
      </c>
      <c r="G120" s="39" t="s">
        <v>408</v>
      </c>
      <c r="H120" s="39">
        <v>1</v>
      </c>
      <c r="I120" s="53">
        <f>IFERROR(_xlfn.XLOOKUP(VLOOKUP(tblEnlaces[[#This Row],[Canal]],tblCanales[#All],2,FALSE),tblPesosValorOperativo[Valor],tblPesosValorOperativo[Frecuencia de Uso],0),0)</f>
        <v>2</v>
      </c>
      <c r="J120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120" s="62">
        <f>IFERROR(_xlfn.XLOOKUP(VLOOKUP(tblEnlaces[[#This Row],[Canal]],tblCanales[#All],3,FALSE),tblPesosCoste[Valor],tblPesosCoste[Peso],0),0)</f>
        <v>2</v>
      </c>
      <c r="L120" s="10">
        <f>IFERROR(_xlfn.XLOOKUP(VLOOKUP(tblEnlaces[[#This Row],[Canal]],tblCanales[#All],5,FALSE),tblPesosValorOperativo[Valor],tblPesosValorOperativo[Opacidad],0),0)</f>
        <v>3</v>
      </c>
      <c r="M120" s="14">
        <f>IFERROR(_xlfn.XLOOKUP(VLOOKUP(tblEnlaces[[#This Row],[Canal]],tblCanales[#All],6,FALSE),tblPesosValorOperativo[Valor],tblPesosValorOperativo[Trazabilidad],0),0)</f>
        <v>1</v>
      </c>
      <c r="N120" s="14">
        <f>IFERROR(_xlfn.XLOOKUP(VLOOKUP(tblEnlaces[[#This Row],[Canal]],tblCanales[#All],7,FALSE),tblPesosValorOperativo[Valor],tblPesosValorOperativo[Velocidad],0),0)</f>
        <v>3</v>
      </c>
      <c r="O120" s="14">
        <f>IFERROR(_xlfn.XLOOKUP(VLOOKUP(tblEnlaces[[#This Row],[Canal]],tblCanales[#All],8,FALSE),tblPesosValorOperativo[Valor],tblPesosValorOperativo[Escalabilidad],0),0)</f>
        <v>0</v>
      </c>
      <c r="P120" s="53">
        <f>tblEnlaces[[#This Row],[Opacidad]]+tblEnlaces[[#This Row],[Escalabilidad]]+tblEnlaces[[#This Row],[Velocidad]]+tblEnlaces[[#This Row],[Trazabilidad]]</f>
        <v>7</v>
      </c>
    </row>
    <row r="121" spans="2:16" ht="16.5" customHeight="1" x14ac:dyDescent="0.25">
      <c r="B121" s="66" t="str">
        <f t="array" ref="B12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E035</v>
      </c>
      <c r="C121" s="10" t="s">
        <v>51</v>
      </c>
      <c r="D121" s="10" t="str">
        <f>VLOOKUP(tblEnlaces[[#This Row],[Nodo Inicial]],tblNodos[],2,FALSE)</f>
        <v>Colectores instrumentales / de ocultación</v>
      </c>
      <c r="E121" s="39" t="s">
        <v>71</v>
      </c>
      <c r="F121" s="10" t="str">
        <f>VLOOKUP(tblEnlaces[[#This Row],[Nodo Final]],tblNodos[],2,FALSE)</f>
        <v>Intermediarios financeros especializados</v>
      </c>
      <c r="G121" s="39" t="s">
        <v>414</v>
      </c>
      <c r="H121" s="39">
        <v>1</v>
      </c>
      <c r="I121" s="53">
        <f>IFERROR(_xlfn.XLOOKUP(VLOOKUP(tblEnlaces[[#This Row],[Canal]],tblCanales[#All],2,FALSE),tblPesosValorOperativo[Valor],tblPesosValorOperativo[Frecuencia de Uso],0),0)</f>
        <v>2</v>
      </c>
      <c r="J121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121" s="62">
        <f>IFERROR(_xlfn.XLOOKUP(VLOOKUP(tblEnlaces[[#This Row],[Canal]],tblCanales[#All],3,FALSE),tblPesosCoste[Valor],tblPesosCoste[Peso],0),0)</f>
        <v>3</v>
      </c>
      <c r="L121" s="10">
        <f>IFERROR(_xlfn.XLOOKUP(VLOOKUP(tblEnlaces[[#This Row],[Canal]],tblCanales[#All],5,FALSE),tblPesosValorOperativo[Valor],tblPesosValorOperativo[Opacidad],0),0)</f>
        <v>3</v>
      </c>
      <c r="M121" s="14">
        <f>IFERROR(_xlfn.XLOOKUP(VLOOKUP(tblEnlaces[[#This Row],[Canal]],tblCanales[#All],6,FALSE),tblPesosValorOperativo[Valor],tblPesosValorOperativo[Trazabilidad],0),0)</f>
        <v>1</v>
      </c>
      <c r="N121" s="14">
        <f>IFERROR(_xlfn.XLOOKUP(VLOOKUP(tblEnlaces[[#This Row],[Canal]],tblCanales[#All],7,FALSE),tblPesosValorOperativo[Valor],tblPesosValorOperativo[Velocidad],0),0)</f>
        <v>3</v>
      </c>
      <c r="O121" s="14">
        <f>IFERROR(_xlfn.XLOOKUP(VLOOKUP(tblEnlaces[[#This Row],[Canal]],tblCanales[#All],8,FALSE),tblPesosValorOperativo[Valor],tblPesosValorOperativo[Escalabilidad],0),0)</f>
        <v>0</v>
      </c>
      <c r="P121" s="53">
        <f>tblEnlaces[[#This Row],[Opacidad]]+tblEnlaces[[#This Row],[Escalabilidad]]+tblEnlaces[[#This Row],[Velocidad]]+tblEnlaces[[#This Row],[Trazabilidad]]</f>
        <v>7</v>
      </c>
    </row>
    <row r="122" spans="2:16" ht="16.5" customHeight="1" x14ac:dyDescent="0.25">
      <c r="B122" s="66" t="str">
        <f t="array" ref="B12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E035</v>
      </c>
      <c r="C122" s="10" t="s">
        <v>51</v>
      </c>
      <c r="D122" s="10" t="str">
        <f>VLOOKUP(tblEnlaces[[#This Row],[Nodo Inicial]],tblNodos[],2,FALSE)</f>
        <v>Colectores instrumentales / de ocultación</v>
      </c>
      <c r="E122" s="39" t="s">
        <v>71</v>
      </c>
      <c r="F122" s="10" t="str">
        <f>VLOOKUP(tblEnlaces[[#This Row],[Nodo Final]],tblNodos[],2,FALSE)</f>
        <v>Intermediarios financeros especializados</v>
      </c>
      <c r="G122" s="39" t="s">
        <v>420</v>
      </c>
      <c r="H122" s="39">
        <v>1</v>
      </c>
      <c r="I122" s="53">
        <f>IFERROR(_xlfn.XLOOKUP(VLOOKUP(tblEnlaces[[#This Row],[Canal]],tblCanales[#All],2,FALSE),tblPesosValorOperativo[Valor],tblPesosValorOperativo[Frecuencia de Uso],0),0)</f>
        <v>2</v>
      </c>
      <c r="J122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122" s="62">
        <f>IFERROR(_xlfn.XLOOKUP(VLOOKUP(tblEnlaces[[#This Row],[Canal]],tblCanales[#All],3,FALSE),tblPesosCoste[Valor],tblPesosCoste[Peso],0),0)</f>
        <v>2</v>
      </c>
      <c r="L122" s="10">
        <f>IFERROR(_xlfn.XLOOKUP(VLOOKUP(tblEnlaces[[#This Row],[Canal]],tblCanales[#All],5,FALSE),tblPesosValorOperativo[Valor],tblPesosValorOperativo[Opacidad],0),0)</f>
        <v>3</v>
      </c>
      <c r="M122" s="14">
        <f>IFERROR(_xlfn.XLOOKUP(VLOOKUP(tblEnlaces[[#This Row],[Canal]],tblCanales[#All],6,FALSE),tblPesosValorOperativo[Valor],tblPesosValorOperativo[Trazabilidad],0),0)</f>
        <v>1</v>
      </c>
      <c r="N122" s="14">
        <f>IFERROR(_xlfn.XLOOKUP(VLOOKUP(tblEnlaces[[#This Row],[Canal]],tblCanales[#All],7,FALSE),tblPesosValorOperativo[Valor],tblPesosValorOperativo[Velocidad],0),0)</f>
        <v>2</v>
      </c>
      <c r="O122" s="14">
        <f>IFERROR(_xlfn.XLOOKUP(VLOOKUP(tblEnlaces[[#This Row],[Canal]],tblCanales[#All],8,FALSE),tblPesosValorOperativo[Valor],tblPesosValorOperativo[Escalabilidad],0),0)</f>
        <v>0</v>
      </c>
      <c r="P122" s="53">
        <f>tblEnlaces[[#This Row],[Opacidad]]+tblEnlaces[[#This Row],[Escalabilidad]]+tblEnlaces[[#This Row],[Velocidad]]+tblEnlaces[[#This Row],[Trazabilidad]]</f>
        <v>6</v>
      </c>
    </row>
    <row r="123" spans="2:16" ht="16.5" customHeight="1" x14ac:dyDescent="0.25">
      <c r="B123" s="66" t="str">
        <f t="array" ref="B12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E036</v>
      </c>
      <c r="C123" s="10" t="s">
        <v>53</v>
      </c>
      <c r="D123" s="10" t="str">
        <f>VLOOKUP(tblEnlaces[[#This Row],[Nodo Inicial]],tblNodos[],2,FALSE)</f>
        <v>Intermediarios físicos de transporte de valor</v>
      </c>
      <c r="E123" s="39" t="s">
        <v>79</v>
      </c>
      <c r="F123" s="10" t="str">
        <f>VLOOKUP(tblEnlaces[[#This Row],[Nodo Final]],tblNodos[],2,FALSE)</f>
        <v>Gestión operativa descentralizada</v>
      </c>
      <c r="G123" s="39" t="s">
        <v>438</v>
      </c>
      <c r="H123" s="39">
        <v>1</v>
      </c>
      <c r="I123" s="53">
        <f>IFERROR(_xlfn.XLOOKUP(VLOOKUP(tblEnlaces[[#This Row],[Canal]],tblCanales[#All],2,FALSE),tblPesosValorOperativo[Valor],tblPesosValorOperativo[Frecuencia de Uso],0),0)</f>
        <v>4</v>
      </c>
      <c r="J123" s="63">
        <f>IF(tblEnlaces[[#This Row],[Activo]]&lt;&gt;1,0,IFERROR(tblEnlaces[[#This Row],[Frecuencia de Uso]]/SUMIFS(tblEnlaces[Frecuencia de Uso],tblEnlaces[Enlace],tblEnlaces[[#This Row],[Enlace]],tblEnlaces[Activo],1),0))</f>
        <v>0.4</v>
      </c>
      <c r="K123" s="62">
        <f>IFERROR(_xlfn.XLOOKUP(VLOOKUP(tblEnlaces[[#This Row],[Canal]],tblCanales[#All],3,FALSE),tblPesosCoste[Valor],tblPesosCoste[Peso],0),0)</f>
        <v>3</v>
      </c>
      <c r="L123" s="10">
        <f>IFERROR(_xlfn.XLOOKUP(VLOOKUP(tblEnlaces[[#This Row],[Canal]],tblCanales[#All],5,FALSE),tblPesosValorOperativo[Valor],tblPesosValorOperativo[Opacidad],0),0)</f>
        <v>2</v>
      </c>
      <c r="M123" s="14">
        <f>IFERROR(_xlfn.XLOOKUP(VLOOKUP(tblEnlaces[[#This Row],[Canal]],tblCanales[#All],6,FALSE),tblPesosValorOperativo[Valor],tblPesosValorOperativo[Trazabilidad],0),0)</f>
        <v>3</v>
      </c>
      <c r="N123" s="14">
        <f>IFERROR(_xlfn.XLOOKUP(VLOOKUP(tblEnlaces[[#This Row],[Canal]],tblCanales[#All],7,FALSE),tblPesosValorOperativo[Valor],tblPesosValorOperativo[Velocidad],0),0)</f>
        <v>3</v>
      </c>
      <c r="O123" s="14">
        <f>IFERROR(_xlfn.XLOOKUP(VLOOKUP(tblEnlaces[[#This Row],[Canal]],tblCanales[#All],8,FALSE),tblPesosValorOperativo[Valor],tblPesosValorOperativo[Escalabilidad],0),0)</f>
        <v>0</v>
      </c>
      <c r="P123" s="53">
        <f>tblEnlaces[[#This Row],[Opacidad]]+tblEnlaces[[#This Row],[Escalabilidad]]+tblEnlaces[[#This Row],[Velocidad]]+tblEnlaces[[#This Row],[Trazabilidad]]</f>
        <v>8</v>
      </c>
    </row>
    <row r="124" spans="2:16" ht="16.5" customHeight="1" x14ac:dyDescent="0.25">
      <c r="B124" s="66" t="str">
        <f t="array" ref="B12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E036</v>
      </c>
      <c r="C124" s="10" t="s">
        <v>53</v>
      </c>
      <c r="D124" s="10" t="str">
        <f>VLOOKUP(tblEnlaces[[#This Row],[Nodo Inicial]],tblNodos[],2,FALSE)</f>
        <v>Intermediarios físicos de transporte de valor</v>
      </c>
      <c r="E124" s="39" t="s">
        <v>79</v>
      </c>
      <c r="F124" s="10" t="str">
        <f>VLOOKUP(tblEnlaces[[#This Row],[Nodo Final]],tblNodos[],2,FALSE)</f>
        <v>Gestión operativa descentralizada</v>
      </c>
      <c r="G124" s="39" t="s">
        <v>432</v>
      </c>
      <c r="H124" s="39">
        <v>1</v>
      </c>
      <c r="I124" s="53">
        <f>IFERROR(_xlfn.XLOOKUP(VLOOKUP(tblEnlaces[[#This Row],[Canal]],tblCanales[#All],2,FALSE),tblPesosValorOperativo[Valor],tblPesosValorOperativo[Frecuencia de Uso],0),0)</f>
        <v>4</v>
      </c>
      <c r="J124" s="63">
        <f>IF(tblEnlaces[[#This Row],[Activo]]&lt;&gt;1,0,IFERROR(tblEnlaces[[#This Row],[Frecuencia de Uso]]/SUMIFS(tblEnlaces[Frecuencia de Uso],tblEnlaces[Enlace],tblEnlaces[[#This Row],[Enlace]],tblEnlaces[Activo],1),0))</f>
        <v>0.4</v>
      </c>
      <c r="K124" s="62">
        <f>IFERROR(_xlfn.XLOOKUP(VLOOKUP(tblEnlaces[[#This Row],[Canal]],tblCanales[#All],3,FALSE),tblPesosCoste[Valor],tblPesosCoste[Peso],0),0)</f>
        <v>3</v>
      </c>
      <c r="L124" s="10">
        <f>IFERROR(_xlfn.XLOOKUP(VLOOKUP(tblEnlaces[[#This Row],[Canal]],tblCanales[#All],5,FALSE),tblPesosValorOperativo[Valor],tblPesosValorOperativo[Opacidad],0),0)</f>
        <v>2</v>
      </c>
      <c r="M124" s="14">
        <f>IFERROR(_xlfn.XLOOKUP(VLOOKUP(tblEnlaces[[#This Row],[Canal]],tblCanales[#All],6,FALSE),tblPesosValorOperativo[Valor],tblPesosValorOperativo[Trazabilidad],0),0)</f>
        <v>3</v>
      </c>
      <c r="N124" s="14">
        <f>IFERROR(_xlfn.XLOOKUP(VLOOKUP(tblEnlaces[[#This Row],[Canal]],tblCanales[#All],7,FALSE),tblPesosValorOperativo[Valor],tblPesosValorOperativo[Velocidad],0),0)</f>
        <v>4</v>
      </c>
      <c r="O124" s="14">
        <f>IFERROR(_xlfn.XLOOKUP(VLOOKUP(tblEnlaces[[#This Row],[Canal]],tblCanales[#All],8,FALSE),tblPesosValorOperativo[Valor],tblPesosValorOperativo[Escalabilidad],0),0)</f>
        <v>0</v>
      </c>
      <c r="P124" s="53">
        <f>tblEnlaces[[#This Row],[Opacidad]]+tblEnlaces[[#This Row],[Escalabilidad]]+tblEnlaces[[#This Row],[Velocidad]]+tblEnlaces[[#This Row],[Trazabilidad]]</f>
        <v>9</v>
      </c>
    </row>
    <row r="125" spans="2:16" ht="16.5" customHeight="1" x14ac:dyDescent="0.25">
      <c r="B125" s="66" t="str">
        <f t="array" ref="B12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E036</v>
      </c>
      <c r="C125" s="10" t="s">
        <v>53</v>
      </c>
      <c r="D125" s="10" t="str">
        <f>VLOOKUP(tblEnlaces[[#This Row],[Nodo Inicial]],tblNodos[],2,FALSE)</f>
        <v>Intermediarios físicos de transporte de valor</v>
      </c>
      <c r="E125" s="39" t="s">
        <v>79</v>
      </c>
      <c r="F125" s="10" t="str">
        <f>VLOOKUP(tblEnlaces[[#This Row],[Nodo Final]],tblNodos[],2,FALSE)</f>
        <v>Gestión operativa descentralizada</v>
      </c>
      <c r="G125" s="39" t="s">
        <v>426</v>
      </c>
      <c r="H125" s="39">
        <v>1</v>
      </c>
      <c r="I125" s="53">
        <f>IFERROR(_xlfn.XLOOKUP(VLOOKUP(tblEnlaces[[#This Row],[Canal]],tblCanales[#All],2,FALSE),tblPesosValorOperativo[Valor],tblPesosValorOperativo[Frecuencia de Uso],0),0)</f>
        <v>2</v>
      </c>
      <c r="J125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125" s="62">
        <f>IFERROR(_xlfn.XLOOKUP(VLOOKUP(tblEnlaces[[#This Row],[Canal]],tblCanales[#All],3,FALSE),tblPesosCoste[Valor],tblPesosCoste[Peso],0),0)</f>
        <v>2</v>
      </c>
      <c r="L125" s="10">
        <f>IFERROR(_xlfn.XLOOKUP(VLOOKUP(tblEnlaces[[#This Row],[Canal]],tblCanales[#All],5,FALSE),tblPesosValorOperativo[Valor],tblPesosValorOperativo[Opacidad],0),0)</f>
        <v>2</v>
      </c>
      <c r="M125" s="14">
        <f>IFERROR(_xlfn.XLOOKUP(VLOOKUP(tblEnlaces[[#This Row],[Canal]],tblCanales[#All],6,FALSE),tblPesosValorOperativo[Valor],tblPesosValorOperativo[Trazabilidad],0),0)</f>
        <v>3</v>
      </c>
      <c r="N125" s="14">
        <f>IFERROR(_xlfn.XLOOKUP(VLOOKUP(tblEnlaces[[#This Row],[Canal]],tblCanales[#All],7,FALSE),tblPesosValorOperativo[Valor],tblPesosValorOperativo[Velocidad],0),0)</f>
        <v>3</v>
      </c>
      <c r="O125" s="14">
        <f>IFERROR(_xlfn.XLOOKUP(VLOOKUP(tblEnlaces[[#This Row],[Canal]],tblCanales[#All],8,FALSE),tblPesosValorOperativo[Valor],tblPesosValorOperativo[Escalabilidad],0),0)</f>
        <v>0</v>
      </c>
      <c r="P125" s="53">
        <f>tblEnlaces[[#This Row],[Opacidad]]+tblEnlaces[[#This Row],[Escalabilidad]]+tblEnlaces[[#This Row],[Velocidad]]+tblEnlaces[[#This Row],[Trazabilidad]]</f>
        <v>8</v>
      </c>
    </row>
    <row r="126" spans="2:16" ht="16.5" customHeight="1" x14ac:dyDescent="0.25">
      <c r="B126" s="66" t="str">
        <f t="array" ref="B12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E037</v>
      </c>
      <c r="C126" s="10" t="s">
        <v>53</v>
      </c>
      <c r="D126" s="10" t="str">
        <f>VLOOKUP(tblEnlaces[[#This Row],[Nodo Inicial]],tblNodos[],2,FALSE)</f>
        <v>Intermediarios físicos de transporte de valor</v>
      </c>
      <c r="E126" s="39" t="s">
        <v>77</v>
      </c>
      <c r="F126" s="10" t="str">
        <f>VLOOKUP(tblEnlaces[[#This Row],[Nodo Final]],tblNodos[],2,FALSE)</f>
        <v>Dirección financiera</v>
      </c>
      <c r="G126" s="39" t="s">
        <v>156</v>
      </c>
      <c r="H126" s="39">
        <v>1</v>
      </c>
      <c r="I126" s="53">
        <f>IFERROR(_xlfn.XLOOKUP(VLOOKUP(tblEnlaces[[#This Row],[Canal]],tblCanales[#All],2,FALSE),tblPesosValorOperativo[Valor],tblPesosValorOperativo[Frecuencia de Uso],0),0)</f>
        <v>5</v>
      </c>
      <c r="J126" s="63">
        <f>IF(tblEnlaces[[#This Row],[Activo]]&lt;&gt;1,0,IFERROR(tblEnlaces[[#This Row],[Frecuencia de Uso]]/SUMIFS(tblEnlaces[Frecuencia de Uso],tblEnlaces[Enlace],tblEnlaces[[#This Row],[Enlace]],tblEnlaces[Activo],1),0))</f>
        <v>0.15625</v>
      </c>
      <c r="K126" s="62">
        <f>IFERROR(_xlfn.XLOOKUP(VLOOKUP(tblEnlaces[[#This Row],[Canal]],tblCanales[#All],3,FALSE),tblPesosCoste[Valor],tblPesosCoste[Peso],0),0)</f>
        <v>5</v>
      </c>
      <c r="L126" s="10">
        <f>IFERROR(_xlfn.XLOOKUP(VLOOKUP(tblEnlaces[[#This Row],[Canal]],tblCanales[#All],5,FALSE),tblPesosValorOperativo[Valor],tblPesosValorOperativo[Opacidad],0),0)</f>
        <v>1</v>
      </c>
      <c r="M126" s="14">
        <f>IFERROR(_xlfn.XLOOKUP(VLOOKUP(tblEnlaces[[#This Row],[Canal]],tblCanales[#All],6,FALSE),tblPesosValorOperativo[Valor],tblPesosValorOperativo[Trazabilidad],0),0)</f>
        <v>1</v>
      </c>
      <c r="N126" s="14">
        <f>IFERROR(_xlfn.XLOOKUP(VLOOKUP(tblEnlaces[[#This Row],[Canal]],tblCanales[#All],7,FALSE),tblPesosValorOperativo[Valor],tblPesosValorOperativo[Velocidad],0),0)</f>
        <v>5</v>
      </c>
      <c r="O126" s="14">
        <f>IFERROR(_xlfn.XLOOKUP(VLOOKUP(tblEnlaces[[#This Row],[Canal]],tblCanales[#All],8,FALSE),tblPesosValorOperativo[Valor],tblPesosValorOperativo[Escalabilidad],0),0)</f>
        <v>0</v>
      </c>
      <c r="P126" s="53">
        <f>tblEnlaces[[#This Row],[Opacidad]]+tblEnlaces[[#This Row],[Escalabilidad]]+tblEnlaces[[#This Row],[Velocidad]]+tblEnlaces[[#This Row],[Trazabilidad]]</f>
        <v>7</v>
      </c>
    </row>
    <row r="127" spans="2:16" ht="16.5" customHeight="1" x14ac:dyDescent="0.25">
      <c r="B127" s="66" t="str">
        <f t="array" ref="B12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E037</v>
      </c>
      <c r="C127" s="10" t="s">
        <v>53</v>
      </c>
      <c r="D127" s="10" t="str">
        <f>VLOOKUP(tblEnlaces[[#This Row],[Nodo Inicial]],tblNodos[],2,FALSE)</f>
        <v>Intermediarios físicos de transporte de valor</v>
      </c>
      <c r="E127" s="39" t="s">
        <v>77</v>
      </c>
      <c r="F127" s="10" t="str">
        <f>VLOOKUP(tblEnlaces[[#This Row],[Nodo Final]],tblNodos[],2,FALSE)</f>
        <v>Dirección financiera</v>
      </c>
      <c r="G127" s="39" t="s">
        <v>348</v>
      </c>
      <c r="H127" s="39">
        <v>1</v>
      </c>
      <c r="I127" s="53">
        <f>IFERROR(_xlfn.XLOOKUP(VLOOKUP(tblEnlaces[[#This Row],[Canal]],tblCanales[#All],2,FALSE),tblPesosValorOperativo[Valor],tblPesosValorOperativo[Frecuencia de Uso],0),0)</f>
        <v>2</v>
      </c>
      <c r="J127" s="63">
        <f>IF(tblEnlaces[[#This Row],[Activo]]&lt;&gt;1,0,IFERROR(tblEnlaces[[#This Row],[Frecuencia de Uso]]/SUMIFS(tblEnlaces[Frecuencia de Uso],tblEnlaces[Enlace],tblEnlaces[[#This Row],[Enlace]],tblEnlaces[Activo],1),0))</f>
        <v>6.25E-2</v>
      </c>
      <c r="K127" s="62">
        <f>IFERROR(_xlfn.XLOOKUP(VLOOKUP(tblEnlaces[[#This Row],[Canal]],tblCanales[#All],3,FALSE),tblPesosCoste[Valor],tblPesosCoste[Peso],0),0)</f>
        <v>3</v>
      </c>
      <c r="L127" s="10">
        <f>IFERROR(_xlfn.XLOOKUP(VLOOKUP(tblEnlaces[[#This Row],[Canal]],tblCanales[#All],5,FALSE),tblPesosValorOperativo[Valor],tblPesosValorOperativo[Opacidad],0),0)</f>
        <v>3</v>
      </c>
      <c r="M127" s="14">
        <f>IFERROR(_xlfn.XLOOKUP(VLOOKUP(tblEnlaces[[#This Row],[Canal]],tblCanales[#All],6,FALSE),tblPesosValorOperativo[Valor],tblPesosValorOperativo[Trazabilidad],0),0)</f>
        <v>3</v>
      </c>
      <c r="N127" s="14">
        <f>IFERROR(_xlfn.XLOOKUP(VLOOKUP(tblEnlaces[[#This Row],[Canal]],tblCanales[#All],7,FALSE),tblPesosValorOperativo[Valor],tblPesosValorOperativo[Velocidad],0),0)</f>
        <v>5</v>
      </c>
      <c r="O127" s="14">
        <f>IFERROR(_xlfn.XLOOKUP(VLOOKUP(tblEnlaces[[#This Row],[Canal]],tblCanales[#All],8,FALSE),tblPesosValorOperativo[Valor],tblPesosValorOperativo[Escalabilidad],0),0)</f>
        <v>0</v>
      </c>
      <c r="P127" s="53">
        <f>tblEnlaces[[#This Row],[Opacidad]]+tblEnlaces[[#This Row],[Escalabilidad]]+tblEnlaces[[#This Row],[Velocidad]]+tblEnlaces[[#This Row],[Trazabilidad]]</f>
        <v>11</v>
      </c>
    </row>
    <row r="128" spans="2:16" ht="16.5" customHeight="1" x14ac:dyDescent="0.25">
      <c r="B128" s="66" t="str">
        <f t="array" ref="B12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E037</v>
      </c>
      <c r="C128" s="10" t="s">
        <v>53</v>
      </c>
      <c r="D128" s="10" t="str">
        <f>VLOOKUP(tblEnlaces[[#This Row],[Nodo Inicial]],tblNodos[],2,FALSE)</f>
        <v>Intermediarios físicos de transporte de valor</v>
      </c>
      <c r="E128" s="39" t="s">
        <v>77</v>
      </c>
      <c r="F128" s="10" t="str">
        <f>VLOOKUP(tblEnlaces[[#This Row],[Nodo Final]],tblNodos[],2,FALSE)</f>
        <v>Dirección financiera</v>
      </c>
      <c r="G128" s="39" t="s">
        <v>366</v>
      </c>
      <c r="H128" s="39">
        <v>1</v>
      </c>
      <c r="I128" s="53">
        <f>IFERROR(_xlfn.XLOOKUP(VLOOKUP(tblEnlaces[[#This Row],[Canal]],tblCanales[#All],2,FALSE),tblPesosValorOperativo[Valor],tblPesosValorOperativo[Frecuencia de Uso],0),0)</f>
        <v>3</v>
      </c>
      <c r="J128" s="63">
        <f>IF(tblEnlaces[[#This Row],[Activo]]&lt;&gt;1,0,IFERROR(tblEnlaces[[#This Row],[Frecuencia de Uso]]/SUMIFS(tblEnlaces[Frecuencia de Uso],tblEnlaces[Enlace],tblEnlaces[[#This Row],[Enlace]],tblEnlaces[Activo],1),0))</f>
        <v>9.375E-2</v>
      </c>
      <c r="K128" s="62">
        <f>IFERROR(_xlfn.XLOOKUP(VLOOKUP(tblEnlaces[[#This Row],[Canal]],tblCanales[#All],3,FALSE),tblPesosCoste[Valor],tblPesosCoste[Peso],0),0)</f>
        <v>2</v>
      </c>
      <c r="L128" s="10">
        <f>IFERROR(_xlfn.XLOOKUP(VLOOKUP(tblEnlaces[[#This Row],[Canal]],tblCanales[#All],5,FALSE),tblPesosValorOperativo[Valor],tblPesosValorOperativo[Opacidad],0),0)</f>
        <v>3</v>
      </c>
      <c r="M128" s="14">
        <f>IFERROR(_xlfn.XLOOKUP(VLOOKUP(tblEnlaces[[#This Row],[Canal]],tblCanales[#All],6,FALSE),tblPesosValorOperativo[Valor],tblPesosValorOperativo[Trazabilidad],0),0)</f>
        <v>4</v>
      </c>
      <c r="N128" s="14">
        <f>IFERROR(_xlfn.XLOOKUP(VLOOKUP(tblEnlaces[[#This Row],[Canal]],tblCanales[#All],7,FALSE),tblPesosValorOperativo[Valor],tblPesosValorOperativo[Velocidad],0),0)</f>
        <v>5</v>
      </c>
      <c r="O128" s="14">
        <f>IFERROR(_xlfn.XLOOKUP(VLOOKUP(tblEnlaces[[#This Row],[Canal]],tblCanales[#All],8,FALSE),tblPesosValorOperativo[Valor],tblPesosValorOperativo[Escalabilidad],0),0)</f>
        <v>0</v>
      </c>
      <c r="P128" s="53">
        <f>tblEnlaces[[#This Row],[Opacidad]]+tblEnlaces[[#This Row],[Escalabilidad]]+tblEnlaces[[#This Row],[Velocidad]]+tblEnlaces[[#This Row],[Trazabilidad]]</f>
        <v>12</v>
      </c>
    </row>
    <row r="129" spans="2:16" ht="16.5" customHeight="1" x14ac:dyDescent="0.25">
      <c r="B129" s="66" t="str">
        <f t="array" ref="B12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E037</v>
      </c>
      <c r="C129" s="10" t="s">
        <v>53</v>
      </c>
      <c r="D129" s="10" t="str">
        <f>VLOOKUP(tblEnlaces[[#This Row],[Nodo Inicial]],tblNodos[],2,FALSE)</f>
        <v>Intermediarios físicos de transporte de valor</v>
      </c>
      <c r="E129" s="39" t="s">
        <v>77</v>
      </c>
      <c r="F129" s="10" t="str">
        <f>VLOOKUP(tblEnlaces[[#This Row],[Nodo Final]],tblNodos[],2,FALSE)</f>
        <v>Dirección financiera</v>
      </c>
      <c r="G129" s="39" t="s">
        <v>360</v>
      </c>
      <c r="H129" s="39">
        <v>1</v>
      </c>
      <c r="I129" s="53">
        <f>IFERROR(_xlfn.XLOOKUP(VLOOKUP(tblEnlaces[[#This Row],[Canal]],tblCanales[#All],2,FALSE),tblPesosValorOperativo[Valor],tblPesosValorOperativo[Frecuencia de Uso],0),0)</f>
        <v>3</v>
      </c>
      <c r="J129" s="63">
        <f>IF(tblEnlaces[[#This Row],[Activo]]&lt;&gt;1,0,IFERROR(tblEnlaces[[#This Row],[Frecuencia de Uso]]/SUMIFS(tblEnlaces[Frecuencia de Uso],tblEnlaces[Enlace],tblEnlaces[[#This Row],[Enlace]],tblEnlaces[Activo],1),0))</f>
        <v>9.375E-2</v>
      </c>
      <c r="K129" s="62">
        <f>IFERROR(_xlfn.XLOOKUP(VLOOKUP(tblEnlaces[[#This Row],[Canal]],tblCanales[#All],3,FALSE),tblPesosCoste[Valor],tblPesosCoste[Peso],0),0)</f>
        <v>3</v>
      </c>
      <c r="L129" s="10">
        <f>IFERROR(_xlfn.XLOOKUP(VLOOKUP(tblEnlaces[[#This Row],[Canal]],tblCanales[#All],5,FALSE),tblPesosValorOperativo[Valor],tblPesosValorOperativo[Opacidad],0),0)</f>
        <v>3</v>
      </c>
      <c r="M129" s="14">
        <f>IFERROR(_xlfn.XLOOKUP(VLOOKUP(tblEnlaces[[#This Row],[Canal]],tblCanales[#All],6,FALSE),tblPesosValorOperativo[Valor],tblPesosValorOperativo[Trazabilidad],0),0)</f>
        <v>3</v>
      </c>
      <c r="N129" s="14">
        <f>IFERROR(_xlfn.XLOOKUP(VLOOKUP(tblEnlaces[[#This Row],[Canal]],tblCanales[#All],7,FALSE),tblPesosValorOperativo[Valor],tblPesosValorOperativo[Velocidad],0),0)</f>
        <v>5</v>
      </c>
      <c r="O129" s="14">
        <f>IFERROR(_xlfn.XLOOKUP(VLOOKUP(tblEnlaces[[#This Row],[Canal]],tblCanales[#All],8,FALSE),tblPesosValorOperativo[Valor],tblPesosValorOperativo[Escalabilidad],0),0)</f>
        <v>0</v>
      </c>
      <c r="P129" s="53">
        <f>tblEnlaces[[#This Row],[Opacidad]]+tblEnlaces[[#This Row],[Escalabilidad]]+tblEnlaces[[#This Row],[Velocidad]]+tblEnlaces[[#This Row],[Trazabilidad]]</f>
        <v>11</v>
      </c>
    </row>
    <row r="130" spans="2:16" ht="16.5" customHeight="1" x14ac:dyDescent="0.25">
      <c r="B130" s="66" t="str">
        <f t="array" ref="B13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E037</v>
      </c>
      <c r="C130" s="10" t="s">
        <v>53</v>
      </c>
      <c r="D130" s="10" t="str">
        <f>VLOOKUP(tblEnlaces[[#This Row],[Nodo Inicial]],tblNodos[],2,FALSE)</f>
        <v>Intermediarios físicos de transporte de valor</v>
      </c>
      <c r="E130" s="39" t="s">
        <v>77</v>
      </c>
      <c r="F130" s="10" t="str">
        <f>VLOOKUP(tblEnlaces[[#This Row],[Nodo Final]],tblNodos[],2,FALSE)</f>
        <v>Dirección financiera</v>
      </c>
      <c r="G130" s="39" t="s">
        <v>372</v>
      </c>
      <c r="H130" s="39">
        <v>1</v>
      </c>
      <c r="I130" s="53">
        <f>IFERROR(_xlfn.XLOOKUP(VLOOKUP(tblEnlaces[[#This Row],[Canal]],tblCanales[#All],2,FALSE),tblPesosValorOperativo[Valor],tblPesosValorOperativo[Frecuencia de Uso],0),0)</f>
        <v>4</v>
      </c>
      <c r="J130" s="63">
        <f>IF(tblEnlaces[[#This Row],[Activo]]&lt;&gt;1,0,IFERROR(tblEnlaces[[#This Row],[Frecuencia de Uso]]/SUMIFS(tblEnlaces[Frecuencia de Uso],tblEnlaces[Enlace],tblEnlaces[[#This Row],[Enlace]],tblEnlaces[Activo],1),0))</f>
        <v>0.125</v>
      </c>
      <c r="K130" s="62">
        <f>IFERROR(_xlfn.XLOOKUP(VLOOKUP(tblEnlaces[[#This Row],[Canal]],tblCanales[#All],3,FALSE),tblPesosCoste[Valor],tblPesosCoste[Peso],0),0)</f>
        <v>5</v>
      </c>
      <c r="L130" s="10">
        <f>IFERROR(_xlfn.XLOOKUP(VLOOKUP(tblEnlaces[[#This Row],[Canal]],tblCanales[#All],5,FALSE),tblPesosValorOperativo[Valor],tblPesosValorOperativo[Opacidad],0),0)</f>
        <v>2</v>
      </c>
      <c r="M130" s="14">
        <f>IFERROR(_xlfn.XLOOKUP(VLOOKUP(tblEnlaces[[#This Row],[Canal]],tblCanales[#All],6,FALSE),tblPesosValorOperativo[Valor],tblPesosValorOperativo[Trazabilidad],0),0)</f>
        <v>3</v>
      </c>
      <c r="N130" s="14">
        <f>IFERROR(_xlfn.XLOOKUP(VLOOKUP(tblEnlaces[[#This Row],[Canal]],tblCanales[#All],7,FALSE),tblPesosValorOperativo[Valor],tblPesosValorOperativo[Velocidad],0),0)</f>
        <v>5</v>
      </c>
      <c r="O130" s="14">
        <f>IFERROR(_xlfn.XLOOKUP(VLOOKUP(tblEnlaces[[#This Row],[Canal]],tblCanales[#All],8,FALSE),tblPesosValorOperativo[Valor],tblPesosValorOperativo[Escalabilidad],0),0)</f>
        <v>0</v>
      </c>
      <c r="P130" s="53">
        <f>tblEnlaces[[#This Row],[Opacidad]]+tblEnlaces[[#This Row],[Escalabilidad]]+tblEnlaces[[#This Row],[Velocidad]]+tblEnlaces[[#This Row],[Trazabilidad]]</f>
        <v>10</v>
      </c>
    </row>
    <row r="131" spans="2:16" ht="16.5" customHeight="1" x14ac:dyDescent="0.25">
      <c r="B131" s="66" t="str">
        <f t="array" ref="B13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E037</v>
      </c>
      <c r="C131" s="10" t="s">
        <v>53</v>
      </c>
      <c r="D131" s="10" t="str">
        <f>VLOOKUP(tblEnlaces[[#This Row],[Nodo Inicial]],tblNodos[],2,FALSE)</f>
        <v>Intermediarios físicos de transporte de valor</v>
      </c>
      <c r="E131" s="39" t="s">
        <v>77</v>
      </c>
      <c r="F131" s="10" t="str">
        <f>VLOOKUP(tblEnlaces[[#This Row],[Nodo Final]],tblNodos[],2,FALSE)</f>
        <v>Dirección financiera</v>
      </c>
      <c r="G131" s="39" t="s">
        <v>432</v>
      </c>
      <c r="H131" s="39">
        <v>1</v>
      </c>
      <c r="I131" s="53">
        <f>IFERROR(_xlfn.XLOOKUP(VLOOKUP(tblEnlaces[[#This Row],[Canal]],tblCanales[#All],2,FALSE),tblPesosValorOperativo[Valor],tblPesosValorOperativo[Frecuencia de Uso],0),0)</f>
        <v>4</v>
      </c>
      <c r="J131" s="63">
        <f>IF(tblEnlaces[[#This Row],[Activo]]&lt;&gt;1,0,IFERROR(tblEnlaces[[#This Row],[Frecuencia de Uso]]/SUMIFS(tblEnlaces[Frecuencia de Uso],tblEnlaces[Enlace],tblEnlaces[[#This Row],[Enlace]],tblEnlaces[Activo],1),0))</f>
        <v>0.125</v>
      </c>
      <c r="K131" s="62">
        <f>IFERROR(_xlfn.XLOOKUP(VLOOKUP(tblEnlaces[[#This Row],[Canal]],tblCanales[#All],3,FALSE),tblPesosCoste[Valor],tblPesosCoste[Peso],0),0)</f>
        <v>3</v>
      </c>
      <c r="L131" s="10">
        <f>IFERROR(_xlfn.XLOOKUP(VLOOKUP(tblEnlaces[[#This Row],[Canal]],tblCanales[#All],5,FALSE),tblPesosValorOperativo[Valor],tblPesosValorOperativo[Opacidad],0),0)</f>
        <v>2</v>
      </c>
      <c r="M131" s="14">
        <f>IFERROR(_xlfn.XLOOKUP(VLOOKUP(tblEnlaces[[#This Row],[Canal]],tblCanales[#All],6,FALSE),tblPesosValorOperativo[Valor],tblPesosValorOperativo[Trazabilidad],0),0)</f>
        <v>3</v>
      </c>
      <c r="N131" s="14">
        <f>IFERROR(_xlfn.XLOOKUP(VLOOKUP(tblEnlaces[[#This Row],[Canal]],tblCanales[#All],7,FALSE),tblPesosValorOperativo[Valor],tblPesosValorOperativo[Velocidad],0),0)</f>
        <v>4</v>
      </c>
      <c r="O131" s="14">
        <f>IFERROR(_xlfn.XLOOKUP(VLOOKUP(tblEnlaces[[#This Row],[Canal]],tblCanales[#All],8,FALSE),tblPesosValorOperativo[Valor],tblPesosValorOperativo[Escalabilidad],0),0)</f>
        <v>0</v>
      </c>
      <c r="P131" s="53">
        <f>tblEnlaces[[#This Row],[Opacidad]]+tblEnlaces[[#This Row],[Escalabilidad]]+tblEnlaces[[#This Row],[Velocidad]]+tblEnlaces[[#This Row],[Trazabilidad]]</f>
        <v>9</v>
      </c>
    </row>
    <row r="132" spans="2:16" ht="16.5" customHeight="1" x14ac:dyDescent="0.25">
      <c r="B132" s="66" t="str">
        <f t="array" ref="B13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E037</v>
      </c>
      <c r="C132" s="10" t="s">
        <v>53</v>
      </c>
      <c r="D132" s="10" t="str">
        <f>VLOOKUP(tblEnlaces[[#This Row],[Nodo Inicial]],tblNodos[],2,FALSE)</f>
        <v>Intermediarios físicos de transporte de valor</v>
      </c>
      <c r="E132" s="39" t="s">
        <v>77</v>
      </c>
      <c r="F132" s="10" t="str">
        <f>VLOOKUP(tblEnlaces[[#This Row],[Nodo Final]],tblNodos[],2,FALSE)</f>
        <v>Dirección financiera</v>
      </c>
      <c r="G132" s="39" t="s">
        <v>378</v>
      </c>
      <c r="H132" s="39">
        <v>1</v>
      </c>
      <c r="I132" s="53">
        <f>IFERROR(_xlfn.XLOOKUP(VLOOKUP(tblEnlaces[[#This Row],[Canal]],tblCanales[#All],2,FALSE),tblPesosValorOperativo[Valor],tblPesosValorOperativo[Frecuencia de Uso],0),0)</f>
        <v>4</v>
      </c>
      <c r="J132" s="63">
        <f>IF(tblEnlaces[[#This Row],[Activo]]&lt;&gt;1,0,IFERROR(tblEnlaces[[#This Row],[Frecuencia de Uso]]/SUMIFS(tblEnlaces[Frecuencia de Uso],tblEnlaces[Enlace],tblEnlaces[[#This Row],[Enlace]],tblEnlaces[Activo],1),0))</f>
        <v>0.125</v>
      </c>
      <c r="K132" s="62">
        <f>IFERROR(_xlfn.XLOOKUP(VLOOKUP(tblEnlaces[[#This Row],[Canal]],tblCanales[#All],3,FALSE),tblPesosCoste[Valor],tblPesosCoste[Peso],0),0)</f>
        <v>5</v>
      </c>
      <c r="L132" s="10">
        <f>IFERROR(_xlfn.XLOOKUP(VLOOKUP(tblEnlaces[[#This Row],[Canal]],tblCanales[#All],5,FALSE),tblPesosValorOperativo[Valor],tblPesosValorOperativo[Opacidad],0),0)</f>
        <v>3</v>
      </c>
      <c r="M132" s="14">
        <f>IFERROR(_xlfn.XLOOKUP(VLOOKUP(tblEnlaces[[#This Row],[Canal]],tblCanales[#All],6,FALSE),tblPesosValorOperativo[Valor],tblPesosValorOperativo[Trazabilidad],0),0)</f>
        <v>1</v>
      </c>
      <c r="N132" s="14">
        <f>IFERROR(_xlfn.XLOOKUP(VLOOKUP(tblEnlaces[[#This Row],[Canal]],tblCanales[#All],7,FALSE),tblPesosValorOperativo[Valor],tblPesosValorOperativo[Velocidad],0),0)</f>
        <v>5</v>
      </c>
      <c r="O132" s="14">
        <f>IFERROR(_xlfn.XLOOKUP(VLOOKUP(tblEnlaces[[#This Row],[Canal]],tblCanales[#All],8,FALSE),tblPesosValorOperativo[Valor],tblPesosValorOperativo[Escalabilidad],0),0)</f>
        <v>0</v>
      </c>
      <c r="P132" s="53">
        <f>tblEnlaces[[#This Row],[Opacidad]]+tblEnlaces[[#This Row],[Escalabilidad]]+tblEnlaces[[#This Row],[Velocidad]]+tblEnlaces[[#This Row],[Trazabilidad]]</f>
        <v>9</v>
      </c>
    </row>
    <row r="133" spans="2:16" ht="16.5" customHeight="1" x14ac:dyDescent="0.25">
      <c r="B133" s="66" t="str">
        <f t="array" ref="B13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E037</v>
      </c>
      <c r="C133" s="10" t="s">
        <v>53</v>
      </c>
      <c r="D133" s="10" t="str">
        <f>VLOOKUP(tblEnlaces[[#This Row],[Nodo Inicial]],tblNodos[],2,FALSE)</f>
        <v>Intermediarios físicos de transporte de valor</v>
      </c>
      <c r="E133" s="39" t="s">
        <v>77</v>
      </c>
      <c r="F133" s="10" t="str">
        <f>VLOOKUP(tblEnlaces[[#This Row],[Nodo Final]],tblNodos[],2,FALSE)</f>
        <v>Dirección financiera</v>
      </c>
      <c r="G133" s="39" t="s">
        <v>384</v>
      </c>
      <c r="H133" s="39">
        <v>1</v>
      </c>
      <c r="I133" s="53">
        <f>IFERROR(_xlfn.XLOOKUP(VLOOKUP(tblEnlaces[[#This Row],[Canal]],tblCanales[#All],2,FALSE),tblPesosValorOperativo[Valor],tblPesosValorOperativo[Frecuencia de Uso],0),0)</f>
        <v>4</v>
      </c>
      <c r="J133" s="63">
        <f>IF(tblEnlaces[[#This Row],[Activo]]&lt;&gt;1,0,IFERROR(tblEnlaces[[#This Row],[Frecuencia de Uso]]/SUMIFS(tblEnlaces[Frecuencia de Uso],tblEnlaces[Enlace],tblEnlaces[[#This Row],[Enlace]],tblEnlaces[Activo],1),0))</f>
        <v>0.125</v>
      </c>
      <c r="K133" s="62">
        <f>IFERROR(_xlfn.XLOOKUP(VLOOKUP(tblEnlaces[[#This Row],[Canal]],tblCanales[#All],3,FALSE),tblPesosCoste[Valor],tblPesosCoste[Peso],0),0)</f>
        <v>5</v>
      </c>
      <c r="L133" s="10">
        <f>IFERROR(_xlfn.XLOOKUP(VLOOKUP(tblEnlaces[[#This Row],[Canal]],tblCanales[#All],5,FALSE),tblPesosValorOperativo[Valor],tblPesosValorOperativo[Opacidad],0),0)</f>
        <v>2</v>
      </c>
      <c r="M133" s="14">
        <f>IFERROR(_xlfn.XLOOKUP(VLOOKUP(tblEnlaces[[#This Row],[Canal]],tblCanales[#All],6,FALSE),tblPesosValorOperativo[Valor],tblPesosValorOperativo[Trazabilidad],0),0)</f>
        <v>3</v>
      </c>
      <c r="N133" s="14">
        <f>IFERROR(_xlfn.XLOOKUP(VLOOKUP(tblEnlaces[[#This Row],[Canal]],tblCanales[#All],7,FALSE),tblPesosValorOperativo[Valor],tblPesosValorOperativo[Velocidad],0),0)</f>
        <v>5</v>
      </c>
      <c r="O133" s="14">
        <f>IFERROR(_xlfn.XLOOKUP(VLOOKUP(tblEnlaces[[#This Row],[Canal]],tblCanales[#All],8,FALSE),tblPesosValorOperativo[Valor],tblPesosValorOperativo[Escalabilidad],0),0)</f>
        <v>0</v>
      </c>
      <c r="P133" s="53">
        <f>tblEnlaces[[#This Row],[Opacidad]]+tblEnlaces[[#This Row],[Escalabilidad]]+tblEnlaces[[#This Row],[Velocidad]]+tblEnlaces[[#This Row],[Trazabilidad]]</f>
        <v>10</v>
      </c>
    </row>
    <row r="134" spans="2:16" ht="16.5" customHeight="1" x14ac:dyDescent="0.25">
      <c r="B134" s="66" t="str">
        <f t="array" ref="B13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E037</v>
      </c>
      <c r="C134" s="10" t="s">
        <v>53</v>
      </c>
      <c r="D134" s="10" t="str">
        <f>VLOOKUP(tblEnlaces[[#This Row],[Nodo Inicial]],tblNodos[],2,FALSE)</f>
        <v>Intermediarios físicos de transporte de valor</v>
      </c>
      <c r="E134" s="39" t="s">
        <v>77</v>
      </c>
      <c r="F134" s="10" t="str">
        <f>VLOOKUP(tblEnlaces[[#This Row],[Nodo Final]],tblNodos[],2,FALSE)</f>
        <v>Dirección financiera</v>
      </c>
      <c r="G134" s="39" t="s">
        <v>342</v>
      </c>
      <c r="H134" s="39">
        <v>1</v>
      </c>
      <c r="I134" s="53">
        <f>IFERROR(_xlfn.XLOOKUP(VLOOKUP(tblEnlaces[[#This Row],[Canal]],tblCanales[#All],2,FALSE),tblPesosValorOperativo[Valor],tblPesosValorOperativo[Frecuencia de Uso],0),0)</f>
        <v>3</v>
      </c>
      <c r="J134" s="63">
        <f>IF(tblEnlaces[[#This Row],[Activo]]&lt;&gt;1,0,IFERROR(tblEnlaces[[#This Row],[Frecuencia de Uso]]/SUMIFS(tblEnlaces[Frecuencia de Uso],tblEnlaces[Enlace],tblEnlaces[[#This Row],[Enlace]],tblEnlaces[Activo],1),0))</f>
        <v>9.375E-2</v>
      </c>
      <c r="K134" s="62">
        <f>IFERROR(_xlfn.XLOOKUP(VLOOKUP(tblEnlaces[[#This Row],[Canal]],tblCanales[#All],3,FALSE),tblPesosCoste[Valor],tblPesosCoste[Peso],0),0)</f>
        <v>3</v>
      </c>
      <c r="L134" s="10">
        <f>IFERROR(_xlfn.XLOOKUP(VLOOKUP(tblEnlaces[[#This Row],[Canal]],tblCanales[#All],5,FALSE),tblPesosValorOperativo[Valor],tblPesosValorOperativo[Opacidad],0),0)</f>
        <v>2</v>
      </c>
      <c r="M134" s="14">
        <f>IFERROR(_xlfn.XLOOKUP(VLOOKUP(tblEnlaces[[#This Row],[Canal]],tblCanales[#All],6,FALSE),tblPesosValorOperativo[Valor],tblPesosValorOperativo[Trazabilidad],0),0)</f>
        <v>3</v>
      </c>
      <c r="N134" s="14">
        <f>IFERROR(_xlfn.XLOOKUP(VLOOKUP(tblEnlaces[[#This Row],[Canal]],tblCanales[#All],7,FALSE),tblPesosValorOperativo[Valor],tblPesosValorOperativo[Velocidad],0),0)</f>
        <v>5</v>
      </c>
      <c r="O134" s="14">
        <f>IFERROR(_xlfn.XLOOKUP(VLOOKUP(tblEnlaces[[#This Row],[Canal]],tblCanales[#All],8,FALSE),tblPesosValorOperativo[Valor],tblPesosValorOperativo[Escalabilidad],0),0)</f>
        <v>0</v>
      </c>
      <c r="P134" s="53">
        <f>tblEnlaces[[#This Row],[Opacidad]]+tblEnlaces[[#This Row],[Escalabilidad]]+tblEnlaces[[#This Row],[Velocidad]]+tblEnlaces[[#This Row],[Trazabilidad]]</f>
        <v>10</v>
      </c>
    </row>
    <row r="135" spans="2:16" ht="16.5" customHeight="1" x14ac:dyDescent="0.25">
      <c r="B135" s="66" t="str">
        <f t="array" ref="B13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E038</v>
      </c>
      <c r="C135" s="10" t="s">
        <v>55</v>
      </c>
      <c r="D135" s="10" t="str">
        <f>VLOOKUP(tblEnlaces[[#This Row],[Nodo Inicial]],tblNodos[],2,FALSE)</f>
        <v>Intermediarios informales y paralelos</v>
      </c>
      <c r="E135" s="39" t="s">
        <v>81</v>
      </c>
      <c r="F135" s="10" t="str">
        <f>VLOOKUP(tblEnlaces[[#This Row],[Nodo Final]],tblNodos[],2,FALSE)</f>
        <v>Custodia y conversión</v>
      </c>
      <c r="G135" s="39" t="s">
        <v>162</v>
      </c>
      <c r="H135" s="39">
        <v>1</v>
      </c>
      <c r="I135" s="53">
        <f>IFERROR(_xlfn.XLOOKUP(VLOOKUP(tblEnlaces[[#This Row],[Canal]],tblCanales[#All],2,FALSE),tblPesosValorOperativo[Valor],tblPesosValorOperativo[Frecuencia de Uso],0),0)</f>
        <v>5</v>
      </c>
      <c r="J135" s="63">
        <f>IF(tblEnlaces[[#This Row],[Activo]]&lt;&gt;1,0,IFERROR(tblEnlaces[[#This Row],[Frecuencia de Uso]]/SUMIFS(tblEnlaces[Frecuencia de Uso],tblEnlaces[Enlace],tblEnlaces[[#This Row],[Enlace]],tblEnlaces[Activo],1),0))</f>
        <v>0.7142857142857143</v>
      </c>
      <c r="K135" s="62">
        <f>IFERROR(_xlfn.XLOOKUP(VLOOKUP(tblEnlaces[[#This Row],[Canal]],tblCanales[#All],3,FALSE),tblPesosCoste[Valor],tblPesosCoste[Peso],0),0)</f>
        <v>5</v>
      </c>
      <c r="L135" s="10">
        <f>IFERROR(_xlfn.XLOOKUP(VLOOKUP(tblEnlaces[[#This Row],[Canal]],tblCanales[#All],5,FALSE),tblPesosValorOperativo[Valor],tblPesosValorOperativo[Opacidad],0),0)</f>
        <v>1</v>
      </c>
      <c r="M135" s="14">
        <f>IFERROR(_xlfn.XLOOKUP(VLOOKUP(tblEnlaces[[#This Row],[Canal]],tblCanales[#All],6,FALSE),tblPesosValorOperativo[Valor],tblPesosValorOperativo[Trazabilidad],0),0)</f>
        <v>1</v>
      </c>
      <c r="N135" s="14">
        <f>IFERROR(_xlfn.XLOOKUP(VLOOKUP(tblEnlaces[[#This Row],[Canal]],tblCanales[#All],7,FALSE),tblPesosValorOperativo[Valor],tblPesosValorOperativo[Velocidad],0),0)</f>
        <v>5</v>
      </c>
      <c r="O135" s="14">
        <f>IFERROR(_xlfn.XLOOKUP(VLOOKUP(tblEnlaces[[#This Row],[Canal]],tblCanales[#All],8,FALSE),tblPesosValorOperativo[Valor],tblPesosValorOperativo[Escalabilidad],0),0)</f>
        <v>0</v>
      </c>
      <c r="P135" s="53">
        <f>tblEnlaces[[#This Row],[Opacidad]]+tblEnlaces[[#This Row],[Escalabilidad]]+tblEnlaces[[#This Row],[Velocidad]]+tblEnlaces[[#This Row],[Trazabilidad]]</f>
        <v>7</v>
      </c>
    </row>
    <row r="136" spans="2:16" ht="16.5" customHeight="1" x14ac:dyDescent="0.25">
      <c r="B136" s="66" t="str">
        <f t="array" ref="B13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E038</v>
      </c>
      <c r="C136" s="10" t="s">
        <v>55</v>
      </c>
      <c r="D136" s="10" t="str">
        <f>VLOOKUP(tblEnlaces[[#This Row],[Nodo Inicial]],tblNodos[],2,FALSE)</f>
        <v>Intermediarios informales y paralelos</v>
      </c>
      <c r="E136" s="39" t="s">
        <v>81</v>
      </c>
      <c r="F136" s="10" t="str">
        <f>VLOOKUP(tblEnlaces[[#This Row],[Nodo Final]],tblNodos[],2,FALSE)</f>
        <v>Custodia y conversión</v>
      </c>
      <c r="G136" s="39" t="s">
        <v>294</v>
      </c>
      <c r="H136" s="39">
        <v>1</v>
      </c>
      <c r="I136" s="53">
        <f>IFERROR(_xlfn.XLOOKUP(VLOOKUP(tblEnlaces[[#This Row],[Canal]],tblCanales[#All],2,FALSE),tblPesosValorOperativo[Valor],tblPesosValorOperativo[Frecuencia de Uso],0),0)</f>
        <v>2</v>
      </c>
      <c r="J136" s="63">
        <f>IF(tblEnlaces[[#This Row],[Activo]]&lt;&gt;1,0,IFERROR(tblEnlaces[[#This Row],[Frecuencia de Uso]]/SUMIFS(tblEnlaces[Frecuencia de Uso],tblEnlaces[Enlace],tblEnlaces[[#This Row],[Enlace]],tblEnlaces[Activo],1),0))</f>
        <v>0.2857142857142857</v>
      </c>
      <c r="K136" s="62">
        <f>IFERROR(_xlfn.XLOOKUP(VLOOKUP(tblEnlaces[[#This Row],[Canal]],tblCanales[#All],3,FALSE),tblPesosCoste[Valor],tblPesosCoste[Peso],0),0)</f>
        <v>4</v>
      </c>
      <c r="L136" s="10">
        <f>IFERROR(_xlfn.XLOOKUP(VLOOKUP(tblEnlaces[[#This Row],[Canal]],tblCanales[#All],5,FALSE),tblPesosValorOperativo[Valor],tblPesosValorOperativo[Opacidad],0),0)</f>
        <v>1</v>
      </c>
      <c r="M136" s="14">
        <f>IFERROR(_xlfn.XLOOKUP(VLOOKUP(tblEnlaces[[#This Row],[Canal]],tblCanales[#All],6,FALSE),tblPesosValorOperativo[Valor],tblPesosValorOperativo[Trazabilidad],0),0)</f>
        <v>2</v>
      </c>
      <c r="N136" s="14">
        <f>IFERROR(_xlfn.XLOOKUP(VLOOKUP(tblEnlaces[[#This Row],[Canal]],tblCanales[#All],7,FALSE),tblPesosValorOperativo[Valor],tblPesosValorOperativo[Velocidad],0),0)</f>
        <v>3</v>
      </c>
      <c r="O136" s="14">
        <f>IFERROR(_xlfn.XLOOKUP(VLOOKUP(tblEnlaces[[#This Row],[Canal]],tblCanales[#All],8,FALSE),tblPesosValorOperativo[Valor],tblPesosValorOperativo[Escalabilidad],0),0)</f>
        <v>0</v>
      </c>
      <c r="P136" s="53">
        <f>tblEnlaces[[#This Row],[Opacidad]]+tblEnlaces[[#This Row],[Escalabilidad]]+tblEnlaces[[#This Row],[Velocidad]]+tblEnlaces[[#This Row],[Trazabilidad]]</f>
        <v>6</v>
      </c>
    </row>
    <row r="137" spans="2:16" ht="16.5" customHeight="1" x14ac:dyDescent="0.25">
      <c r="B137" s="66" t="str">
        <f t="array" ref="B13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E039</v>
      </c>
      <c r="C137" s="10" t="s">
        <v>57</v>
      </c>
      <c r="D137" s="10" t="str">
        <f>VLOOKUP(tblEnlaces[[#This Row],[Nodo Inicial]],tblNodos[],2,FALSE)</f>
        <v>Intermediarios MVTS y remesas</v>
      </c>
      <c r="E137" s="39" t="s">
        <v>83</v>
      </c>
      <c r="F137" s="10" t="str">
        <f>VLOOKUP(tblEnlaces[[#This Row],[Nodo Final]],tblNodos[],2,FALSE)</f>
        <v>Coordinación de la red y soporte estratégico</v>
      </c>
      <c r="G137" s="39" t="s">
        <v>234</v>
      </c>
      <c r="H137" s="39">
        <v>1</v>
      </c>
      <c r="I137" s="53">
        <f>IFERROR(_xlfn.XLOOKUP(VLOOKUP(tblEnlaces[[#This Row],[Canal]],tblCanales[#All],2,FALSE),tblPesosValorOperativo[Valor],tblPesosValorOperativo[Frecuencia de Uso],0),0)</f>
        <v>4</v>
      </c>
      <c r="J137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37" s="62">
        <f>IFERROR(_xlfn.XLOOKUP(VLOOKUP(tblEnlaces[[#This Row],[Canal]],tblCanales[#All],3,FALSE),tblPesosCoste[Valor],tblPesosCoste[Peso],0),0)</f>
        <v>4</v>
      </c>
      <c r="L137" s="10">
        <f>IFERROR(_xlfn.XLOOKUP(VLOOKUP(tblEnlaces[[#This Row],[Canal]],tblCanales[#All],5,FALSE),tblPesosValorOperativo[Valor],tblPesosValorOperativo[Opacidad],0),0)</f>
        <v>3</v>
      </c>
      <c r="M137" s="14">
        <f>IFERROR(_xlfn.XLOOKUP(VLOOKUP(tblEnlaces[[#This Row],[Canal]],tblCanales[#All],6,FALSE),tblPesosValorOperativo[Valor],tblPesosValorOperativo[Trazabilidad],0),0)</f>
        <v>1</v>
      </c>
      <c r="N137" s="14">
        <f>IFERROR(_xlfn.XLOOKUP(VLOOKUP(tblEnlaces[[#This Row],[Canal]],tblCanales[#All],7,FALSE),tblPesosValorOperativo[Valor],tblPesosValorOperativo[Velocidad],0),0)</f>
        <v>5</v>
      </c>
      <c r="O137" s="14">
        <f>IFERROR(_xlfn.XLOOKUP(VLOOKUP(tblEnlaces[[#This Row],[Canal]],tblCanales[#All],8,FALSE),tblPesosValorOperativo[Valor],tblPesosValorOperativo[Escalabilidad],0),0)</f>
        <v>0</v>
      </c>
      <c r="P137" s="53">
        <f>tblEnlaces[[#This Row],[Opacidad]]+tblEnlaces[[#This Row],[Escalabilidad]]+tblEnlaces[[#This Row],[Velocidad]]+tblEnlaces[[#This Row],[Trazabilidad]]</f>
        <v>9</v>
      </c>
    </row>
    <row r="138" spans="2:16" ht="16.5" customHeight="1" x14ac:dyDescent="0.25">
      <c r="B138" s="66" t="str">
        <f t="array" ref="B13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E039</v>
      </c>
      <c r="C138" s="10" t="s">
        <v>57</v>
      </c>
      <c r="D138" s="10" t="str">
        <f>VLOOKUP(tblEnlaces[[#This Row],[Nodo Inicial]],tblNodos[],2,FALSE)</f>
        <v>Intermediarios MVTS y remesas</v>
      </c>
      <c r="E138" s="39" t="s">
        <v>83</v>
      </c>
      <c r="F138" s="10" t="str">
        <f>VLOOKUP(tblEnlaces[[#This Row],[Nodo Final]],tblNodos[],2,FALSE)</f>
        <v>Coordinación de la red y soporte estratégico</v>
      </c>
      <c r="G138" s="39" t="s">
        <v>282</v>
      </c>
      <c r="H138" s="39">
        <v>1</v>
      </c>
      <c r="I138" s="53">
        <f>IFERROR(_xlfn.XLOOKUP(VLOOKUP(tblEnlaces[[#This Row],[Canal]],tblCanales[#All],2,FALSE),tblPesosValorOperativo[Valor],tblPesosValorOperativo[Frecuencia de Uso],0),0)</f>
        <v>4</v>
      </c>
      <c r="J138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38" s="62">
        <f>IFERROR(_xlfn.XLOOKUP(VLOOKUP(tblEnlaces[[#This Row],[Canal]],tblCanales[#All],3,FALSE),tblPesosCoste[Valor],tblPesosCoste[Peso],0),0)</f>
        <v>4</v>
      </c>
      <c r="L138" s="10">
        <f>IFERROR(_xlfn.XLOOKUP(VLOOKUP(tblEnlaces[[#This Row],[Canal]],tblCanales[#All],5,FALSE),tblPesosValorOperativo[Valor],tblPesosValorOperativo[Opacidad],0),0)</f>
        <v>3</v>
      </c>
      <c r="M138" s="14">
        <f>IFERROR(_xlfn.XLOOKUP(VLOOKUP(tblEnlaces[[#This Row],[Canal]],tblCanales[#All],6,FALSE),tblPesosValorOperativo[Valor],tblPesosValorOperativo[Trazabilidad],0),0)</f>
        <v>1</v>
      </c>
      <c r="N138" s="14">
        <f>IFERROR(_xlfn.XLOOKUP(VLOOKUP(tblEnlaces[[#This Row],[Canal]],tblCanales[#All],7,FALSE),tblPesosValorOperativo[Valor],tblPesosValorOperativo[Velocidad],0),0)</f>
        <v>5</v>
      </c>
      <c r="O138" s="14">
        <f>IFERROR(_xlfn.XLOOKUP(VLOOKUP(tblEnlaces[[#This Row],[Canal]],tblCanales[#All],8,FALSE),tblPesosValorOperativo[Valor],tblPesosValorOperativo[Escalabilidad],0),0)</f>
        <v>0</v>
      </c>
      <c r="P138" s="53">
        <f>tblEnlaces[[#This Row],[Opacidad]]+tblEnlaces[[#This Row],[Escalabilidad]]+tblEnlaces[[#This Row],[Velocidad]]+tblEnlaces[[#This Row],[Trazabilidad]]</f>
        <v>9</v>
      </c>
    </row>
    <row r="139" spans="2:16" ht="16.5" customHeight="1" x14ac:dyDescent="0.25">
      <c r="B139" s="66" t="str">
        <f t="array" ref="B13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E040</v>
      </c>
      <c r="C139" s="10" t="s">
        <v>59</v>
      </c>
      <c r="D139" s="10" t="str">
        <f>VLOOKUP(tblEnlaces[[#This Row],[Nodo Inicial]],tblNodos[],2,FALSE)</f>
        <v>Intermediarios de dinero móvil</v>
      </c>
      <c r="E139" s="39" t="s">
        <v>79</v>
      </c>
      <c r="F139" s="10" t="str">
        <f>VLOOKUP(tblEnlaces[[#This Row],[Nodo Final]],tblNodos[],2,FALSE)</f>
        <v>Gestión operativa descentralizada</v>
      </c>
      <c r="G139" s="39" t="s">
        <v>117</v>
      </c>
      <c r="H139" s="39">
        <v>1</v>
      </c>
      <c r="I139" s="53">
        <f>IFERROR(_xlfn.XLOOKUP(VLOOKUP(tblEnlaces[[#This Row],[Canal]],tblCanales[#All],2,FALSE),tblPesosValorOperativo[Valor],tblPesosValorOperativo[Frecuencia de Uso],0),0)</f>
        <v>4</v>
      </c>
      <c r="J139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139" s="62">
        <f>IFERROR(_xlfn.XLOOKUP(VLOOKUP(tblEnlaces[[#This Row],[Canal]],tblCanales[#All],3,FALSE),tblPesosCoste[Valor],tblPesosCoste[Peso],0),0)</f>
        <v>5</v>
      </c>
      <c r="L139" s="10">
        <f>IFERROR(_xlfn.XLOOKUP(VLOOKUP(tblEnlaces[[#This Row],[Canal]],tblCanales[#All],5,FALSE),tblPesosValorOperativo[Valor],tblPesosValorOperativo[Opacidad],0),0)</f>
        <v>3</v>
      </c>
      <c r="M139" s="14">
        <f>IFERROR(_xlfn.XLOOKUP(VLOOKUP(tblEnlaces[[#This Row],[Canal]],tblCanales[#All],6,FALSE),tblPesosValorOperativo[Valor],tblPesosValorOperativo[Trazabilidad],0),0)</f>
        <v>1</v>
      </c>
      <c r="N139" s="14">
        <f>IFERROR(_xlfn.XLOOKUP(VLOOKUP(tblEnlaces[[#This Row],[Canal]],tblCanales[#All],7,FALSE),tblPesosValorOperativo[Valor],tblPesosValorOperativo[Velocidad],0),0)</f>
        <v>5</v>
      </c>
      <c r="O139" s="14">
        <f>IFERROR(_xlfn.XLOOKUP(VLOOKUP(tblEnlaces[[#This Row],[Canal]],tblCanales[#All],8,FALSE),tblPesosValorOperativo[Valor],tblPesosValorOperativo[Escalabilidad],0),0)</f>
        <v>0</v>
      </c>
      <c r="P139" s="53">
        <f>tblEnlaces[[#This Row],[Opacidad]]+tblEnlaces[[#This Row],[Escalabilidad]]+tblEnlaces[[#This Row],[Velocidad]]+tblEnlaces[[#This Row],[Trazabilidad]]</f>
        <v>9</v>
      </c>
    </row>
    <row r="140" spans="2:16" ht="16.5" customHeight="1" x14ac:dyDescent="0.25">
      <c r="B140" s="66" t="str">
        <f t="array" ref="B14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E040</v>
      </c>
      <c r="C140" s="10" t="s">
        <v>59</v>
      </c>
      <c r="D140" s="10" t="str">
        <f>VLOOKUP(tblEnlaces[[#This Row],[Nodo Inicial]],tblNodos[],2,FALSE)</f>
        <v>Intermediarios de dinero móvil</v>
      </c>
      <c r="E140" s="39" t="s">
        <v>79</v>
      </c>
      <c r="F140" s="10" t="str">
        <f>VLOOKUP(tblEnlaces[[#This Row],[Nodo Final]],tblNodos[],2,FALSE)</f>
        <v>Gestión operativa descentralizada</v>
      </c>
      <c r="G140" s="39" t="s">
        <v>264</v>
      </c>
      <c r="H140" s="39">
        <v>1</v>
      </c>
      <c r="I140" s="53">
        <f>IFERROR(_xlfn.XLOOKUP(VLOOKUP(tblEnlaces[[#This Row],[Canal]],tblCanales[#All],2,FALSE),tblPesosValorOperativo[Valor],tblPesosValorOperativo[Frecuencia de Uso],0),0)</f>
        <v>4</v>
      </c>
      <c r="J140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140" s="62">
        <f>IFERROR(_xlfn.XLOOKUP(VLOOKUP(tblEnlaces[[#This Row],[Canal]],tblCanales[#All],3,FALSE),tblPesosCoste[Valor],tblPesosCoste[Peso],0),0)</f>
        <v>5</v>
      </c>
      <c r="L140" s="10">
        <f>IFERROR(_xlfn.XLOOKUP(VLOOKUP(tblEnlaces[[#This Row],[Canal]],tblCanales[#All],5,FALSE),tblPesosValorOperativo[Valor],tblPesosValorOperativo[Opacidad],0),0)</f>
        <v>3</v>
      </c>
      <c r="M140" s="14">
        <f>IFERROR(_xlfn.XLOOKUP(VLOOKUP(tblEnlaces[[#This Row],[Canal]],tblCanales[#All],6,FALSE),tblPesosValorOperativo[Valor],tblPesosValorOperativo[Trazabilidad],0),0)</f>
        <v>1</v>
      </c>
      <c r="N140" s="14">
        <f>IFERROR(_xlfn.XLOOKUP(VLOOKUP(tblEnlaces[[#This Row],[Canal]],tblCanales[#All],7,FALSE),tblPesosValorOperativo[Valor],tblPesosValorOperativo[Velocidad],0),0)</f>
        <v>5</v>
      </c>
      <c r="O140" s="14">
        <f>IFERROR(_xlfn.XLOOKUP(VLOOKUP(tblEnlaces[[#This Row],[Canal]],tblCanales[#All],8,FALSE),tblPesosValorOperativo[Valor],tblPesosValorOperativo[Escalabilidad],0),0)</f>
        <v>0</v>
      </c>
      <c r="P140" s="53">
        <f>tblEnlaces[[#This Row],[Opacidad]]+tblEnlaces[[#This Row],[Escalabilidad]]+tblEnlaces[[#This Row],[Velocidad]]+tblEnlaces[[#This Row],[Trazabilidad]]</f>
        <v>9</v>
      </c>
    </row>
    <row r="141" spans="2:16" ht="16.5" customHeight="1" x14ac:dyDescent="0.25">
      <c r="B141" s="66" t="str">
        <f t="array" ref="B14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E040</v>
      </c>
      <c r="C141" s="10" t="s">
        <v>59</v>
      </c>
      <c r="D141" s="10" t="str">
        <f>VLOOKUP(tblEnlaces[[#This Row],[Nodo Inicial]],tblNodos[],2,FALSE)</f>
        <v>Intermediarios de dinero móvil</v>
      </c>
      <c r="E141" s="39" t="s">
        <v>79</v>
      </c>
      <c r="F141" s="10" t="str">
        <f>VLOOKUP(tblEnlaces[[#This Row],[Nodo Final]],tblNodos[],2,FALSE)</f>
        <v>Gestión operativa descentralizada</v>
      </c>
      <c r="G141" s="39" t="s">
        <v>117</v>
      </c>
      <c r="H141" s="39">
        <v>1</v>
      </c>
      <c r="I141" s="53">
        <f>IFERROR(_xlfn.XLOOKUP(VLOOKUP(tblEnlaces[[#This Row],[Canal]],tblCanales[#All],2,FALSE),tblPesosValorOperativo[Valor],tblPesosValorOperativo[Frecuencia de Uso],0),0)</f>
        <v>4</v>
      </c>
      <c r="J141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141" s="62">
        <f>IFERROR(_xlfn.XLOOKUP(VLOOKUP(tblEnlaces[[#This Row],[Canal]],tblCanales[#All],3,FALSE),tblPesosCoste[Valor],tblPesosCoste[Peso],0),0)</f>
        <v>5</v>
      </c>
      <c r="L141" s="10">
        <f>IFERROR(_xlfn.XLOOKUP(VLOOKUP(tblEnlaces[[#This Row],[Canal]],tblCanales[#All],5,FALSE),tblPesosValorOperativo[Valor],tblPesosValorOperativo[Opacidad],0),0)</f>
        <v>3</v>
      </c>
      <c r="M141" s="14">
        <f>IFERROR(_xlfn.XLOOKUP(VLOOKUP(tblEnlaces[[#This Row],[Canal]],tblCanales[#All],6,FALSE),tblPesosValorOperativo[Valor],tblPesosValorOperativo[Trazabilidad],0),0)</f>
        <v>1</v>
      </c>
      <c r="N141" s="14">
        <f>IFERROR(_xlfn.XLOOKUP(VLOOKUP(tblEnlaces[[#This Row],[Canal]],tblCanales[#All],7,FALSE),tblPesosValorOperativo[Valor],tblPesosValorOperativo[Velocidad],0),0)</f>
        <v>5</v>
      </c>
      <c r="O141" s="14">
        <f>IFERROR(_xlfn.XLOOKUP(VLOOKUP(tblEnlaces[[#This Row],[Canal]],tblCanales[#All],8,FALSE),tblPesosValorOperativo[Valor],tblPesosValorOperativo[Escalabilidad],0),0)</f>
        <v>0</v>
      </c>
      <c r="P141" s="53">
        <f>tblEnlaces[[#This Row],[Opacidad]]+tblEnlaces[[#This Row],[Escalabilidad]]+tblEnlaces[[#This Row],[Velocidad]]+tblEnlaces[[#This Row],[Trazabilidad]]</f>
        <v>9</v>
      </c>
    </row>
    <row r="142" spans="2:16" ht="16.5" customHeight="1" x14ac:dyDescent="0.25">
      <c r="B142" s="66" t="str">
        <f t="array" ref="B14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E040</v>
      </c>
      <c r="C142" s="10" t="s">
        <v>59</v>
      </c>
      <c r="D142" s="10" t="str">
        <f>VLOOKUP(tblEnlaces[[#This Row],[Nodo Inicial]],tblNodos[],2,FALSE)</f>
        <v>Intermediarios de dinero móvil</v>
      </c>
      <c r="E142" s="39" t="s">
        <v>79</v>
      </c>
      <c r="F142" s="10" t="str">
        <f>VLOOKUP(tblEnlaces[[#This Row],[Nodo Final]],tblNodos[],2,FALSE)</f>
        <v>Gestión operativa descentralizada</v>
      </c>
      <c r="G142" s="39" t="s">
        <v>246</v>
      </c>
      <c r="H142" s="39">
        <v>1</v>
      </c>
      <c r="I142" s="53">
        <f>IFERROR(_xlfn.XLOOKUP(VLOOKUP(tblEnlaces[[#This Row],[Canal]],tblCanales[#All],2,FALSE),tblPesosValorOperativo[Valor],tblPesosValorOperativo[Frecuencia de Uso],0),0)</f>
        <v>4</v>
      </c>
      <c r="J142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142" s="62">
        <f>IFERROR(_xlfn.XLOOKUP(VLOOKUP(tblEnlaces[[#This Row],[Canal]],tblCanales[#All],3,FALSE),tblPesosCoste[Valor],tblPesosCoste[Peso],0),0)</f>
        <v>5</v>
      </c>
      <c r="L142" s="10">
        <f>IFERROR(_xlfn.XLOOKUP(VLOOKUP(tblEnlaces[[#This Row],[Canal]],tblCanales[#All],5,FALSE),tblPesosValorOperativo[Valor],tblPesosValorOperativo[Opacidad],0),0)</f>
        <v>3</v>
      </c>
      <c r="M142" s="14">
        <f>IFERROR(_xlfn.XLOOKUP(VLOOKUP(tblEnlaces[[#This Row],[Canal]],tblCanales[#All],6,FALSE),tblPesosValorOperativo[Valor],tblPesosValorOperativo[Trazabilidad],0),0)</f>
        <v>1</v>
      </c>
      <c r="N142" s="14">
        <f>IFERROR(_xlfn.XLOOKUP(VLOOKUP(tblEnlaces[[#This Row],[Canal]],tblCanales[#All],7,FALSE),tblPesosValorOperativo[Valor],tblPesosValorOperativo[Velocidad],0),0)</f>
        <v>5</v>
      </c>
      <c r="O142" s="14">
        <f>IFERROR(_xlfn.XLOOKUP(VLOOKUP(tblEnlaces[[#This Row],[Canal]],tblCanales[#All],8,FALSE),tblPesosValorOperativo[Valor],tblPesosValorOperativo[Escalabilidad],0),0)</f>
        <v>0</v>
      </c>
      <c r="P142" s="53">
        <f>tblEnlaces[[#This Row],[Opacidad]]+tblEnlaces[[#This Row],[Escalabilidad]]+tblEnlaces[[#This Row],[Velocidad]]+tblEnlaces[[#This Row],[Trazabilidad]]</f>
        <v>9</v>
      </c>
    </row>
    <row r="143" spans="2:16" ht="16.5" customHeight="1" x14ac:dyDescent="0.25">
      <c r="B143" s="66" t="str">
        <f t="array" ref="B14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E040</v>
      </c>
      <c r="C143" s="10" t="s">
        <v>59</v>
      </c>
      <c r="D143" s="10" t="str">
        <f>VLOOKUP(tblEnlaces[[#This Row],[Nodo Inicial]],tblNodos[],2,FALSE)</f>
        <v>Intermediarios de dinero móvil</v>
      </c>
      <c r="E143" s="39" t="s">
        <v>79</v>
      </c>
      <c r="F143" s="10" t="str">
        <f>VLOOKUP(tblEnlaces[[#This Row],[Nodo Final]],tblNodos[],2,FALSE)</f>
        <v>Gestión operativa descentralizada</v>
      </c>
      <c r="G143" s="39" t="s">
        <v>264</v>
      </c>
      <c r="H143" s="39">
        <v>1</v>
      </c>
      <c r="I143" s="53">
        <f>IFERROR(_xlfn.XLOOKUP(VLOOKUP(tblEnlaces[[#This Row],[Canal]],tblCanales[#All],2,FALSE),tblPesosValorOperativo[Valor],tblPesosValorOperativo[Frecuencia de Uso],0),0)</f>
        <v>4</v>
      </c>
      <c r="J143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143" s="62">
        <f>IFERROR(_xlfn.XLOOKUP(VLOOKUP(tblEnlaces[[#This Row],[Canal]],tblCanales[#All],3,FALSE),tblPesosCoste[Valor],tblPesosCoste[Peso],0),0)</f>
        <v>5</v>
      </c>
      <c r="L143" s="10">
        <f>IFERROR(_xlfn.XLOOKUP(VLOOKUP(tblEnlaces[[#This Row],[Canal]],tblCanales[#All],5,FALSE),tblPesosValorOperativo[Valor],tblPesosValorOperativo[Opacidad],0),0)</f>
        <v>3</v>
      </c>
      <c r="M143" s="14">
        <f>IFERROR(_xlfn.XLOOKUP(VLOOKUP(tblEnlaces[[#This Row],[Canal]],tblCanales[#All],6,FALSE),tblPesosValorOperativo[Valor],tblPesosValorOperativo[Trazabilidad],0),0)</f>
        <v>1</v>
      </c>
      <c r="N143" s="14">
        <f>IFERROR(_xlfn.XLOOKUP(VLOOKUP(tblEnlaces[[#This Row],[Canal]],tblCanales[#All],7,FALSE),tblPesosValorOperativo[Valor],tblPesosValorOperativo[Velocidad],0),0)</f>
        <v>5</v>
      </c>
      <c r="O143" s="14">
        <f>IFERROR(_xlfn.XLOOKUP(VLOOKUP(tblEnlaces[[#This Row],[Canal]],tblCanales[#All],8,FALSE),tblPesosValorOperativo[Valor],tblPesosValorOperativo[Escalabilidad],0),0)</f>
        <v>0</v>
      </c>
      <c r="P143" s="53">
        <f>tblEnlaces[[#This Row],[Opacidad]]+tblEnlaces[[#This Row],[Escalabilidad]]+tblEnlaces[[#This Row],[Velocidad]]+tblEnlaces[[#This Row],[Trazabilidad]]</f>
        <v>9</v>
      </c>
    </row>
    <row r="144" spans="2:16" ht="16.5" customHeight="1" x14ac:dyDescent="0.25">
      <c r="B144" s="66" t="str">
        <f t="array" ref="B14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E041</v>
      </c>
      <c r="C144" s="10" t="s">
        <v>61</v>
      </c>
      <c r="D144" s="10" t="str">
        <f>VLOOKUP(tblEnlaces[[#This Row],[Nodo Inicial]],tblNodos[],2,FALSE)</f>
        <v>Intermediarios bancarios formales</v>
      </c>
      <c r="E144" s="39" t="s">
        <v>79</v>
      </c>
      <c r="F144" s="10" t="str">
        <f>VLOOKUP(tblEnlaces[[#This Row],[Nodo Final]],tblNodos[],2,FALSE)</f>
        <v>Gestión operativa descentralizada</v>
      </c>
      <c r="G144" s="39" t="s">
        <v>128</v>
      </c>
      <c r="H144" s="39">
        <v>1</v>
      </c>
      <c r="I144" s="53">
        <f>IFERROR(_xlfn.XLOOKUP(VLOOKUP(tblEnlaces[[#This Row],[Canal]],tblCanales[#All],2,FALSE),tblPesosValorOperativo[Valor],tblPesosValorOperativo[Frecuencia de Uso],0),0)</f>
        <v>2</v>
      </c>
      <c r="J144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144" s="62">
        <f>IFERROR(_xlfn.XLOOKUP(VLOOKUP(tblEnlaces[[#This Row],[Canal]],tblCanales[#All],3,FALSE),tblPesosCoste[Valor],tblPesosCoste[Peso],0),0)</f>
        <v>5</v>
      </c>
      <c r="L144" s="10">
        <f>IFERROR(_xlfn.XLOOKUP(VLOOKUP(tblEnlaces[[#This Row],[Canal]],tblCanales[#All],5,FALSE),tblPesosValorOperativo[Valor],tblPesosValorOperativo[Opacidad],0),0)</f>
        <v>5</v>
      </c>
      <c r="M144" s="14">
        <f>IFERROR(_xlfn.XLOOKUP(VLOOKUP(tblEnlaces[[#This Row],[Canal]],tblCanales[#All],6,FALSE),tblPesosValorOperativo[Valor],tblPesosValorOperativo[Trazabilidad],0),0)</f>
        <v>3</v>
      </c>
      <c r="N144" s="14">
        <f>IFERROR(_xlfn.XLOOKUP(VLOOKUP(tblEnlaces[[#This Row],[Canal]],tblCanales[#All],7,FALSE),tblPesosValorOperativo[Valor],tblPesosValorOperativo[Velocidad],0),0)</f>
        <v>4</v>
      </c>
      <c r="O144" s="14">
        <f>IFERROR(_xlfn.XLOOKUP(VLOOKUP(tblEnlaces[[#This Row],[Canal]],tblCanales[#All],8,FALSE),tblPesosValorOperativo[Valor],tblPesosValorOperativo[Escalabilidad],0),0)</f>
        <v>0</v>
      </c>
      <c r="P144" s="53">
        <f>tblEnlaces[[#This Row],[Opacidad]]+tblEnlaces[[#This Row],[Escalabilidad]]+tblEnlaces[[#This Row],[Velocidad]]+tblEnlaces[[#This Row],[Trazabilidad]]</f>
        <v>12</v>
      </c>
    </row>
    <row r="145" spans="2:16" ht="16.5" customHeight="1" x14ac:dyDescent="0.25">
      <c r="B145" s="66" t="str">
        <f t="array" ref="B14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E041</v>
      </c>
      <c r="C145" s="10" t="s">
        <v>61</v>
      </c>
      <c r="D145" s="10" t="str">
        <f>VLOOKUP(tblEnlaces[[#This Row],[Nodo Inicial]],tblNodos[],2,FALSE)</f>
        <v>Intermediarios bancarios formales</v>
      </c>
      <c r="E145" s="39" t="s">
        <v>79</v>
      </c>
      <c r="F145" s="10" t="str">
        <f>VLOOKUP(tblEnlaces[[#This Row],[Nodo Final]],tblNodos[],2,FALSE)</f>
        <v>Gestión operativa descentralizada</v>
      </c>
      <c r="G145" s="39" t="s">
        <v>136</v>
      </c>
      <c r="H145" s="39">
        <v>1</v>
      </c>
      <c r="I145" s="53">
        <f>IFERROR(_xlfn.XLOOKUP(VLOOKUP(tblEnlaces[[#This Row],[Canal]],tblCanales[#All],2,FALSE),tblPesosValorOperativo[Valor],tblPesosValorOperativo[Frecuencia de Uso],0),0)</f>
        <v>2</v>
      </c>
      <c r="J145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145" s="62">
        <f>IFERROR(_xlfn.XLOOKUP(VLOOKUP(tblEnlaces[[#This Row],[Canal]],tblCanales[#All],3,FALSE),tblPesosCoste[Valor],tblPesosCoste[Peso],0),0)</f>
        <v>4</v>
      </c>
      <c r="L145" s="10">
        <f>IFERROR(_xlfn.XLOOKUP(VLOOKUP(tblEnlaces[[#This Row],[Canal]],tblCanales[#All],5,FALSE),tblPesosValorOperativo[Valor],tblPesosValorOperativo[Opacidad],0),0)</f>
        <v>5</v>
      </c>
      <c r="M145" s="14">
        <f>IFERROR(_xlfn.XLOOKUP(VLOOKUP(tblEnlaces[[#This Row],[Canal]],tblCanales[#All],6,FALSE),tblPesosValorOperativo[Valor],tblPesosValorOperativo[Trazabilidad],0),0)</f>
        <v>2</v>
      </c>
      <c r="N145" s="14">
        <f>IFERROR(_xlfn.XLOOKUP(VLOOKUP(tblEnlaces[[#This Row],[Canal]],tblCanales[#All],7,FALSE),tblPesosValorOperativo[Valor],tblPesosValorOperativo[Velocidad],0),0)</f>
        <v>4</v>
      </c>
      <c r="O145" s="14">
        <f>IFERROR(_xlfn.XLOOKUP(VLOOKUP(tblEnlaces[[#This Row],[Canal]],tblCanales[#All],8,FALSE),tblPesosValorOperativo[Valor],tblPesosValorOperativo[Escalabilidad],0),0)</f>
        <v>0</v>
      </c>
      <c r="P145" s="53">
        <f>tblEnlaces[[#This Row],[Opacidad]]+tblEnlaces[[#This Row],[Escalabilidad]]+tblEnlaces[[#This Row],[Velocidad]]+tblEnlaces[[#This Row],[Trazabilidad]]</f>
        <v>11</v>
      </c>
    </row>
    <row r="146" spans="2:16" ht="16.5" customHeight="1" x14ac:dyDescent="0.25">
      <c r="B146" s="66" t="str">
        <f t="array" ref="B14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E041</v>
      </c>
      <c r="C146" s="10" t="s">
        <v>61</v>
      </c>
      <c r="D146" s="10" t="str">
        <f>VLOOKUP(tblEnlaces[[#This Row],[Nodo Inicial]],tblNodos[],2,FALSE)</f>
        <v>Intermediarios bancarios formales</v>
      </c>
      <c r="E146" s="39" t="s">
        <v>79</v>
      </c>
      <c r="F146" s="10" t="str">
        <f>VLOOKUP(tblEnlaces[[#This Row],[Nodo Final]],tblNodos[],2,FALSE)</f>
        <v>Gestión operativa descentralizada</v>
      </c>
      <c r="G146" s="39" t="s">
        <v>150</v>
      </c>
      <c r="H146" s="39">
        <v>1</v>
      </c>
      <c r="I146" s="53">
        <f>IFERROR(_xlfn.XLOOKUP(VLOOKUP(tblEnlaces[[#This Row],[Canal]],tblCanales[#All],2,FALSE),tblPesosValorOperativo[Valor],tblPesosValorOperativo[Frecuencia de Uso],0),0)</f>
        <v>2</v>
      </c>
      <c r="J146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146" s="62">
        <f>IFERROR(_xlfn.XLOOKUP(VLOOKUP(tblEnlaces[[#This Row],[Canal]],tblCanales[#All],3,FALSE),tblPesosCoste[Valor],tblPesosCoste[Peso],0),0)</f>
        <v>4</v>
      </c>
      <c r="L146" s="10">
        <f>IFERROR(_xlfn.XLOOKUP(VLOOKUP(tblEnlaces[[#This Row],[Canal]],tblCanales[#All],5,FALSE),tblPesosValorOperativo[Valor],tblPesosValorOperativo[Opacidad],0),0)</f>
        <v>5</v>
      </c>
      <c r="M146" s="14">
        <f>IFERROR(_xlfn.XLOOKUP(VLOOKUP(tblEnlaces[[#This Row],[Canal]],tblCanales[#All],6,FALSE),tblPesosValorOperativo[Valor],tblPesosValorOperativo[Trazabilidad],0),0)</f>
        <v>3</v>
      </c>
      <c r="N146" s="14">
        <f>IFERROR(_xlfn.XLOOKUP(VLOOKUP(tblEnlaces[[#This Row],[Canal]],tblCanales[#All],7,FALSE),tblPesosValorOperativo[Valor],tblPesosValorOperativo[Velocidad],0),0)</f>
        <v>3</v>
      </c>
      <c r="O146" s="14">
        <f>IFERROR(_xlfn.XLOOKUP(VLOOKUP(tblEnlaces[[#This Row],[Canal]],tblCanales[#All],8,FALSE),tblPesosValorOperativo[Valor],tblPesosValorOperativo[Escalabilidad],0),0)</f>
        <v>0</v>
      </c>
      <c r="P146" s="53">
        <f>tblEnlaces[[#This Row],[Opacidad]]+tblEnlaces[[#This Row],[Escalabilidad]]+tblEnlaces[[#This Row],[Velocidad]]+tblEnlaces[[#This Row],[Trazabilidad]]</f>
        <v>11</v>
      </c>
    </row>
    <row r="147" spans="2:16" ht="16.5" customHeight="1" x14ac:dyDescent="0.25">
      <c r="B147" s="66" t="str">
        <f t="array" ref="B14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E041</v>
      </c>
      <c r="C147" s="10" t="s">
        <v>61</v>
      </c>
      <c r="D147" s="10" t="str">
        <f>VLOOKUP(tblEnlaces[[#This Row],[Nodo Inicial]],tblNodos[],2,FALSE)</f>
        <v>Intermediarios bancarios formales</v>
      </c>
      <c r="E147" s="39" t="s">
        <v>79</v>
      </c>
      <c r="F147" s="10" t="str">
        <f>VLOOKUP(tblEnlaces[[#This Row],[Nodo Final]],tblNodos[],2,FALSE)</f>
        <v>Gestión operativa descentralizada</v>
      </c>
      <c r="G147" s="39" t="s">
        <v>143</v>
      </c>
      <c r="H147" s="39">
        <v>1</v>
      </c>
      <c r="I147" s="53">
        <f>IFERROR(_xlfn.XLOOKUP(VLOOKUP(tblEnlaces[[#This Row],[Canal]],tblCanales[#All],2,FALSE),tblPesosValorOperativo[Valor],tblPesosValorOperativo[Frecuencia de Uso],0),0)</f>
        <v>2</v>
      </c>
      <c r="J147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147" s="62">
        <f>IFERROR(_xlfn.XLOOKUP(VLOOKUP(tblEnlaces[[#This Row],[Canal]],tblCanales[#All],3,FALSE),tblPesosCoste[Valor],tblPesosCoste[Peso],0),0)</f>
        <v>4</v>
      </c>
      <c r="L147" s="10">
        <f>IFERROR(_xlfn.XLOOKUP(VLOOKUP(tblEnlaces[[#This Row],[Canal]],tblCanales[#All],5,FALSE),tblPesosValorOperativo[Valor],tblPesosValorOperativo[Opacidad],0),0)</f>
        <v>4</v>
      </c>
      <c r="M147" s="14">
        <f>IFERROR(_xlfn.XLOOKUP(VLOOKUP(tblEnlaces[[#This Row],[Canal]],tblCanales[#All],6,FALSE),tblPesosValorOperativo[Valor],tblPesosValorOperativo[Trazabilidad],0),0)</f>
        <v>1</v>
      </c>
      <c r="N147" s="14">
        <f>IFERROR(_xlfn.XLOOKUP(VLOOKUP(tblEnlaces[[#This Row],[Canal]],tblCanales[#All],7,FALSE),tblPesosValorOperativo[Valor],tblPesosValorOperativo[Velocidad],0),0)</f>
        <v>3</v>
      </c>
      <c r="O147" s="14">
        <f>IFERROR(_xlfn.XLOOKUP(VLOOKUP(tblEnlaces[[#This Row],[Canal]],tblCanales[#All],8,FALSE),tblPesosValorOperativo[Valor],tblPesosValorOperativo[Escalabilidad],0),0)</f>
        <v>0</v>
      </c>
      <c r="P147" s="53">
        <f>tblEnlaces[[#This Row],[Opacidad]]+tblEnlaces[[#This Row],[Escalabilidad]]+tblEnlaces[[#This Row],[Velocidad]]+tblEnlaces[[#This Row],[Trazabilidad]]</f>
        <v>8</v>
      </c>
    </row>
    <row r="148" spans="2:16" ht="16.5" customHeight="1" x14ac:dyDescent="0.25">
      <c r="B148" s="66" t="str">
        <f t="array" ref="B14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E042</v>
      </c>
      <c r="C148" s="10" t="s">
        <v>61</v>
      </c>
      <c r="D148" s="10" t="str">
        <f>VLOOKUP(tblEnlaces[[#This Row],[Nodo Inicial]],tblNodos[],2,FALSE)</f>
        <v>Intermediarios bancarios formales</v>
      </c>
      <c r="E148" s="39" t="s">
        <v>83</v>
      </c>
      <c r="F148" s="10" t="str">
        <f>VLOOKUP(tblEnlaces[[#This Row],[Nodo Final]],tblNodos[],2,FALSE)</f>
        <v>Coordinación de la red y soporte estratégico</v>
      </c>
      <c r="G148" s="39" t="s">
        <v>128</v>
      </c>
      <c r="H148" s="39">
        <v>1</v>
      </c>
      <c r="I148" s="53">
        <f>IFERROR(_xlfn.XLOOKUP(VLOOKUP(tblEnlaces[[#This Row],[Canal]],tblCanales[#All],2,FALSE),tblPesosValorOperativo[Valor],tblPesosValorOperativo[Frecuencia de Uso],0),0)</f>
        <v>2</v>
      </c>
      <c r="J148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48" s="62">
        <f>IFERROR(_xlfn.XLOOKUP(VLOOKUP(tblEnlaces[[#This Row],[Canal]],tblCanales[#All],3,FALSE),tblPesosCoste[Valor],tblPesosCoste[Peso],0),0)</f>
        <v>5</v>
      </c>
      <c r="L148" s="10">
        <f>IFERROR(_xlfn.XLOOKUP(VLOOKUP(tblEnlaces[[#This Row],[Canal]],tblCanales[#All],5,FALSE),tblPesosValorOperativo[Valor],tblPesosValorOperativo[Opacidad],0),0)</f>
        <v>5</v>
      </c>
      <c r="M148" s="14">
        <f>IFERROR(_xlfn.XLOOKUP(VLOOKUP(tblEnlaces[[#This Row],[Canal]],tblCanales[#All],6,FALSE),tblPesosValorOperativo[Valor],tblPesosValorOperativo[Trazabilidad],0),0)</f>
        <v>3</v>
      </c>
      <c r="N148" s="14">
        <f>IFERROR(_xlfn.XLOOKUP(VLOOKUP(tblEnlaces[[#This Row],[Canal]],tblCanales[#All],7,FALSE),tblPesosValorOperativo[Valor],tblPesosValorOperativo[Velocidad],0),0)</f>
        <v>4</v>
      </c>
      <c r="O148" s="14">
        <f>IFERROR(_xlfn.XLOOKUP(VLOOKUP(tblEnlaces[[#This Row],[Canal]],tblCanales[#All],8,FALSE),tblPesosValorOperativo[Valor],tblPesosValorOperativo[Escalabilidad],0),0)</f>
        <v>0</v>
      </c>
      <c r="P148" s="53">
        <f>tblEnlaces[[#This Row],[Opacidad]]+tblEnlaces[[#This Row],[Escalabilidad]]+tblEnlaces[[#This Row],[Velocidad]]+tblEnlaces[[#This Row],[Trazabilidad]]</f>
        <v>12</v>
      </c>
    </row>
    <row r="149" spans="2:16" ht="16.5" customHeight="1" x14ac:dyDescent="0.25">
      <c r="B149" s="66" t="str">
        <f t="array" ref="B14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E042</v>
      </c>
      <c r="C149" s="10" t="s">
        <v>61</v>
      </c>
      <c r="D149" s="10" t="str">
        <f>VLOOKUP(tblEnlaces[[#This Row],[Nodo Inicial]],tblNodos[],2,FALSE)</f>
        <v>Intermediarios bancarios formales</v>
      </c>
      <c r="E149" s="39" t="s">
        <v>83</v>
      </c>
      <c r="F149" s="10" t="str">
        <f>VLOOKUP(tblEnlaces[[#This Row],[Nodo Final]],tblNodos[],2,FALSE)</f>
        <v>Coordinación de la red y soporte estratégico</v>
      </c>
      <c r="G149" s="39" t="s">
        <v>136</v>
      </c>
      <c r="H149" s="39">
        <v>1</v>
      </c>
      <c r="I149" s="53">
        <f>IFERROR(_xlfn.XLOOKUP(VLOOKUP(tblEnlaces[[#This Row],[Canal]],tblCanales[#All],2,FALSE),tblPesosValorOperativo[Valor],tblPesosValorOperativo[Frecuencia de Uso],0),0)</f>
        <v>2</v>
      </c>
      <c r="J149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49" s="62">
        <f>IFERROR(_xlfn.XLOOKUP(VLOOKUP(tblEnlaces[[#This Row],[Canal]],tblCanales[#All],3,FALSE),tblPesosCoste[Valor],tblPesosCoste[Peso],0),0)</f>
        <v>4</v>
      </c>
      <c r="L149" s="10">
        <f>IFERROR(_xlfn.XLOOKUP(VLOOKUP(tblEnlaces[[#This Row],[Canal]],tblCanales[#All],5,FALSE),tblPesosValorOperativo[Valor],tblPesosValorOperativo[Opacidad],0),0)</f>
        <v>5</v>
      </c>
      <c r="M149" s="14">
        <f>IFERROR(_xlfn.XLOOKUP(VLOOKUP(tblEnlaces[[#This Row],[Canal]],tblCanales[#All],6,FALSE),tblPesosValorOperativo[Valor],tblPesosValorOperativo[Trazabilidad],0),0)</f>
        <v>2</v>
      </c>
      <c r="N149" s="14">
        <f>IFERROR(_xlfn.XLOOKUP(VLOOKUP(tblEnlaces[[#This Row],[Canal]],tblCanales[#All],7,FALSE),tblPesosValorOperativo[Valor],tblPesosValorOperativo[Velocidad],0),0)</f>
        <v>4</v>
      </c>
      <c r="O149" s="14">
        <f>IFERROR(_xlfn.XLOOKUP(VLOOKUP(tblEnlaces[[#This Row],[Canal]],tblCanales[#All],8,FALSE),tblPesosValorOperativo[Valor],tblPesosValorOperativo[Escalabilidad],0),0)</f>
        <v>0</v>
      </c>
      <c r="P149" s="53">
        <f>tblEnlaces[[#This Row],[Opacidad]]+tblEnlaces[[#This Row],[Escalabilidad]]+tblEnlaces[[#This Row],[Velocidad]]+tblEnlaces[[#This Row],[Trazabilidad]]</f>
        <v>11</v>
      </c>
    </row>
    <row r="150" spans="2:16" ht="16.5" customHeight="1" x14ac:dyDescent="0.25">
      <c r="B150" s="66" t="str">
        <f t="array" ref="B15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E043</v>
      </c>
      <c r="C150" s="10" t="s">
        <v>63</v>
      </c>
      <c r="D150" s="10" t="str">
        <f>VLOOKUP(tblEnlaces[[#This Row],[Nodo Inicial]],tblNodos[],2,FALSE)</f>
        <v>Intermediarios de pago digital (PSP /FinTech)</v>
      </c>
      <c r="E150" s="39" t="s">
        <v>83</v>
      </c>
      <c r="F150" s="10" t="str">
        <f>VLOOKUP(tblEnlaces[[#This Row],[Nodo Final]],tblNodos[],2,FALSE)</f>
        <v>Coordinación de la red y soporte estratégico</v>
      </c>
      <c r="G150" s="39" t="s">
        <v>222</v>
      </c>
      <c r="H150" s="39">
        <v>1</v>
      </c>
      <c r="I150" s="53">
        <f>IFERROR(_xlfn.XLOOKUP(VLOOKUP(tblEnlaces[[#This Row],[Canal]],tblCanales[#All],2,FALSE),tblPesosValorOperativo[Valor],tblPesosValorOperativo[Frecuencia de Uso],0),0)</f>
        <v>4</v>
      </c>
      <c r="J150" s="63">
        <f>IF(tblEnlaces[[#This Row],[Activo]]&lt;&gt;1,0,IFERROR(tblEnlaces[[#This Row],[Frecuencia de Uso]]/SUMIFS(tblEnlaces[Frecuencia de Uso],tblEnlaces[Enlace],tblEnlaces[[#This Row],[Enlace]],tblEnlaces[Activo],1),0))</f>
        <v>0.13793103448275862</v>
      </c>
      <c r="K150" s="62">
        <f>IFERROR(_xlfn.XLOOKUP(VLOOKUP(tblEnlaces[[#This Row],[Canal]],tblCanales[#All],3,FALSE),tblPesosCoste[Valor],tblPesosCoste[Peso],0),0)</f>
        <v>5</v>
      </c>
      <c r="L150" s="10">
        <f>IFERROR(_xlfn.XLOOKUP(VLOOKUP(tblEnlaces[[#This Row],[Canal]],tblCanales[#All],5,FALSE),tblPesosValorOperativo[Valor],tblPesosValorOperativo[Opacidad],0),0)</f>
        <v>3</v>
      </c>
      <c r="M150" s="14">
        <f>IFERROR(_xlfn.XLOOKUP(VLOOKUP(tblEnlaces[[#This Row],[Canal]],tblCanales[#All],6,FALSE),tblPesosValorOperativo[Valor],tblPesosValorOperativo[Trazabilidad],0),0)</f>
        <v>1</v>
      </c>
      <c r="N150" s="14">
        <f>IFERROR(_xlfn.XLOOKUP(VLOOKUP(tblEnlaces[[#This Row],[Canal]],tblCanales[#All],7,FALSE),tblPesosValorOperativo[Valor],tblPesosValorOperativo[Velocidad],0),0)</f>
        <v>5</v>
      </c>
      <c r="O150" s="14">
        <f>IFERROR(_xlfn.XLOOKUP(VLOOKUP(tblEnlaces[[#This Row],[Canal]],tblCanales[#All],8,FALSE),tblPesosValorOperativo[Valor],tblPesosValorOperativo[Escalabilidad],0),0)</f>
        <v>0</v>
      </c>
      <c r="P150" s="53">
        <f>tblEnlaces[[#This Row],[Opacidad]]+tblEnlaces[[#This Row],[Escalabilidad]]+tblEnlaces[[#This Row],[Velocidad]]+tblEnlaces[[#This Row],[Trazabilidad]]</f>
        <v>9</v>
      </c>
    </row>
    <row r="151" spans="2:16" ht="16.5" customHeight="1" x14ac:dyDescent="0.25">
      <c r="B151" s="66" t="str">
        <f t="array" ref="B15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E043</v>
      </c>
      <c r="C151" s="10" t="s">
        <v>63</v>
      </c>
      <c r="D151" s="10" t="str">
        <f>VLOOKUP(tblEnlaces[[#This Row],[Nodo Inicial]],tblNodos[],2,FALSE)</f>
        <v>Intermediarios de pago digital (PSP /FinTech)</v>
      </c>
      <c r="E151" s="39" t="s">
        <v>83</v>
      </c>
      <c r="F151" s="10" t="str">
        <f>VLOOKUP(tblEnlaces[[#This Row],[Nodo Final]],tblNodos[],2,FALSE)</f>
        <v>Coordinación de la red y soporte estratégico</v>
      </c>
      <c r="G151" s="39" t="s">
        <v>288</v>
      </c>
      <c r="H151" s="39">
        <v>1</v>
      </c>
      <c r="I151" s="53">
        <f>IFERROR(_xlfn.XLOOKUP(VLOOKUP(tblEnlaces[[#This Row],[Canal]],tblCanales[#All],2,FALSE),tblPesosValorOperativo[Valor],tblPesosValorOperativo[Frecuencia de Uso],0),0)</f>
        <v>3</v>
      </c>
      <c r="J151" s="63">
        <f>IF(tblEnlaces[[#This Row],[Activo]]&lt;&gt;1,0,IFERROR(tblEnlaces[[#This Row],[Frecuencia de Uso]]/SUMIFS(tblEnlaces[Frecuencia de Uso],tblEnlaces[Enlace],tblEnlaces[[#This Row],[Enlace]],tblEnlaces[Activo],1),0))</f>
        <v>0.10344827586206896</v>
      </c>
      <c r="K151" s="62">
        <f>IFERROR(_xlfn.XLOOKUP(VLOOKUP(tblEnlaces[[#This Row],[Canal]],tblCanales[#All],3,FALSE),tblPesosCoste[Valor],tblPesosCoste[Peso],0),0)</f>
        <v>5</v>
      </c>
      <c r="L151" s="10">
        <f>IFERROR(_xlfn.XLOOKUP(VLOOKUP(tblEnlaces[[#This Row],[Canal]],tblCanales[#All],5,FALSE),tblPesosValorOperativo[Valor],tblPesosValorOperativo[Opacidad],0),0)</f>
        <v>3</v>
      </c>
      <c r="M151" s="14">
        <f>IFERROR(_xlfn.XLOOKUP(VLOOKUP(tblEnlaces[[#This Row],[Canal]],tblCanales[#All],6,FALSE),tblPesosValorOperativo[Valor],tblPesosValorOperativo[Trazabilidad],0),0)</f>
        <v>1</v>
      </c>
      <c r="N151" s="14">
        <f>IFERROR(_xlfn.XLOOKUP(VLOOKUP(tblEnlaces[[#This Row],[Canal]],tblCanales[#All],7,FALSE),tblPesosValorOperativo[Valor],tblPesosValorOperativo[Velocidad],0),0)</f>
        <v>5</v>
      </c>
      <c r="O151" s="14">
        <f>IFERROR(_xlfn.XLOOKUP(VLOOKUP(tblEnlaces[[#This Row],[Canal]],tblCanales[#All],8,FALSE),tblPesosValorOperativo[Valor],tblPesosValorOperativo[Escalabilidad],0),0)</f>
        <v>0</v>
      </c>
      <c r="P151" s="53">
        <f>tblEnlaces[[#This Row],[Opacidad]]+tblEnlaces[[#This Row],[Escalabilidad]]+tblEnlaces[[#This Row],[Velocidad]]+tblEnlaces[[#This Row],[Trazabilidad]]</f>
        <v>9</v>
      </c>
    </row>
    <row r="152" spans="2:16" ht="16.5" customHeight="1" x14ac:dyDescent="0.25">
      <c r="B152" s="66" t="str">
        <f t="array" ref="B15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E043</v>
      </c>
      <c r="C152" s="10" t="s">
        <v>63</v>
      </c>
      <c r="D152" s="10" t="str">
        <f>VLOOKUP(tblEnlaces[[#This Row],[Nodo Inicial]],tblNodos[],2,FALSE)</f>
        <v>Intermediarios de pago digital (PSP /FinTech)</v>
      </c>
      <c r="E152" s="39" t="s">
        <v>83</v>
      </c>
      <c r="F152" s="10" t="str">
        <f>VLOOKUP(tblEnlaces[[#This Row],[Nodo Final]],tblNodos[],2,FALSE)</f>
        <v>Coordinación de la red y soporte estratégico</v>
      </c>
      <c r="G152" s="39" t="s">
        <v>252</v>
      </c>
      <c r="H152" s="39">
        <v>1</v>
      </c>
      <c r="I152" s="53">
        <f>IFERROR(_xlfn.XLOOKUP(VLOOKUP(tblEnlaces[[#This Row],[Canal]],tblCanales[#All],2,FALSE),tblPesosValorOperativo[Valor],tblPesosValorOperativo[Frecuencia de Uso],0),0)</f>
        <v>4</v>
      </c>
      <c r="J152" s="63">
        <f>IF(tblEnlaces[[#This Row],[Activo]]&lt;&gt;1,0,IFERROR(tblEnlaces[[#This Row],[Frecuencia de Uso]]/SUMIFS(tblEnlaces[Frecuencia de Uso],tblEnlaces[Enlace],tblEnlaces[[#This Row],[Enlace]],tblEnlaces[Activo],1),0))</f>
        <v>0.13793103448275862</v>
      </c>
      <c r="K152" s="62">
        <f>IFERROR(_xlfn.XLOOKUP(VLOOKUP(tblEnlaces[[#This Row],[Canal]],tblCanales[#All],3,FALSE),tblPesosCoste[Valor],tblPesosCoste[Peso],0),0)</f>
        <v>5</v>
      </c>
      <c r="L152" s="10">
        <f>IFERROR(_xlfn.XLOOKUP(VLOOKUP(tblEnlaces[[#This Row],[Canal]],tblCanales[#All],5,FALSE),tblPesosValorOperativo[Valor],tblPesosValorOperativo[Opacidad],0),0)</f>
        <v>3</v>
      </c>
      <c r="M152" s="14">
        <f>IFERROR(_xlfn.XLOOKUP(VLOOKUP(tblEnlaces[[#This Row],[Canal]],tblCanales[#All],6,FALSE),tblPesosValorOperativo[Valor],tblPesosValorOperativo[Trazabilidad],0),0)</f>
        <v>1</v>
      </c>
      <c r="N152" s="14">
        <f>IFERROR(_xlfn.XLOOKUP(VLOOKUP(tblEnlaces[[#This Row],[Canal]],tblCanales[#All],7,FALSE),tblPesosValorOperativo[Valor],tblPesosValorOperativo[Velocidad],0),0)</f>
        <v>5</v>
      </c>
      <c r="O152" s="14">
        <f>IFERROR(_xlfn.XLOOKUP(VLOOKUP(tblEnlaces[[#This Row],[Canal]],tblCanales[#All],8,FALSE),tblPesosValorOperativo[Valor],tblPesosValorOperativo[Escalabilidad],0),0)</f>
        <v>0</v>
      </c>
      <c r="P152" s="53">
        <f>tblEnlaces[[#This Row],[Opacidad]]+tblEnlaces[[#This Row],[Escalabilidad]]+tblEnlaces[[#This Row],[Velocidad]]+tblEnlaces[[#This Row],[Trazabilidad]]</f>
        <v>9</v>
      </c>
    </row>
    <row r="153" spans="2:16" ht="16.5" customHeight="1" x14ac:dyDescent="0.25">
      <c r="B153" s="66" t="str">
        <f t="array" ref="B15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E043</v>
      </c>
      <c r="C153" s="10" t="s">
        <v>63</v>
      </c>
      <c r="D153" s="10" t="str">
        <f>VLOOKUP(tblEnlaces[[#This Row],[Nodo Inicial]],tblNodos[],2,FALSE)</f>
        <v>Intermediarios de pago digital (PSP /FinTech)</v>
      </c>
      <c r="E153" s="39" t="s">
        <v>83</v>
      </c>
      <c r="F153" s="10" t="str">
        <f>VLOOKUP(tblEnlaces[[#This Row],[Nodo Final]],tblNodos[],2,FALSE)</f>
        <v>Coordinación de la red y soporte estratégico</v>
      </c>
      <c r="G153" s="39" t="s">
        <v>186</v>
      </c>
      <c r="H153" s="39">
        <v>1</v>
      </c>
      <c r="I153" s="53">
        <f>IFERROR(_xlfn.XLOOKUP(VLOOKUP(tblEnlaces[[#This Row],[Canal]],tblCanales[#All],2,FALSE),tblPesosValorOperativo[Valor],tblPesosValorOperativo[Frecuencia de Uso],0),0)</f>
        <v>4</v>
      </c>
      <c r="J153" s="63">
        <f>IF(tblEnlaces[[#This Row],[Activo]]&lt;&gt;1,0,IFERROR(tblEnlaces[[#This Row],[Frecuencia de Uso]]/SUMIFS(tblEnlaces[Frecuencia de Uso],tblEnlaces[Enlace],tblEnlaces[[#This Row],[Enlace]],tblEnlaces[Activo],1),0))</f>
        <v>0.13793103448275862</v>
      </c>
      <c r="K153" s="62">
        <f>IFERROR(_xlfn.XLOOKUP(VLOOKUP(tblEnlaces[[#This Row],[Canal]],tblCanales[#All],3,FALSE),tblPesosCoste[Valor],tblPesosCoste[Peso],0),0)</f>
        <v>5</v>
      </c>
      <c r="L153" s="10">
        <f>IFERROR(_xlfn.XLOOKUP(VLOOKUP(tblEnlaces[[#This Row],[Canal]],tblCanales[#All],5,FALSE),tblPesosValorOperativo[Valor],tblPesosValorOperativo[Opacidad],0),0)</f>
        <v>2</v>
      </c>
      <c r="M153" s="14">
        <f>IFERROR(_xlfn.XLOOKUP(VLOOKUP(tblEnlaces[[#This Row],[Canal]],tblCanales[#All],6,FALSE),tblPesosValorOperativo[Valor],tblPesosValorOperativo[Trazabilidad],0),0)</f>
        <v>1</v>
      </c>
      <c r="N153" s="14">
        <f>IFERROR(_xlfn.XLOOKUP(VLOOKUP(tblEnlaces[[#This Row],[Canal]],tblCanales[#All],7,FALSE),tblPesosValorOperativo[Valor],tblPesosValorOperativo[Velocidad],0),0)</f>
        <v>5</v>
      </c>
      <c r="O153" s="14">
        <f>IFERROR(_xlfn.XLOOKUP(VLOOKUP(tblEnlaces[[#This Row],[Canal]],tblCanales[#All],8,FALSE),tblPesosValorOperativo[Valor],tblPesosValorOperativo[Escalabilidad],0),0)</f>
        <v>0</v>
      </c>
      <c r="P153" s="53">
        <f>tblEnlaces[[#This Row],[Opacidad]]+tblEnlaces[[#This Row],[Escalabilidad]]+tblEnlaces[[#This Row],[Velocidad]]+tblEnlaces[[#This Row],[Trazabilidad]]</f>
        <v>8</v>
      </c>
    </row>
    <row r="154" spans="2:16" ht="16.5" customHeight="1" x14ac:dyDescent="0.25">
      <c r="B154" s="66" t="str">
        <f t="array" ref="B15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E043</v>
      </c>
      <c r="C154" s="10" t="s">
        <v>63</v>
      </c>
      <c r="D154" s="10" t="str">
        <f>VLOOKUP(tblEnlaces[[#This Row],[Nodo Inicial]],tblNodos[],2,FALSE)</f>
        <v>Intermediarios de pago digital (PSP /FinTech)</v>
      </c>
      <c r="E154" s="39" t="s">
        <v>83</v>
      </c>
      <c r="F154" s="10" t="str">
        <f>VLOOKUP(tblEnlaces[[#This Row],[Nodo Final]],tblNodos[],2,FALSE)</f>
        <v>Coordinación de la red y soporte estratégico</v>
      </c>
      <c r="G154" s="39" t="s">
        <v>192</v>
      </c>
      <c r="H154" s="39">
        <v>1</v>
      </c>
      <c r="I154" s="53">
        <f>IFERROR(_xlfn.XLOOKUP(VLOOKUP(tblEnlaces[[#This Row],[Canal]],tblCanales[#All],2,FALSE),tblPesosValorOperativo[Valor],tblPesosValorOperativo[Frecuencia de Uso],0),0)</f>
        <v>3</v>
      </c>
      <c r="J154" s="63">
        <f>IF(tblEnlaces[[#This Row],[Activo]]&lt;&gt;1,0,IFERROR(tblEnlaces[[#This Row],[Frecuencia de Uso]]/SUMIFS(tblEnlaces[Frecuencia de Uso],tblEnlaces[Enlace],tblEnlaces[[#This Row],[Enlace]],tblEnlaces[Activo],1),0))</f>
        <v>0.10344827586206896</v>
      </c>
      <c r="K154" s="62">
        <f>IFERROR(_xlfn.XLOOKUP(VLOOKUP(tblEnlaces[[#This Row],[Canal]],tblCanales[#All],3,FALSE),tblPesosCoste[Valor],tblPesosCoste[Peso],0),0)</f>
        <v>5</v>
      </c>
      <c r="L154" s="10">
        <f>IFERROR(_xlfn.XLOOKUP(VLOOKUP(tblEnlaces[[#This Row],[Canal]],tblCanales[#All],5,FALSE),tblPesosValorOperativo[Valor],tblPesosValorOperativo[Opacidad],0),0)</f>
        <v>3</v>
      </c>
      <c r="M154" s="14">
        <f>IFERROR(_xlfn.XLOOKUP(VLOOKUP(tblEnlaces[[#This Row],[Canal]],tblCanales[#All],6,FALSE),tblPesosValorOperativo[Valor],tblPesosValorOperativo[Trazabilidad],0),0)</f>
        <v>1</v>
      </c>
      <c r="N154" s="14">
        <f>IFERROR(_xlfn.XLOOKUP(VLOOKUP(tblEnlaces[[#This Row],[Canal]],tblCanales[#All],7,FALSE),tblPesosValorOperativo[Valor],tblPesosValorOperativo[Velocidad],0),0)</f>
        <v>5</v>
      </c>
      <c r="O154" s="14">
        <f>IFERROR(_xlfn.XLOOKUP(VLOOKUP(tblEnlaces[[#This Row],[Canal]],tblCanales[#All],8,FALSE),tblPesosValorOperativo[Valor],tblPesosValorOperativo[Escalabilidad],0),0)</f>
        <v>0</v>
      </c>
      <c r="P154" s="53">
        <f>tblEnlaces[[#This Row],[Opacidad]]+tblEnlaces[[#This Row],[Escalabilidad]]+tblEnlaces[[#This Row],[Velocidad]]+tblEnlaces[[#This Row],[Trazabilidad]]</f>
        <v>9</v>
      </c>
    </row>
    <row r="155" spans="2:16" ht="16.5" customHeight="1" x14ac:dyDescent="0.25">
      <c r="B155" s="66" t="str">
        <f t="array" ref="B15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E043</v>
      </c>
      <c r="C155" s="10" t="s">
        <v>63</v>
      </c>
      <c r="D155" s="10" t="str">
        <f>VLOOKUP(tblEnlaces[[#This Row],[Nodo Inicial]],tblNodos[],2,FALSE)</f>
        <v>Intermediarios de pago digital (PSP /FinTech)</v>
      </c>
      <c r="E155" s="39" t="s">
        <v>83</v>
      </c>
      <c r="F155" s="10" t="str">
        <f>VLOOKUP(tblEnlaces[[#This Row],[Nodo Final]],tblNodos[],2,FALSE)</f>
        <v>Coordinación de la red y soporte estratégico</v>
      </c>
      <c r="G155" s="39" t="s">
        <v>222</v>
      </c>
      <c r="H155" s="39">
        <v>1</v>
      </c>
      <c r="I155" s="53">
        <f>IFERROR(_xlfn.XLOOKUP(VLOOKUP(tblEnlaces[[#This Row],[Canal]],tblCanales[#All],2,FALSE),tblPesosValorOperativo[Valor],tblPesosValorOperativo[Frecuencia de Uso],0),0)</f>
        <v>4</v>
      </c>
      <c r="J155" s="63">
        <f>IF(tblEnlaces[[#This Row],[Activo]]&lt;&gt;1,0,IFERROR(tblEnlaces[[#This Row],[Frecuencia de Uso]]/SUMIFS(tblEnlaces[Frecuencia de Uso],tblEnlaces[Enlace],tblEnlaces[[#This Row],[Enlace]],tblEnlaces[Activo],1),0))</f>
        <v>0.13793103448275862</v>
      </c>
      <c r="K155" s="62">
        <f>IFERROR(_xlfn.XLOOKUP(VLOOKUP(tblEnlaces[[#This Row],[Canal]],tblCanales[#All],3,FALSE),tblPesosCoste[Valor],tblPesosCoste[Peso],0),0)</f>
        <v>5</v>
      </c>
      <c r="L155" s="10">
        <f>IFERROR(_xlfn.XLOOKUP(VLOOKUP(tblEnlaces[[#This Row],[Canal]],tblCanales[#All],5,FALSE),tblPesosValorOperativo[Valor],tblPesosValorOperativo[Opacidad],0),0)</f>
        <v>3</v>
      </c>
      <c r="M155" s="14">
        <f>IFERROR(_xlfn.XLOOKUP(VLOOKUP(tblEnlaces[[#This Row],[Canal]],tblCanales[#All],6,FALSE),tblPesosValorOperativo[Valor],tblPesosValorOperativo[Trazabilidad],0),0)</f>
        <v>1</v>
      </c>
      <c r="N155" s="14">
        <f>IFERROR(_xlfn.XLOOKUP(VLOOKUP(tblEnlaces[[#This Row],[Canal]],tblCanales[#All],7,FALSE),tblPesosValorOperativo[Valor],tblPesosValorOperativo[Velocidad],0),0)</f>
        <v>5</v>
      </c>
      <c r="O155" s="14">
        <f>IFERROR(_xlfn.XLOOKUP(VLOOKUP(tblEnlaces[[#This Row],[Canal]],tblCanales[#All],8,FALSE),tblPesosValorOperativo[Valor],tblPesosValorOperativo[Escalabilidad],0),0)</f>
        <v>0</v>
      </c>
      <c r="P155" s="53">
        <f>tblEnlaces[[#This Row],[Opacidad]]+tblEnlaces[[#This Row],[Escalabilidad]]+tblEnlaces[[#This Row],[Velocidad]]+tblEnlaces[[#This Row],[Trazabilidad]]</f>
        <v>9</v>
      </c>
    </row>
    <row r="156" spans="2:16" ht="16.5" customHeight="1" x14ac:dyDescent="0.25">
      <c r="B156" s="66" t="str">
        <f t="array" ref="B15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E043</v>
      </c>
      <c r="C156" s="10" t="s">
        <v>63</v>
      </c>
      <c r="D156" s="10" t="str">
        <f>VLOOKUP(tblEnlaces[[#This Row],[Nodo Inicial]],tblNodos[],2,FALSE)</f>
        <v>Intermediarios de pago digital (PSP /FinTech)</v>
      </c>
      <c r="E156" s="39" t="s">
        <v>83</v>
      </c>
      <c r="F156" s="10" t="str">
        <f>VLOOKUP(tblEnlaces[[#This Row],[Nodo Final]],tblNodos[],2,FALSE)</f>
        <v>Coordinación de la red y soporte estratégico</v>
      </c>
      <c r="G156" s="39" t="s">
        <v>288</v>
      </c>
      <c r="H156" s="39">
        <v>1</v>
      </c>
      <c r="I156" s="53">
        <f>IFERROR(_xlfn.XLOOKUP(VLOOKUP(tblEnlaces[[#This Row],[Canal]],tblCanales[#All],2,FALSE),tblPesosValorOperativo[Valor],tblPesosValorOperativo[Frecuencia de Uso],0),0)</f>
        <v>3</v>
      </c>
      <c r="J156" s="63">
        <f>IF(tblEnlaces[[#This Row],[Activo]]&lt;&gt;1,0,IFERROR(tblEnlaces[[#This Row],[Frecuencia de Uso]]/SUMIFS(tblEnlaces[Frecuencia de Uso],tblEnlaces[Enlace],tblEnlaces[[#This Row],[Enlace]],tblEnlaces[Activo],1),0))</f>
        <v>0.10344827586206896</v>
      </c>
      <c r="K156" s="62">
        <f>IFERROR(_xlfn.XLOOKUP(VLOOKUP(tblEnlaces[[#This Row],[Canal]],tblCanales[#All],3,FALSE),tblPesosCoste[Valor],tblPesosCoste[Peso],0),0)</f>
        <v>5</v>
      </c>
      <c r="L156" s="10">
        <f>IFERROR(_xlfn.XLOOKUP(VLOOKUP(tblEnlaces[[#This Row],[Canal]],tblCanales[#All],5,FALSE),tblPesosValorOperativo[Valor],tblPesosValorOperativo[Opacidad],0),0)</f>
        <v>3</v>
      </c>
      <c r="M156" s="14">
        <f>IFERROR(_xlfn.XLOOKUP(VLOOKUP(tblEnlaces[[#This Row],[Canal]],tblCanales[#All],6,FALSE),tblPesosValorOperativo[Valor],tblPesosValorOperativo[Trazabilidad],0),0)</f>
        <v>1</v>
      </c>
      <c r="N156" s="14">
        <f>IFERROR(_xlfn.XLOOKUP(VLOOKUP(tblEnlaces[[#This Row],[Canal]],tblCanales[#All],7,FALSE),tblPesosValorOperativo[Valor],tblPesosValorOperativo[Velocidad],0),0)</f>
        <v>5</v>
      </c>
      <c r="O156" s="14">
        <f>IFERROR(_xlfn.XLOOKUP(VLOOKUP(tblEnlaces[[#This Row],[Canal]],tblCanales[#All],8,FALSE),tblPesosValorOperativo[Valor],tblPesosValorOperativo[Escalabilidad],0),0)</f>
        <v>0</v>
      </c>
      <c r="P156" s="53">
        <f>tblEnlaces[[#This Row],[Opacidad]]+tblEnlaces[[#This Row],[Escalabilidad]]+tblEnlaces[[#This Row],[Velocidad]]+tblEnlaces[[#This Row],[Trazabilidad]]</f>
        <v>9</v>
      </c>
    </row>
    <row r="157" spans="2:16" ht="16.5" customHeight="1" x14ac:dyDescent="0.25">
      <c r="B157" s="66" t="str">
        <f t="array" ref="B15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E043</v>
      </c>
      <c r="C157" s="10" t="s">
        <v>63</v>
      </c>
      <c r="D157" s="10" t="str">
        <f>VLOOKUP(tblEnlaces[[#This Row],[Nodo Inicial]],tblNodos[],2,FALSE)</f>
        <v>Intermediarios de pago digital (PSP /FinTech)</v>
      </c>
      <c r="E157" s="39" t="s">
        <v>83</v>
      </c>
      <c r="F157" s="10" t="str">
        <f>VLOOKUP(tblEnlaces[[#This Row],[Nodo Final]],tblNodos[],2,FALSE)</f>
        <v>Coordinación de la red y soporte estratégico</v>
      </c>
      <c r="G157" s="39" t="s">
        <v>252</v>
      </c>
      <c r="H157" s="39">
        <v>1</v>
      </c>
      <c r="I157" s="53">
        <f>IFERROR(_xlfn.XLOOKUP(VLOOKUP(tblEnlaces[[#This Row],[Canal]],tblCanales[#All],2,FALSE),tblPesosValorOperativo[Valor],tblPesosValorOperativo[Frecuencia de Uso],0),0)</f>
        <v>4</v>
      </c>
      <c r="J157" s="63">
        <f>IF(tblEnlaces[[#This Row],[Activo]]&lt;&gt;1,0,IFERROR(tblEnlaces[[#This Row],[Frecuencia de Uso]]/SUMIFS(tblEnlaces[Frecuencia de Uso],tblEnlaces[Enlace],tblEnlaces[[#This Row],[Enlace]],tblEnlaces[Activo],1),0))</f>
        <v>0.13793103448275862</v>
      </c>
      <c r="K157" s="62">
        <f>IFERROR(_xlfn.XLOOKUP(VLOOKUP(tblEnlaces[[#This Row],[Canal]],tblCanales[#All],3,FALSE),tblPesosCoste[Valor],tblPesosCoste[Peso],0),0)</f>
        <v>5</v>
      </c>
      <c r="L157" s="10">
        <f>IFERROR(_xlfn.XLOOKUP(VLOOKUP(tblEnlaces[[#This Row],[Canal]],tblCanales[#All],5,FALSE),tblPesosValorOperativo[Valor],tblPesosValorOperativo[Opacidad],0),0)</f>
        <v>3</v>
      </c>
      <c r="M157" s="14">
        <f>IFERROR(_xlfn.XLOOKUP(VLOOKUP(tblEnlaces[[#This Row],[Canal]],tblCanales[#All],6,FALSE),tblPesosValorOperativo[Valor],tblPesosValorOperativo[Trazabilidad],0),0)</f>
        <v>1</v>
      </c>
      <c r="N157" s="14">
        <f>IFERROR(_xlfn.XLOOKUP(VLOOKUP(tblEnlaces[[#This Row],[Canal]],tblCanales[#All],7,FALSE),tblPesosValorOperativo[Valor],tblPesosValorOperativo[Velocidad],0),0)</f>
        <v>5</v>
      </c>
      <c r="O157" s="14">
        <f>IFERROR(_xlfn.XLOOKUP(VLOOKUP(tblEnlaces[[#This Row],[Canal]],tblCanales[#All],8,FALSE),tblPesosValorOperativo[Valor],tblPesosValorOperativo[Escalabilidad],0),0)</f>
        <v>0</v>
      </c>
      <c r="P157" s="53">
        <f>tblEnlaces[[#This Row],[Opacidad]]+tblEnlaces[[#This Row],[Escalabilidad]]+tblEnlaces[[#This Row],[Velocidad]]+tblEnlaces[[#This Row],[Trazabilidad]]</f>
        <v>9</v>
      </c>
    </row>
    <row r="158" spans="2:16" ht="16.5" customHeight="1" x14ac:dyDescent="0.25">
      <c r="B158" s="66" t="str">
        <f t="array" ref="B15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E044</v>
      </c>
      <c r="C158" s="10" t="s">
        <v>65</v>
      </c>
      <c r="D158" s="10" t="str">
        <f>VLOOKUP(tblEnlaces[[#This Row],[Nodo Inicial]],tblNodos[],2,FALSE)</f>
        <v>Intermediarios de activos virtuales y conversión</v>
      </c>
      <c r="E158" s="39" t="s">
        <v>81</v>
      </c>
      <c r="F158" s="10" t="str">
        <f>VLOOKUP(tblEnlaces[[#This Row],[Nodo Final]],tblNodos[],2,FALSE)</f>
        <v>Custodia y conversión</v>
      </c>
      <c r="G158" s="39" t="s">
        <v>174</v>
      </c>
      <c r="H158" s="39">
        <v>1</v>
      </c>
      <c r="I158" s="53">
        <f>IFERROR(_xlfn.XLOOKUP(VLOOKUP(tblEnlaces[[#This Row],[Canal]],tblCanales[#All],2,FALSE),tblPesosValorOperativo[Valor],tblPesosValorOperativo[Frecuencia de Uso],0),0)</f>
        <v>3</v>
      </c>
      <c r="J158" s="63">
        <f>IF(tblEnlaces[[#This Row],[Activo]]&lt;&gt;1,0,IFERROR(tblEnlaces[[#This Row],[Frecuencia de Uso]]/SUMIFS(tblEnlaces[Frecuencia de Uso],tblEnlaces[Enlace],tblEnlaces[[#This Row],[Enlace]],tblEnlaces[Activo],1),0))</f>
        <v>0.21428571428571427</v>
      </c>
      <c r="K158" s="62">
        <f>IFERROR(_xlfn.XLOOKUP(VLOOKUP(tblEnlaces[[#This Row],[Canal]],tblCanales[#All],3,FALSE),tblPesosCoste[Valor],tblPesosCoste[Peso],0),0)</f>
        <v>5</v>
      </c>
      <c r="L158" s="10">
        <f>IFERROR(_xlfn.XLOOKUP(VLOOKUP(tblEnlaces[[#This Row],[Canal]],tblCanales[#All],5,FALSE),tblPesosValorOperativo[Valor],tblPesosValorOperativo[Opacidad],0),0)</f>
        <v>3</v>
      </c>
      <c r="M158" s="14">
        <f>IFERROR(_xlfn.XLOOKUP(VLOOKUP(tblEnlaces[[#This Row],[Canal]],tblCanales[#All],6,FALSE),tblPesosValorOperativo[Valor],tblPesosValorOperativo[Trazabilidad],0),0)</f>
        <v>1</v>
      </c>
      <c r="N158" s="14">
        <f>IFERROR(_xlfn.XLOOKUP(VLOOKUP(tblEnlaces[[#This Row],[Canal]],tblCanales[#All],7,FALSE),tblPesosValorOperativo[Valor],tblPesosValorOperativo[Velocidad],0),0)</f>
        <v>5</v>
      </c>
      <c r="O158" s="14">
        <f>IFERROR(_xlfn.XLOOKUP(VLOOKUP(tblEnlaces[[#This Row],[Canal]],tblCanales[#All],8,FALSE),tblPesosValorOperativo[Valor],tblPesosValorOperativo[Escalabilidad],0),0)</f>
        <v>0</v>
      </c>
      <c r="P158" s="53">
        <f>tblEnlaces[[#This Row],[Opacidad]]+tblEnlaces[[#This Row],[Escalabilidad]]+tblEnlaces[[#This Row],[Velocidad]]+tblEnlaces[[#This Row],[Trazabilidad]]</f>
        <v>9</v>
      </c>
    </row>
    <row r="159" spans="2:16" ht="16.5" customHeight="1" x14ac:dyDescent="0.25">
      <c r="B159" s="66" t="str">
        <f t="array" ref="B15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E044</v>
      </c>
      <c r="C159" s="10" t="s">
        <v>65</v>
      </c>
      <c r="D159" s="10" t="str">
        <f>VLOOKUP(tblEnlaces[[#This Row],[Nodo Inicial]],tblNodos[],2,FALSE)</f>
        <v>Intermediarios de activos virtuales y conversión</v>
      </c>
      <c r="E159" s="39" t="s">
        <v>81</v>
      </c>
      <c r="F159" s="10" t="str">
        <f>VLOOKUP(tblEnlaces[[#This Row],[Nodo Final]],tblNodos[],2,FALSE)</f>
        <v>Custodia y conversión</v>
      </c>
      <c r="G159" s="39" t="s">
        <v>168</v>
      </c>
      <c r="H159" s="39">
        <v>1</v>
      </c>
      <c r="I159" s="53">
        <f>IFERROR(_xlfn.XLOOKUP(VLOOKUP(tblEnlaces[[#This Row],[Canal]],tblCanales[#All],2,FALSE),tblPesosValorOperativo[Valor],tblPesosValorOperativo[Frecuencia de Uso],0),0)</f>
        <v>2</v>
      </c>
      <c r="J159" s="63">
        <f>IF(tblEnlaces[[#This Row],[Activo]]&lt;&gt;1,0,IFERROR(tblEnlaces[[#This Row],[Frecuencia de Uso]]/SUMIFS(tblEnlaces[Frecuencia de Uso],tblEnlaces[Enlace],tblEnlaces[[#This Row],[Enlace]],tblEnlaces[Activo],1),0))</f>
        <v>0.14285714285714285</v>
      </c>
      <c r="K159" s="62">
        <f>IFERROR(_xlfn.XLOOKUP(VLOOKUP(tblEnlaces[[#This Row],[Canal]],tblCanales[#All],3,FALSE),tblPesosCoste[Valor],tblPesosCoste[Peso],0),0)</f>
        <v>4</v>
      </c>
      <c r="L159" s="10">
        <f>IFERROR(_xlfn.XLOOKUP(VLOOKUP(tblEnlaces[[#This Row],[Canal]],tblCanales[#All],5,FALSE),tblPesosValorOperativo[Valor],tblPesosValorOperativo[Opacidad],0),0)</f>
        <v>4</v>
      </c>
      <c r="M159" s="14">
        <f>IFERROR(_xlfn.XLOOKUP(VLOOKUP(tblEnlaces[[#This Row],[Canal]],tblCanales[#All],6,FALSE),tblPesosValorOperativo[Valor],tblPesosValorOperativo[Trazabilidad],0),0)</f>
        <v>1</v>
      </c>
      <c r="N159" s="14">
        <f>IFERROR(_xlfn.XLOOKUP(VLOOKUP(tblEnlaces[[#This Row],[Canal]],tblCanales[#All],7,FALSE),tblPesosValorOperativo[Valor],tblPesosValorOperativo[Velocidad],0),0)</f>
        <v>5</v>
      </c>
      <c r="O159" s="14">
        <f>IFERROR(_xlfn.XLOOKUP(VLOOKUP(tblEnlaces[[#This Row],[Canal]],tblCanales[#All],8,FALSE),tblPesosValorOperativo[Valor],tblPesosValorOperativo[Escalabilidad],0),0)</f>
        <v>0</v>
      </c>
      <c r="P159" s="53">
        <f>tblEnlaces[[#This Row],[Opacidad]]+tblEnlaces[[#This Row],[Escalabilidad]]+tblEnlaces[[#This Row],[Velocidad]]+tblEnlaces[[#This Row],[Trazabilidad]]</f>
        <v>10</v>
      </c>
    </row>
    <row r="160" spans="2:16" ht="16.5" customHeight="1" x14ac:dyDescent="0.25">
      <c r="B160" s="66" t="str">
        <f t="array" ref="B16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E044</v>
      </c>
      <c r="C160" s="10" t="s">
        <v>65</v>
      </c>
      <c r="D160" s="10" t="str">
        <f>VLOOKUP(tblEnlaces[[#This Row],[Nodo Inicial]],tblNodos[],2,FALSE)</f>
        <v>Intermediarios de activos virtuales y conversión</v>
      </c>
      <c r="E160" s="39" t="s">
        <v>81</v>
      </c>
      <c r="F160" s="10" t="str">
        <f>VLOOKUP(tblEnlaces[[#This Row],[Nodo Final]],tblNodos[],2,FALSE)</f>
        <v>Custodia y conversión</v>
      </c>
      <c r="G160" s="39" t="s">
        <v>270</v>
      </c>
      <c r="H160" s="39">
        <v>1</v>
      </c>
      <c r="I160" s="53">
        <f>IFERROR(_xlfn.XLOOKUP(VLOOKUP(tblEnlaces[[#This Row],[Canal]],tblCanales[#All],2,FALSE),tblPesosValorOperativo[Valor],tblPesosValorOperativo[Frecuencia de Uso],0),0)</f>
        <v>4</v>
      </c>
      <c r="J160" s="63">
        <f>IF(tblEnlaces[[#This Row],[Activo]]&lt;&gt;1,0,IFERROR(tblEnlaces[[#This Row],[Frecuencia de Uso]]/SUMIFS(tblEnlaces[Frecuencia de Uso],tblEnlaces[Enlace],tblEnlaces[[#This Row],[Enlace]],tblEnlaces[Activo],1),0))</f>
        <v>0.2857142857142857</v>
      </c>
      <c r="K160" s="62">
        <f>IFERROR(_xlfn.XLOOKUP(VLOOKUP(tblEnlaces[[#This Row],[Canal]],tblCanales[#All],3,FALSE),tblPesosCoste[Valor],tblPesosCoste[Peso],0),0)</f>
        <v>3</v>
      </c>
      <c r="L160" s="10">
        <f>IFERROR(_xlfn.XLOOKUP(VLOOKUP(tblEnlaces[[#This Row],[Canal]],tblCanales[#All],5,FALSE),tblPesosValorOperativo[Valor],tblPesosValorOperativo[Opacidad],0),0)</f>
        <v>4</v>
      </c>
      <c r="M160" s="14">
        <f>IFERROR(_xlfn.XLOOKUP(VLOOKUP(tblEnlaces[[#This Row],[Canal]],tblCanales[#All],6,FALSE),tblPesosValorOperativo[Valor],tblPesosValorOperativo[Trazabilidad],0),0)</f>
        <v>2</v>
      </c>
      <c r="N160" s="14">
        <f>IFERROR(_xlfn.XLOOKUP(VLOOKUP(tblEnlaces[[#This Row],[Canal]],tblCanales[#All],7,FALSE),tblPesosValorOperativo[Valor],tblPesosValorOperativo[Velocidad],0),0)</f>
        <v>5</v>
      </c>
      <c r="O160" s="14">
        <f>IFERROR(_xlfn.XLOOKUP(VLOOKUP(tblEnlaces[[#This Row],[Canal]],tblCanales[#All],8,FALSE),tblPesosValorOperativo[Valor],tblPesosValorOperativo[Escalabilidad],0),0)</f>
        <v>0</v>
      </c>
      <c r="P160" s="53">
        <f>tblEnlaces[[#This Row],[Opacidad]]+tblEnlaces[[#This Row],[Escalabilidad]]+tblEnlaces[[#This Row],[Velocidad]]+tblEnlaces[[#This Row],[Trazabilidad]]</f>
        <v>11</v>
      </c>
    </row>
    <row r="161" spans="2:16" ht="16.5" customHeight="1" x14ac:dyDescent="0.25">
      <c r="B161" s="66" t="str">
        <f t="array" ref="B16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E044</v>
      </c>
      <c r="C161" s="10" t="s">
        <v>65</v>
      </c>
      <c r="D161" s="10" t="str">
        <f>VLOOKUP(tblEnlaces[[#This Row],[Nodo Inicial]],tblNodos[],2,FALSE)</f>
        <v>Intermediarios de activos virtuales y conversión</v>
      </c>
      <c r="E161" s="39" t="s">
        <v>81</v>
      </c>
      <c r="F161" s="10" t="str">
        <f>VLOOKUP(tblEnlaces[[#This Row],[Nodo Final]],tblNodos[],2,FALSE)</f>
        <v>Custodia y conversión</v>
      </c>
      <c r="G161" s="39" t="s">
        <v>300</v>
      </c>
      <c r="H161" s="39">
        <v>1</v>
      </c>
      <c r="I161" s="53">
        <f>IFERROR(_xlfn.XLOOKUP(VLOOKUP(tblEnlaces[[#This Row],[Canal]],tblCanales[#All],2,FALSE),tblPesosValorOperativo[Valor],tblPesosValorOperativo[Frecuencia de Uso],0),0)</f>
        <v>3</v>
      </c>
      <c r="J161" s="63">
        <f>IF(tblEnlaces[[#This Row],[Activo]]&lt;&gt;1,0,IFERROR(tblEnlaces[[#This Row],[Frecuencia de Uso]]/SUMIFS(tblEnlaces[Frecuencia de Uso],tblEnlaces[Enlace],tblEnlaces[[#This Row],[Enlace]],tblEnlaces[Activo],1),0))</f>
        <v>0.21428571428571427</v>
      </c>
      <c r="K161" s="62">
        <f>IFERROR(_xlfn.XLOOKUP(VLOOKUP(tblEnlaces[[#This Row],[Canal]],tblCanales[#All],3,FALSE),tblPesosCoste[Valor],tblPesosCoste[Peso],0),0)</f>
        <v>5</v>
      </c>
      <c r="L161" s="10">
        <f>IFERROR(_xlfn.XLOOKUP(VLOOKUP(tblEnlaces[[#This Row],[Canal]],tblCanales[#All],5,FALSE),tblPesosValorOperativo[Valor],tblPesosValorOperativo[Opacidad],0),0)</f>
        <v>2</v>
      </c>
      <c r="M161" s="14">
        <f>IFERROR(_xlfn.XLOOKUP(VLOOKUP(tblEnlaces[[#This Row],[Canal]],tblCanales[#All],6,FALSE),tblPesosValorOperativo[Valor],tblPesosValorOperativo[Trazabilidad],0),0)</f>
        <v>1</v>
      </c>
      <c r="N161" s="14">
        <f>IFERROR(_xlfn.XLOOKUP(VLOOKUP(tblEnlaces[[#This Row],[Canal]],tblCanales[#All],7,FALSE),tblPesosValorOperativo[Valor],tblPesosValorOperativo[Velocidad],0),0)</f>
        <v>5</v>
      </c>
      <c r="O161" s="14">
        <f>IFERROR(_xlfn.XLOOKUP(VLOOKUP(tblEnlaces[[#This Row],[Canal]],tblCanales[#All],8,FALSE),tblPesosValorOperativo[Valor],tblPesosValorOperativo[Escalabilidad],0),0)</f>
        <v>0</v>
      </c>
      <c r="P161" s="53">
        <f>tblEnlaces[[#This Row],[Opacidad]]+tblEnlaces[[#This Row],[Escalabilidad]]+tblEnlaces[[#This Row],[Velocidad]]+tblEnlaces[[#This Row],[Trazabilidad]]</f>
        <v>8</v>
      </c>
    </row>
    <row r="162" spans="2:16" ht="16.5" customHeight="1" x14ac:dyDescent="0.25">
      <c r="B162" s="66" t="str">
        <f t="array" ref="B16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E044</v>
      </c>
      <c r="C162" s="10" t="s">
        <v>65</v>
      </c>
      <c r="D162" s="10" t="str">
        <f>VLOOKUP(tblEnlaces[[#This Row],[Nodo Inicial]],tblNodos[],2,FALSE)</f>
        <v>Intermediarios de activos virtuales y conversión</v>
      </c>
      <c r="E162" s="39" t="s">
        <v>81</v>
      </c>
      <c r="F162" s="10" t="str">
        <f>VLOOKUP(tblEnlaces[[#This Row],[Nodo Final]],tblNodos[],2,FALSE)</f>
        <v>Custodia y conversión</v>
      </c>
      <c r="G162" s="39" t="s">
        <v>258</v>
      </c>
      <c r="H162" s="39">
        <v>1</v>
      </c>
      <c r="I162" s="53">
        <f>IFERROR(_xlfn.XLOOKUP(VLOOKUP(tblEnlaces[[#This Row],[Canal]],tblCanales[#All],2,FALSE),tblPesosValorOperativo[Valor],tblPesosValorOperativo[Frecuencia de Uso],0),0)</f>
        <v>2</v>
      </c>
      <c r="J162" s="63">
        <f>IF(tblEnlaces[[#This Row],[Activo]]&lt;&gt;1,0,IFERROR(tblEnlaces[[#This Row],[Frecuencia de Uso]]/SUMIFS(tblEnlaces[Frecuencia de Uso],tblEnlaces[Enlace],tblEnlaces[[#This Row],[Enlace]],tblEnlaces[Activo],1),0))</f>
        <v>0.14285714285714285</v>
      </c>
      <c r="K162" s="62">
        <f>IFERROR(_xlfn.XLOOKUP(VLOOKUP(tblEnlaces[[#This Row],[Canal]],tblCanales[#All],3,FALSE),tblPesosCoste[Valor],tblPesosCoste[Peso],0),0)</f>
        <v>3</v>
      </c>
      <c r="L162" s="10">
        <f>IFERROR(_xlfn.XLOOKUP(VLOOKUP(tblEnlaces[[#This Row],[Canal]],tblCanales[#All],5,FALSE),tblPesosValorOperativo[Valor],tblPesosValorOperativo[Opacidad],0),0)</f>
        <v>1</v>
      </c>
      <c r="M162" s="14">
        <f>IFERROR(_xlfn.XLOOKUP(VLOOKUP(tblEnlaces[[#This Row],[Canal]],tblCanales[#All],6,FALSE),tblPesosValorOperativo[Valor],tblPesosValorOperativo[Trazabilidad],0),0)</f>
        <v>2</v>
      </c>
      <c r="N162" s="14">
        <f>IFERROR(_xlfn.XLOOKUP(VLOOKUP(tblEnlaces[[#This Row],[Canal]],tblCanales[#All],7,FALSE),tblPesosValorOperativo[Valor],tblPesosValorOperativo[Velocidad],0),0)</f>
        <v>5</v>
      </c>
      <c r="O162" s="14">
        <f>IFERROR(_xlfn.XLOOKUP(VLOOKUP(tblEnlaces[[#This Row],[Canal]],tblCanales[#All],8,FALSE),tblPesosValorOperativo[Valor],tblPesosValorOperativo[Escalabilidad],0),0)</f>
        <v>0</v>
      </c>
      <c r="P162" s="53">
        <f>tblEnlaces[[#This Row],[Opacidad]]+tblEnlaces[[#This Row],[Escalabilidad]]+tblEnlaces[[#This Row],[Velocidad]]+tblEnlaces[[#This Row],[Trazabilidad]]</f>
        <v>8</v>
      </c>
    </row>
    <row r="163" spans="2:16" ht="16.5" customHeight="1" x14ac:dyDescent="0.25">
      <c r="B163" s="66" t="str">
        <f t="array" ref="B16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E045</v>
      </c>
      <c r="C163" s="10" t="s">
        <v>65</v>
      </c>
      <c r="D163" s="10" t="str">
        <f>VLOOKUP(tblEnlaces[[#This Row],[Nodo Inicial]],tblNodos[],2,FALSE)</f>
        <v>Intermediarios de activos virtuales y conversión</v>
      </c>
      <c r="E163" s="39" t="s">
        <v>83</v>
      </c>
      <c r="F163" s="10" t="str">
        <f>VLOOKUP(tblEnlaces[[#This Row],[Nodo Final]],tblNodos[],2,FALSE)</f>
        <v>Coordinación de la red y soporte estratégico</v>
      </c>
      <c r="G163" s="39" t="s">
        <v>168</v>
      </c>
      <c r="H163" s="39">
        <v>1</v>
      </c>
      <c r="I163" s="53">
        <f>IFERROR(_xlfn.XLOOKUP(VLOOKUP(tblEnlaces[[#This Row],[Canal]],tblCanales[#All],2,FALSE),tblPesosValorOperativo[Valor],tblPesosValorOperativo[Frecuencia de Uso],0),0)</f>
        <v>2</v>
      </c>
      <c r="J163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163" s="62">
        <f>IFERROR(_xlfn.XLOOKUP(VLOOKUP(tblEnlaces[[#This Row],[Canal]],tblCanales[#All],3,FALSE),tblPesosCoste[Valor],tblPesosCoste[Peso],0),0)</f>
        <v>4</v>
      </c>
      <c r="L163" s="10">
        <f>IFERROR(_xlfn.XLOOKUP(VLOOKUP(tblEnlaces[[#This Row],[Canal]],tblCanales[#All],5,FALSE),tblPesosValorOperativo[Valor],tblPesosValorOperativo[Opacidad],0),0)</f>
        <v>4</v>
      </c>
      <c r="M163" s="14">
        <f>IFERROR(_xlfn.XLOOKUP(VLOOKUP(tblEnlaces[[#This Row],[Canal]],tblCanales[#All],6,FALSE),tblPesosValorOperativo[Valor],tblPesosValorOperativo[Trazabilidad],0),0)</f>
        <v>1</v>
      </c>
      <c r="N163" s="14">
        <f>IFERROR(_xlfn.XLOOKUP(VLOOKUP(tblEnlaces[[#This Row],[Canal]],tblCanales[#All],7,FALSE),tblPesosValorOperativo[Valor],tblPesosValorOperativo[Velocidad],0),0)</f>
        <v>5</v>
      </c>
      <c r="O163" s="14">
        <f>IFERROR(_xlfn.XLOOKUP(VLOOKUP(tblEnlaces[[#This Row],[Canal]],tblCanales[#All],8,FALSE),tblPesosValorOperativo[Valor],tblPesosValorOperativo[Escalabilidad],0),0)</f>
        <v>0</v>
      </c>
      <c r="P163" s="53">
        <f>tblEnlaces[[#This Row],[Opacidad]]+tblEnlaces[[#This Row],[Escalabilidad]]+tblEnlaces[[#This Row],[Velocidad]]+tblEnlaces[[#This Row],[Trazabilidad]]</f>
        <v>10</v>
      </c>
    </row>
    <row r="164" spans="2:16" ht="16.5" customHeight="1" x14ac:dyDescent="0.25">
      <c r="B164" s="66" t="str">
        <f t="array" ref="B16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E045</v>
      </c>
      <c r="C164" s="10" t="s">
        <v>65</v>
      </c>
      <c r="D164" s="10" t="str">
        <f>VLOOKUP(tblEnlaces[[#This Row],[Nodo Inicial]],tblNodos[],2,FALSE)</f>
        <v>Intermediarios de activos virtuales y conversión</v>
      </c>
      <c r="E164" s="39" t="s">
        <v>83</v>
      </c>
      <c r="F164" s="10" t="str">
        <f>VLOOKUP(tblEnlaces[[#This Row],[Nodo Final]],tblNodos[],2,FALSE)</f>
        <v>Coordinación de la red y soporte estratégico</v>
      </c>
      <c r="G164" s="39" t="s">
        <v>174</v>
      </c>
      <c r="H164" s="39">
        <v>1</v>
      </c>
      <c r="I164" s="53">
        <f>IFERROR(_xlfn.XLOOKUP(VLOOKUP(tblEnlaces[[#This Row],[Canal]],tblCanales[#All],2,FALSE),tblPesosValorOperativo[Valor],tblPesosValorOperativo[Frecuencia de Uso],0),0)</f>
        <v>3</v>
      </c>
      <c r="J164" s="63">
        <f>IF(tblEnlaces[[#This Row],[Activo]]&lt;&gt;1,0,IFERROR(tblEnlaces[[#This Row],[Frecuencia de Uso]]/SUMIFS(tblEnlaces[Frecuencia de Uso],tblEnlaces[Enlace],tblEnlaces[[#This Row],[Enlace]],tblEnlaces[Activo],1),0))</f>
        <v>0.3</v>
      </c>
      <c r="K164" s="62">
        <f>IFERROR(_xlfn.XLOOKUP(VLOOKUP(tblEnlaces[[#This Row],[Canal]],tblCanales[#All],3,FALSE),tblPesosCoste[Valor],tblPesosCoste[Peso],0),0)</f>
        <v>5</v>
      </c>
      <c r="L164" s="10">
        <f>IFERROR(_xlfn.XLOOKUP(VLOOKUP(tblEnlaces[[#This Row],[Canal]],tblCanales[#All],5,FALSE),tblPesosValorOperativo[Valor],tblPesosValorOperativo[Opacidad],0),0)</f>
        <v>3</v>
      </c>
      <c r="M164" s="14">
        <f>IFERROR(_xlfn.XLOOKUP(VLOOKUP(tblEnlaces[[#This Row],[Canal]],tblCanales[#All],6,FALSE),tblPesosValorOperativo[Valor],tblPesosValorOperativo[Trazabilidad],0),0)</f>
        <v>1</v>
      </c>
      <c r="N164" s="14">
        <f>IFERROR(_xlfn.XLOOKUP(VLOOKUP(tblEnlaces[[#This Row],[Canal]],tblCanales[#All],7,FALSE),tblPesosValorOperativo[Valor],tblPesosValorOperativo[Velocidad],0),0)</f>
        <v>5</v>
      </c>
      <c r="O164" s="14">
        <f>IFERROR(_xlfn.XLOOKUP(VLOOKUP(tblEnlaces[[#This Row],[Canal]],tblCanales[#All],8,FALSE),tblPesosValorOperativo[Valor],tblPesosValorOperativo[Escalabilidad],0),0)</f>
        <v>0</v>
      </c>
      <c r="P164" s="53">
        <f>tblEnlaces[[#This Row],[Opacidad]]+tblEnlaces[[#This Row],[Escalabilidad]]+tblEnlaces[[#This Row],[Velocidad]]+tblEnlaces[[#This Row],[Trazabilidad]]</f>
        <v>9</v>
      </c>
    </row>
    <row r="165" spans="2:16" ht="16.5" customHeight="1" x14ac:dyDescent="0.25">
      <c r="B165" s="66" t="str">
        <f t="array" ref="B16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E045</v>
      </c>
      <c r="C165" s="10" t="s">
        <v>65</v>
      </c>
      <c r="D165" s="10" t="str">
        <f>VLOOKUP(tblEnlaces[[#This Row],[Nodo Inicial]],tblNodos[],2,FALSE)</f>
        <v>Intermediarios de activos virtuales y conversión</v>
      </c>
      <c r="E165" s="39" t="s">
        <v>83</v>
      </c>
      <c r="F165" s="10" t="str">
        <f>VLOOKUP(tblEnlaces[[#This Row],[Nodo Final]],tblNodos[],2,FALSE)</f>
        <v>Coordinación de la red y soporte estratégico</v>
      </c>
      <c r="G165" s="39" t="s">
        <v>300</v>
      </c>
      <c r="H165" s="39">
        <v>1</v>
      </c>
      <c r="I165" s="53">
        <f>IFERROR(_xlfn.XLOOKUP(VLOOKUP(tblEnlaces[[#This Row],[Canal]],tblCanales[#All],2,FALSE),tblPesosValorOperativo[Valor],tblPesosValorOperativo[Frecuencia de Uso],0),0)</f>
        <v>3</v>
      </c>
      <c r="J165" s="63">
        <f>IF(tblEnlaces[[#This Row],[Activo]]&lt;&gt;1,0,IFERROR(tblEnlaces[[#This Row],[Frecuencia de Uso]]/SUMIFS(tblEnlaces[Frecuencia de Uso],tblEnlaces[Enlace],tblEnlaces[[#This Row],[Enlace]],tblEnlaces[Activo],1),0))</f>
        <v>0.3</v>
      </c>
      <c r="K165" s="62">
        <f>IFERROR(_xlfn.XLOOKUP(VLOOKUP(tblEnlaces[[#This Row],[Canal]],tblCanales[#All],3,FALSE),tblPesosCoste[Valor],tblPesosCoste[Peso],0),0)</f>
        <v>5</v>
      </c>
      <c r="L165" s="10">
        <f>IFERROR(_xlfn.XLOOKUP(VLOOKUP(tblEnlaces[[#This Row],[Canal]],tblCanales[#All],5,FALSE),tblPesosValorOperativo[Valor],tblPesosValorOperativo[Opacidad],0),0)</f>
        <v>2</v>
      </c>
      <c r="M165" s="14">
        <f>IFERROR(_xlfn.XLOOKUP(VLOOKUP(tblEnlaces[[#This Row],[Canal]],tblCanales[#All],6,FALSE),tblPesosValorOperativo[Valor],tblPesosValorOperativo[Trazabilidad],0),0)</f>
        <v>1</v>
      </c>
      <c r="N165" s="14">
        <f>IFERROR(_xlfn.XLOOKUP(VLOOKUP(tblEnlaces[[#This Row],[Canal]],tblCanales[#All],7,FALSE),tblPesosValorOperativo[Valor],tblPesosValorOperativo[Velocidad],0),0)</f>
        <v>5</v>
      </c>
      <c r="O165" s="14">
        <f>IFERROR(_xlfn.XLOOKUP(VLOOKUP(tblEnlaces[[#This Row],[Canal]],tblCanales[#All],8,FALSE),tblPesosValorOperativo[Valor],tblPesosValorOperativo[Escalabilidad],0),0)</f>
        <v>0</v>
      </c>
      <c r="P165" s="53">
        <f>tblEnlaces[[#This Row],[Opacidad]]+tblEnlaces[[#This Row],[Escalabilidad]]+tblEnlaces[[#This Row],[Velocidad]]+tblEnlaces[[#This Row],[Trazabilidad]]</f>
        <v>8</v>
      </c>
    </row>
    <row r="166" spans="2:16" ht="16.5" customHeight="1" x14ac:dyDescent="0.25">
      <c r="B166" s="66" t="str">
        <f t="array" ref="B16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E045</v>
      </c>
      <c r="C166" s="10" t="s">
        <v>65</v>
      </c>
      <c r="D166" s="10" t="str">
        <f>VLOOKUP(tblEnlaces[[#This Row],[Nodo Inicial]],tblNodos[],2,FALSE)</f>
        <v>Intermediarios de activos virtuales y conversión</v>
      </c>
      <c r="E166" s="39" t="s">
        <v>83</v>
      </c>
      <c r="F166" s="10" t="str">
        <f>VLOOKUP(tblEnlaces[[#This Row],[Nodo Final]],tblNodos[],2,FALSE)</f>
        <v>Coordinación de la red y soporte estratégico</v>
      </c>
      <c r="G166" s="39" t="s">
        <v>258</v>
      </c>
      <c r="H166" s="39">
        <v>1</v>
      </c>
      <c r="I166" s="53">
        <f>IFERROR(_xlfn.XLOOKUP(VLOOKUP(tblEnlaces[[#This Row],[Canal]],tblCanales[#All],2,FALSE),tblPesosValorOperativo[Valor],tblPesosValorOperativo[Frecuencia de Uso],0),0)</f>
        <v>2</v>
      </c>
      <c r="J166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166" s="62">
        <f>IFERROR(_xlfn.XLOOKUP(VLOOKUP(tblEnlaces[[#This Row],[Canal]],tblCanales[#All],3,FALSE),tblPesosCoste[Valor],tblPesosCoste[Peso],0),0)</f>
        <v>3</v>
      </c>
      <c r="L166" s="10">
        <f>IFERROR(_xlfn.XLOOKUP(VLOOKUP(tblEnlaces[[#This Row],[Canal]],tblCanales[#All],5,FALSE),tblPesosValorOperativo[Valor],tblPesosValorOperativo[Opacidad],0),0)</f>
        <v>1</v>
      </c>
      <c r="M166" s="14">
        <f>IFERROR(_xlfn.XLOOKUP(VLOOKUP(tblEnlaces[[#This Row],[Canal]],tblCanales[#All],6,FALSE),tblPesosValorOperativo[Valor],tblPesosValorOperativo[Trazabilidad],0),0)</f>
        <v>2</v>
      </c>
      <c r="N166" s="14">
        <f>IFERROR(_xlfn.XLOOKUP(VLOOKUP(tblEnlaces[[#This Row],[Canal]],tblCanales[#All],7,FALSE),tblPesosValorOperativo[Valor],tblPesosValorOperativo[Velocidad],0),0)</f>
        <v>5</v>
      </c>
      <c r="O166" s="14">
        <f>IFERROR(_xlfn.XLOOKUP(VLOOKUP(tblEnlaces[[#This Row],[Canal]],tblCanales[#All],8,FALSE),tblPesosValorOperativo[Valor],tblPesosValorOperativo[Escalabilidad],0),0)</f>
        <v>0</v>
      </c>
      <c r="P166" s="53">
        <f>tblEnlaces[[#This Row],[Opacidad]]+tblEnlaces[[#This Row],[Escalabilidad]]+tblEnlaces[[#This Row],[Velocidad]]+tblEnlaces[[#This Row],[Trazabilidad]]</f>
        <v>8</v>
      </c>
    </row>
    <row r="167" spans="2:16" ht="16.5" customHeight="1" x14ac:dyDescent="0.25">
      <c r="B167" s="66" t="str">
        <f t="array" ref="B16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E046</v>
      </c>
      <c r="C167" s="10" t="s">
        <v>67</v>
      </c>
      <c r="D167" s="10" t="str">
        <f>VLOOKUP(tblEnlaces[[#This Row],[Nodo Inicial]],tblNodos[],2,FALSE)</f>
        <v>Intermediarios comerciales y transaccionales</v>
      </c>
      <c r="E167" s="39" t="s">
        <v>81</v>
      </c>
      <c r="F167" s="10" t="str">
        <f>VLOOKUP(tblEnlaces[[#This Row],[Nodo Final]],tblNodos[],2,FALSE)</f>
        <v>Custodia y conversión</v>
      </c>
      <c r="G167" s="39" t="s">
        <v>390</v>
      </c>
      <c r="H167" s="39">
        <v>1</v>
      </c>
      <c r="I167" s="53">
        <f>IFERROR(_xlfn.XLOOKUP(VLOOKUP(tblEnlaces[[#This Row],[Canal]],tblCanales[#All],2,FALSE),tblPesosValorOperativo[Valor],tblPesosValorOperativo[Frecuencia de Uso],0),0)</f>
        <v>2</v>
      </c>
      <c r="J167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167" s="62">
        <f>IFERROR(_xlfn.XLOOKUP(VLOOKUP(tblEnlaces[[#This Row],[Canal]],tblCanales[#All],3,FALSE),tblPesosCoste[Valor],tblPesosCoste[Peso],0),0)</f>
        <v>4</v>
      </c>
      <c r="L167" s="10">
        <f>IFERROR(_xlfn.XLOOKUP(VLOOKUP(tblEnlaces[[#This Row],[Canal]],tblCanales[#All],5,FALSE),tblPesosValorOperativo[Valor],tblPesosValorOperativo[Opacidad],0),0)</f>
        <v>3</v>
      </c>
      <c r="M167" s="14">
        <f>IFERROR(_xlfn.XLOOKUP(VLOOKUP(tblEnlaces[[#This Row],[Canal]],tblCanales[#All],6,FALSE),tblPesosValorOperativo[Valor],tblPesosValorOperativo[Trazabilidad],0),0)</f>
        <v>3</v>
      </c>
      <c r="N167" s="14">
        <f>IFERROR(_xlfn.XLOOKUP(VLOOKUP(tblEnlaces[[#This Row],[Canal]],tblCanales[#All],7,FALSE),tblPesosValorOperativo[Valor],tblPesosValorOperativo[Velocidad],0),0)</f>
        <v>4</v>
      </c>
      <c r="O167" s="14">
        <f>IFERROR(_xlfn.XLOOKUP(VLOOKUP(tblEnlaces[[#This Row],[Canal]],tblCanales[#All],8,FALSE),tblPesosValorOperativo[Valor],tblPesosValorOperativo[Escalabilidad],0),0)</f>
        <v>0</v>
      </c>
      <c r="P167" s="53">
        <f>tblEnlaces[[#This Row],[Opacidad]]+tblEnlaces[[#This Row],[Escalabilidad]]+tblEnlaces[[#This Row],[Velocidad]]+tblEnlaces[[#This Row],[Trazabilidad]]</f>
        <v>10</v>
      </c>
    </row>
    <row r="168" spans="2:16" ht="16.5" customHeight="1" x14ac:dyDescent="0.25">
      <c r="B168" s="66" t="str">
        <f t="array" ref="B16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E046</v>
      </c>
      <c r="C168" s="10" t="s">
        <v>67</v>
      </c>
      <c r="D168" s="10" t="str">
        <f>VLOOKUP(tblEnlaces[[#This Row],[Nodo Inicial]],tblNodos[],2,FALSE)</f>
        <v>Intermediarios comerciales y transaccionales</v>
      </c>
      <c r="E168" s="39" t="s">
        <v>81</v>
      </c>
      <c r="F168" s="10" t="str">
        <f>VLOOKUP(tblEnlaces[[#This Row],[Nodo Final]],tblNodos[],2,FALSE)</f>
        <v>Custodia y conversión</v>
      </c>
      <c r="G168" s="39" t="s">
        <v>396</v>
      </c>
      <c r="H168" s="39">
        <v>1</v>
      </c>
      <c r="I168" s="53">
        <f>IFERROR(_xlfn.XLOOKUP(VLOOKUP(tblEnlaces[[#This Row],[Canal]],tblCanales[#All],2,FALSE),tblPesosValorOperativo[Valor],tblPesosValorOperativo[Frecuencia de Uso],0),0)</f>
        <v>2</v>
      </c>
      <c r="J168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168" s="62">
        <f>IFERROR(_xlfn.XLOOKUP(VLOOKUP(tblEnlaces[[#This Row],[Canal]],tblCanales[#All],3,FALSE),tblPesosCoste[Valor],tblPesosCoste[Peso],0),0)</f>
        <v>4</v>
      </c>
      <c r="L168" s="10">
        <f>IFERROR(_xlfn.XLOOKUP(VLOOKUP(tblEnlaces[[#This Row],[Canal]],tblCanales[#All],5,FALSE),tblPesosValorOperativo[Valor],tblPesosValorOperativo[Opacidad],0),0)</f>
        <v>4</v>
      </c>
      <c r="M168" s="14">
        <f>IFERROR(_xlfn.XLOOKUP(VLOOKUP(tblEnlaces[[#This Row],[Canal]],tblCanales[#All],6,FALSE),tblPesosValorOperativo[Valor],tblPesosValorOperativo[Trazabilidad],0),0)</f>
        <v>1</v>
      </c>
      <c r="N168" s="14">
        <f>IFERROR(_xlfn.XLOOKUP(VLOOKUP(tblEnlaces[[#This Row],[Canal]],tblCanales[#All],7,FALSE),tblPesosValorOperativo[Valor],tblPesosValorOperativo[Velocidad],0),0)</f>
        <v>3</v>
      </c>
      <c r="O168" s="14">
        <f>IFERROR(_xlfn.XLOOKUP(VLOOKUP(tblEnlaces[[#This Row],[Canal]],tblCanales[#All],8,FALSE),tblPesosValorOperativo[Valor],tblPesosValorOperativo[Escalabilidad],0),0)</f>
        <v>0</v>
      </c>
      <c r="P168" s="53">
        <f>tblEnlaces[[#This Row],[Opacidad]]+tblEnlaces[[#This Row],[Escalabilidad]]+tblEnlaces[[#This Row],[Velocidad]]+tblEnlaces[[#This Row],[Trazabilidad]]</f>
        <v>8</v>
      </c>
    </row>
    <row r="169" spans="2:16" ht="16.5" customHeight="1" x14ac:dyDescent="0.25">
      <c r="B169" s="66" t="str">
        <f t="array" ref="B16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E046</v>
      </c>
      <c r="C169" s="10" t="s">
        <v>67</v>
      </c>
      <c r="D169" s="10" t="str">
        <f>VLOOKUP(tblEnlaces[[#This Row],[Nodo Inicial]],tblNodos[],2,FALSE)</f>
        <v>Intermediarios comerciales y transaccionales</v>
      </c>
      <c r="E169" s="39" t="s">
        <v>81</v>
      </c>
      <c r="F169" s="10" t="str">
        <f>VLOOKUP(tblEnlaces[[#This Row],[Nodo Final]],tblNodos[],2,FALSE)</f>
        <v>Custodia y conversión</v>
      </c>
      <c r="G169" s="39" t="s">
        <v>402</v>
      </c>
      <c r="H169" s="39">
        <v>1</v>
      </c>
      <c r="I169" s="53">
        <f>IFERROR(_xlfn.XLOOKUP(VLOOKUP(tblEnlaces[[#This Row],[Canal]],tblCanales[#All],2,FALSE),tblPesosValorOperativo[Valor],tblPesosValorOperativo[Frecuencia de Uso],0),0)</f>
        <v>2</v>
      </c>
      <c r="J169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169" s="62">
        <f>IFERROR(_xlfn.XLOOKUP(VLOOKUP(tblEnlaces[[#This Row],[Canal]],tblCanales[#All],3,FALSE),tblPesosCoste[Valor],tblPesosCoste[Peso],0),0)</f>
        <v>3</v>
      </c>
      <c r="L169" s="10">
        <f>IFERROR(_xlfn.XLOOKUP(VLOOKUP(tblEnlaces[[#This Row],[Canal]],tblCanales[#All],5,FALSE),tblPesosValorOperativo[Valor],tblPesosValorOperativo[Opacidad],0),0)</f>
        <v>2</v>
      </c>
      <c r="M169" s="14">
        <f>IFERROR(_xlfn.XLOOKUP(VLOOKUP(tblEnlaces[[#This Row],[Canal]],tblCanales[#All],6,FALSE),tblPesosValorOperativo[Valor],tblPesosValorOperativo[Trazabilidad],0),0)</f>
        <v>3</v>
      </c>
      <c r="N169" s="14">
        <f>IFERROR(_xlfn.XLOOKUP(VLOOKUP(tblEnlaces[[#This Row],[Canal]],tblCanales[#All],7,FALSE),tblPesosValorOperativo[Valor],tblPesosValorOperativo[Velocidad],0),0)</f>
        <v>5</v>
      </c>
      <c r="O169" s="14">
        <f>IFERROR(_xlfn.XLOOKUP(VLOOKUP(tblEnlaces[[#This Row],[Canal]],tblCanales[#All],8,FALSE),tblPesosValorOperativo[Valor],tblPesosValorOperativo[Escalabilidad],0),0)</f>
        <v>0</v>
      </c>
      <c r="P169" s="53">
        <f>tblEnlaces[[#This Row],[Opacidad]]+tblEnlaces[[#This Row],[Escalabilidad]]+tblEnlaces[[#This Row],[Velocidad]]+tblEnlaces[[#This Row],[Trazabilidad]]</f>
        <v>10</v>
      </c>
    </row>
    <row r="170" spans="2:16" ht="16.5" customHeight="1" x14ac:dyDescent="0.25">
      <c r="B170" s="66" t="str">
        <f t="array" ref="B17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E047</v>
      </c>
      <c r="C170" s="10" t="s">
        <v>67</v>
      </c>
      <c r="D170" s="10" t="str">
        <f>VLOOKUP(tblEnlaces[[#This Row],[Nodo Inicial]],tblNodos[],2,FALSE)</f>
        <v>Intermediarios comerciales y transaccionales</v>
      </c>
      <c r="E170" s="39" t="s">
        <v>79</v>
      </c>
      <c r="F170" s="10" t="str">
        <f>VLOOKUP(tblEnlaces[[#This Row],[Nodo Final]],tblNodos[],2,FALSE)</f>
        <v>Gestión operativa descentralizada</v>
      </c>
      <c r="G170" s="39" t="s">
        <v>444</v>
      </c>
      <c r="H170" s="39">
        <v>1</v>
      </c>
      <c r="I170" s="53">
        <f>IFERROR(_xlfn.XLOOKUP(VLOOKUP(tblEnlaces[[#This Row],[Canal]],tblCanales[#All],2,FALSE),tblPesosValorOperativo[Valor],tblPesosValorOperativo[Frecuencia de Uso],0),0)</f>
        <v>1</v>
      </c>
      <c r="J170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170" s="62">
        <f>IFERROR(_xlfn.XLOOKUP(VLOOKUP(tblEnlaces[[#This Row],[Canal]],tblCanales[#All],3,FALSE),tblPesosCoste[Valor],tblPesosCoste[Peso],0),0)</f>
        <v>2</v>
      </c>
      <c r="L170" s="10">
        <f>IFERROR(_xlfn.XLOOKUP(VLOOKUP(tblEnlaces[[#This Row],[Canal]],tblCanales[#All],5,FALSE),tblPesosValorOperativo[Valor],tblPesosValorOperativo[Opacidad],0),0)</f>
        <v>2</v>
      </c>
      <c r="M170" s="14">
        <f>IFERROR(_xlfn.XLOOKUP(VLOOKUP(tblEnlaces[[#This Row],[Canal]],tblCanales[#All],6,FALSE),tblPesosValorOperativo[Valor],tblPesosValorOperativo[Trazabilidad],0),0)</f>
        <v>1</v>
      </c>
      <c r="N170" s="14">
        <f>IFERROR(_xlfn.XLOOKUP(VLOOKUP(tblEnlaces[[#This Row],[Canal]],tblCanales[#All],7,FALSE),tblPesosValorOperativo[Valor],tblPesosValorOperativo[Velocidad],0),0)</f>
        <v>2</v>
      </c>
      <c r="O170" s="14">
        <f>IFERROR(_xlfn.XLOOKUP(VLOOKUP(tblEnlaces[[#This Row],[Canal]],tblCanales[#All],8,FALSE),tblPesosValorOperativo[Valor],tblPesosValorOperativo[Escalabilidad],0),0)</f>
        <v>0</v>
      </c>
      <c r="P170" s="53">
        <f>tblEnlaces[[#This Row],[Opacidad]]+tblEnlaces[[#This Row],[Escalabilidad]]+tblEnlaces[[#This Row],[Velocidad]]+tblEnlaces[[#This Row],[Trazabilidad]]</f>
        <v>5</v>
      </c>
    </row>
    <row r="171" spans="2:16" ht="16.5" customHeight="1" x14ac:dyDescent="0.25">
      <c r="B171" s="66" t="str">
        <f t="array" ref="B17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E047</v>
      </c>
      <c r="C171" s="10" t="s">
        <v>67</v>
      </c>
      <c r="D171" s="10" t="str">
        <f>VLOOKUP(tblEnlaces[[#This Row],[Nodo Inicial]],tblNodos[],2,FALSE)</f>
        <v>Intermediarios comerciales y transaccionales</v>
      </c>
      <c r="E171" s="39" t="s">
        <v>79</v>
      </c>
      <c r="F171" s="10" t="str">
        <f>VLOOKUP(tblEnlaces[[#This Row],[Nodo Final]],tblNodos[],2,FALSE)</f>
        <v>Gestión operativa descentralizada</v>
      </c>
      <c r="G171" s="39" t="s">
        <v>450</v>
      </c>
      <c r="H171" s="39">
        <v>1</v>
      </c>
      <c r="I171" s="53">
        <f>IFERROR(_xlfn.XLOOKUP(VLOOKUP(tblEnlaces[[#This Row],[Canal]],tblCanales[#All],2,FALSE),tblPesosValorOperativo[Valor],tblPesosValorOperativo[Frecuencia de Uso],0),0)</f>
        <v>1</v>
      </c>
      <c r="J171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171" s="62">
        <f>IFERROR(_xlfn.XLOOKUP(VLOOKUP(tblEnlaces[[#This Row],[Canal]],tblCanales[#All],3,FALSE),tblPesosCoste[Valor],tblPesosCoste[Peso],0),0)</f>
        <v>3</v>
      </c>
      <c r="L171" s="10">
        <f>IFERROR(_xlfn.XLOOKUP(VLOOKUP(tblEnlaces[[#This Row],[Canal]],tblCanales[#All],5,FALSE),tblPesosValorOperativo[Valor],tblPesosValorOperativo[Opacidad],0),0)</f>
        <v>2</v>
      </c>
      <c r="M171" s="14">
        <f>IFERROR(_xlfn.XLOOKUP(VLOOKUP(tblEnlaces[[#This Row],[Canal]],tblCanales[#All],6,FALSE),tblPesosValorOperativo[Valor],tblPesosValorOperativo[Trazabilidad],0),0)</f>
        <v>1</v>
      </c>
      <c r="N171" s="14">
        <f>IFERROR(_xlfn.XLOOKUP(VLOOKUP(tblEnlaces[[#This Row],[Canal]],tblCanales[#All],7,FALSE),tblPesosValorOperativo[Valor],tblPesosValorOperativo[Velocidad],0),0)</f>
        <v>2</v>
      </c>
      <c r="O171" s="14">
        <f>IFERROR(_xlfn.XLOOKUP(VLOOKUP(tblEnlaces[[#This Row],[Canal]],tblCanales[#All],8,FALSE),tblPesosValorOperativo[Valor],tblPesosValorOperativo[Escalabilidad],0),0)</f>
        <v>0</v>
      </c>
      <c r="P171" s="53">
        <f>tblEnlaces[[#This Row],[Opacidad]]+tblEnlaces[[#This Row],[Escalabilidad]]+tblEnlaces[[#This Row],[Velocidad]]+tblEnlaces[[#This Row],[Trazabilidad]]</f>
        <v>5</v>
      </c>
    </row>
    <row r="172" spans="2:16" ht="16.5" customHeight="1" x14ac:dyDescent="0.25">
      <c r="B172" s="66" t="str">
        <f t="array" ref="B17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E047</v>
      </c>
      <c r="C172" s="10" t="s">
        <v>67</v>
      </c>
      <c r="D172" s="10" t="str">
        <f>VLOOKUP(tblEnlaces[[#This Row],[Nodo Inicial]],tblNodos[],2,FALSE)</f>
        <v>Intermediarios comerciales y transaccionales</v>
      </c>
      <c r="E172" s="39" t="s">
        <v>79</v>
      </c>
      <c r="F172" s="10" t="str">
        <f>VLOOKUP(tblEnlaces[[#This Row],[Nodo Final]],tblNodos[],2,FALSE)</f>
        <v>Gestión operativa descentralizada</v>
      </c>
      <c r="G172" s="39" t="s">
        <v>456</v>
      </c>
      <c r="H172" s="39">
        <v>1</v>
      </c>
      <c r="I172" s="53">
        <f>IFERROR(_xlfn.XLOOKUP(VLOOKUP(tblEnlaces[[#This Row],[Canal]],tblCanales[#All],2,FALSE),tblPesosValorOperativo[Valor],tblPesosValorOperativo[Frecuencia de Uso],0),0)</f>
        <v>1</v>
      </c>
      <c r="J172" s="63">
        <f>IF(tblEnlaces[[#This Row],[Activo]]&lt;&gt;1,0,IFERROR(tblEnlaces[[#This Row],[Frecuencia de Uso]]/SUMIFS(tblEnlaces[Frecuencia de Uso],tblEnlaces[Enlace],tblEnlaces[[#This Row],[Enlace]],tblEnlaces[Activo],1),0))</f>
        <v>0.33333333333333331</v>
      </c>
      <c r="K172" s="62">
        <f>IFERROR(_xlfn.XLOOKUP(VLOOKUP(tblEnlaces[[#This Row],[Canal]],tblCanales[#All],3,FALSE),tblPesosCoste[Valor],tblPesosCoste[Peso],0),0)</f>
        <v>1</v>
      </c>
      <c r="L172" s="10">
        <f>IFERROR(_xlfn.XLOOKUP(VLOOKUP(tblEnlaces[[#This Row],[Canal]],tblCanales[#All],5,FALSE),tblPesosValorOperativo[Valor],tblPesosValorOperativo[Opacidad],0),0)</f>
        <v>3</v>
      </c>
      <c r="M172" s="14">
        <f>IFERROR(_xlfn.XLOOKUP(VLOOKUP(tblEnlaces[[#This Row],[Canal]],tblCanales[#All],6,FALSE),tblPesosValorOperativo[Valor],tblPesosValorOperativo[Trazabilidad],0),0)</f>
        <v>3</v>
      </c>
      <c r="N172" s="14">
        <f>IFERROR(_xlfn.XLOOKUP(VLOOKUP(tblEnlaces[[#This Row],[Canal]],tblCanales[#All],7,FALSE),tblPesosValorOperativo[Valor],tblPesosValorOperativo[Velocidad],0),0)</f>
        <v>1</v>
      </c>
      <c r="O172" s="14">
        <f>IFERROR(_xlfn.XLOOKUP(VLOOKUP(tblEnlaces[[#This Row],[Canal]],tblCanales[#All],8,FALSE),tblPesosValorOperativo[Valor],tblPesosValorOperativo[Escalabilidad],0),0)</f>
        <v>0</v>
      </c>
      <c r="P172" s="53">
        <f>tblEnlaces[[#This Row],[Opacidad]]+tblEnlaces[[#This Row],[Escalabilidad]]+tblEnlaces[[#This Row],[Velocidad]]+tblEnlaces[[#This Row],[Trazabilidad]]</f>
        <v>7</v>
      </c>
    </row>
    <row r="173" spans="2:16" ht="16.5" customHeight="1" x14ac:dyDescent="0.25">
      <c r="B173" s="66" t="str">
        <f t="array" ref="B17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E048</v>
      </c>
      <c r="C173" s="10" t="s">
        <v>67</v>
      </c>
      <c r="D173" s="10" t="str">
        <f>VLOOKUP(tblEnlaces[[#This Row],[Nodo Inicial]],tblNodos[],2,FALSE)</f>
        <v>Intermediarios comerciales y transaccionales</v>
      </c>
      <c r="E173" s="39" t="s">
        <v>77</v>
      </c>
      <c r="F173" s="10" t="str">
        <f>VLOOKUP(tblEnlaces[[#This Row],[Nodo Final]],tblNodos[],2,FALSE)</f>
        <v>Dirección financiera</v>
      </c>
      <c r="G173" s="39" t="s">
        <v>378</v>
      </c>
      <c r="H173" s="39">
        <v>1</v>
      </c>
      <c r="I173" s="53">
        <f>IFERROR(_xlfn.XLOOKUP(VLOOKUP(tblEnlaces[[#This Row],[Canal]],tblCanales[#All],2,FALSE),tblPesosValorOperativo[Valor],tblPesosValorOperativo[Frecuencia de Uso],0),0)</f>
        <v>4</v>
      </c>
      <c r="J173" s="63">
        <f>IF(tblEnlaces[[#This Row],[Activo]]&lt;&gt;1,0,IFERROR(tblEnlaces[[#This Row],[Frecuencia de Uso]]/SUMIFS(tblEnlaces[Frecuencia de Uso],tblEnlaces[Enlace],tblEnlaces[[#This Row],[Enlace]],tblEnlaces[Activo],1),0))</f>
        <v>0.17391304347826086</v>
      </c>
      <c r="K173" s="62">
        <f>IFERROR(_xlfn.XLOOKUP(VLOOKUP(tblEnlaces[[#This Row],[Canal]],tblCanales[#All],3,FALSE),tblPesosCoste[Valor],tblPesosCoste[Peso],0),0)</f>
        <v>5</v>
      </c>
      <c r="L173" s="10">
        <f>IFERROR(_xlfn.XLOOKUP(VLOOKUP(tblEnlaces[[#This Row],[Canal]],tblCanales[#All],5,FALSE),tblPesosValorOperativo[Valor],tblPesosValorOperativo[Opacidad],0),0)</f>
        <v>3</v>
      </c>
      <c r="M173" s="14">
        <f>IFERROR(_xlfn.XLOOKUP(VLOOKUP(tblEnlaces[[#This Row],[Canal]],tblCanales[#All],6,FALSE),tblPesosValorOperativo[Valor],tblPesosValorOperativo[Trazabilidad],0),0)</f>
        <v>1</v>
      </c>
      <c r="N173" s="14">
        <f>IFERROR(_xlfn.XLOOKUP(VLOOKUP(tblEnlaces[[#This Row],[Canal]],tblCanales[#All],7,FALSE),tblPesosValorOperativo[Valor],tblPesosValorOperativo[Velocidad],0),0)</f>
        <v>5</v>
      </c>
      <c r="O173" s="14">
        <f>IFERROR(_xlfn.XLOOKUP(VLOOKUP(tblEnlaces[[#This Row],[Canal]],tblCanales[#All],8,FALSE),tblPesosValorOperativo[Valor],tblPesosValorOperativo[Escalabilidad],0),0)</f>
        <v>0</v>
      </c>
      <c r="P173" s="53">
        <f>tblEnlaces[[#This Row],[Opacidad]]+tblEnlaces[[#This Row],[Escalabilidad]]+tblEnlaces[[#This Row],[Velocidad]]+tblEnlaces[[#This Row],[Trazabilidad]]</f>
        <v>9</v>
      </c>
    </row>
    <row r="174" spans="2:16" ht="16.5" customHeight="1" x14ac:dyDescent="0.25">
      <c r="B174" s="66" t="str">
        <f t="array" ref="B17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E048</v>
      </c>
      <c r="C174" s="10" t="s">
        <v>67</v>
      </c>
      <c r="D174" s="10" t="str">
        <f>VLOOKUP(tblEnlaces[[#This Row],[Nodo Inicial]],tblNodos[],2,FALSE)</f>
        <v>Intermediarios comerciales y transaccionales</v>
      </c>
      <c r="E174" s="39" t="s">
        <v>77</v>
      </c>
      <c r="F174" s="10" t="str">
        <f>VLOOKUP(tblEnlaces[[#This Row],[Nodo Final]],tblNodos[],2,FALSE)</f>
        <v>Dirección financiera</v>
      </c>
      <c r="G174" s="39" t="s">
        <v>348</v>
      </c>
      <c r="H174" s="39">
        <v>1</v>
      </c>
      <c r="I174" s="53">
        <f>IFERROR(_xlfn.XLOOKUP(VLOOKUP(tblEnlaces[[#This Row],[Canal]],tblCanales[#All],2,FALSE),tblPesosValorOperativo[Valor],tblPesosValorOperativo[Frecuencia de Uso],0),0)</f>
        <v>2</v>
      </c>
      <c r="J174" s="63">
        <f>IF(tblEnlaces[[#This Row],[Activo]]&lt;&gt;1,0,IFERROR(tblEnlaces[[#This Row],[Frecuencia de Uso]]/SUMIFS(tblEnlaces[Frecuencia de Uso],tblEnlaces[Enlace],tblEnlaces[[#This Row],[Enlace]],tblEnlaces[Activo],1),0))</f>
        <v>8.6956521739130432E-2</v>
      </c>
      <c r="K174" s="62">
        <f>IFERROR(_xlfn.XLOOKUP(VLOOKUP(tblEnlaces[[#This Row],[Canal]],tblCanales[#All],3,FALSE),tblPesosCoste[Valor],tblPesosCoste[Peso],0),0)</f>
        <v>3</v>
      </c>
      <c r="L174" s="10">
        <f>IFERROR(_xlfn.XLOOKUP(VLOOKUP(tblEnlaces[[#This Row],[Canal]],tblCanales[#All],5,FALSE),tblPesosValorOperativo[Valor],tblPesosValorOperativo[Opacidad],0),0)</f>
        <v>3</v>
      </c>
      <c r="M174" s="14">
        <f>IFERROR(_xlfn.XLOOKUP(VLOOKUP(tblEnlaces[[#This Row],[Canal]],tblCanales[#All],6,FALSE),tblPesosValorOperativo[Valor],tblPesosValorOperativo[Trazabilidad],0),0)</f>
        <v>3</v>
      </c>
      <c r="N174" s="14">
        <f>IFERROR(_xlfn.XLOOKUP(VLOOKUP(tblEnlaces[[#This Row],[Canal]],tblCanales[#All],7,FALSE),tblPesosValorOperativo[Valor],tblPesosValorOperativo[Velocidad],0),0)</f>
        <v>5</v>
      </c>
      <c r="O174" s="14">
        <f>IFERROR(_xlfn.XLOOKUP(VLOOKUP(tblEnlaces[[#This Row],[Canal]],tblCanales[#All],8,FALSE),tblPesosValorOperativo[Valor],tblPesosValorOperativo[Escalabilidad],0),0)</f>
        <v>0</v>
      </c>
      <c r="P174" s="53">
        <f>tblEnlaces[[#This Row],[Opacidad]]+tblEnlaces[[#This Row],[Escalabilidad]]+tblEnlaces[[#This Row],[Velocidad]]+tblEnlaces[[#This Row],[Trazabilidad]]</f>
        <v>11</v>
      </c>
    </row>
    <row r="175" spans="2:16" ht="16.5" customHeight="1" x14ac:dyDescent="0.25">
      <c r="B175" s="66" t="str">
        <f t="array" ref="B17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E048</v>
      </c>
      <c r="C175" s="10" t="s">
        <v>67</v>
      </c>
      <c r="D175" s="10" t="str">
        <f>VLOOKUP(tblEnlaces[[#This Row],[Nodo Inicial]],tblNodos[],2,FALSE)</f>
        <v>Intermediarios comerciales y transaccionales</v>
      </c>
      <c r="E175" s="39" t="s">
        <v>77</v>
      </c>
      <c r="F175" s="10" t="str">
        <f>VLOOKUP(tblEnlaces[[#This Row],[Nodo Final]],tblNodos[],2,FALSE)</f>
        <v>Dirección financiera</v>
      </c>
      <c r="G175" s="39" t="s">
        <v>384</v>
      </c>
      <c r="H175" s="39">
        <v>1</v>
      </c>
      <c r="I175" s="53">
        <f>IFERROR(_xlfn.XLOOKUP(VLOOKUP(tblEnlaces[[#This Row],[Canal]],tblCanales[#All],2,FALSE),tblPesosValorOperativo[Valor],tblPesosValorOperativo[Frecuencia de Uso],0),0)</f>
        <v>4</v>
      </c>
      <c r="J175" s="63">
        <f>IF(tblEnlaces[[#This Row],[Activo]]&lt;&gt;1,0,IFERROR(tblEnlaces[[#This Row],[Frecuencia de Uso]]/SUMIFS(tblEnlaces[Frecuencia de Uso],tblEnlaces[Enlace],tblEnlaces[[#This Row],[Enlace]],tblEnlaces[Activo],1),0))</f>
        <v>0.17391304347826086</v>
      </c>
      <c r="K175" s="62">
        <f>IFERROR(_xlfn.XLOOKUP(VLOOKUP(tblEnlaces[[#This Row],[Canal]],tblCanales[#All],3,FALSE),tblPesosCoste[Valor],tblPesosCoste[Peso],0),0)</f>
        <v>5</v>
      </c>
      <c r="L175" s="10">
        <f>IFERROR(_xlfn.XLOOKUP(VLOOKUP(tblEnlaces[[#This Row],[Canal]],tblCanales[#All],5,FALSE),tblPesosValorOperativo[Valor],tblPesosValorOperativo[Opacidad],0),0)</f>
        <v>2</v>
      </c>
      <c r="M175" s="14">
        <f>IFERROR(_xlfn.XLOOKUP(VLOOKUP(tblEnlaces[[#This Row],[Canal]],tblCanales[#All],6,FALSE),tblPesosValorOperativo[Valor],tblPesosValorOperativo[Trazabilidad],0),0)</f>
        <v>3</v>
      </c>
      <c r="N175" s="14">
        <f>IFERROR(_xlfn.XLOOKUP(VLOOKUP(tblEnlaces[[#This Row],[Canal]],tblCanales[#All],7,FALSE),tblPesosValorOperativo[Valor],tblPesosValorOperativo[Velocidad],0),0)</f>
        <v>5</v>
      </c>
      <c r="O175" s="14">
        <f>IFERROR(_xlfn.XLOOKUP(VLOOKUP(tblEnlaces[[#This Row],[Canal]],tblCanales[#All],8,FALSE),tblPesosValorOperativo[Valor],tblPesosValorOperativo[Escalabilidad],0),0)</f>
        <v>0</v>
      </c>
      <c r="P175" s="53">
        <f>tblEnlaces[[#This Row],[Opacidad]]+tblEnlaces[[#This Row],[Escalabilidad]]+tblEnlaces[[#This Row],[Velocidad]]+tblEnlaces[[#This Row],[Trazabilidad]]</f>
        <v>10</v>
      </c>
    </row>
    <row r="176" spans="2:16" ht="16.5" customHeight="1" x14ac:dyDescent="0.25">
      <c r="B176" s="66" t="str">
        <f t="array" ref="B17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E048</v>
      </c>
      <c r="C176" s="10" t="s">
        <v>67</v>
      </c>
      <c r="D176" s="10" t="str">
        <f>VLOOKUP(tblEnlaces[[#This Row],[Nodo Inicial]],tblNodos[],2,FALSE)</f>
        <v>Intermediarios comerciales y transaccionales</v>
      </c>
      <c r="E176" s="39" t="s">
        <v>77</v>
      </c>
      <c r="F176" s="10" t="str">
        <f>VLOOKUP(tblEnlaces[[#This Row],[Nodo Final]],tblNodos[],2,FALSE)</f>
        <v>Dirección financiera</v>
      </c>
      <c r="G176" s="39" t="s">
        <v>366</v>
      </c>
      <c r="H176" s="39">
        <v>1</v>
      </c>
      <c r="I176" s="53">
        <f>IFERROR(_xlfn.XLOOKUP(VLOOKUP(tblEnlaces[[#This Row],[Canal]],tblCanales[#All],2,FALSE),tblPesosValorOperativo[Valor],tblPesosValorOperativo[Frecuencia de Uso],0),0)</f>
        <v>3</v>
      </c>
      <c r="J176" s="63">
        <f>IF(tblEnlaces[[#This Row],[Activo]]&lt;&gt;1,0,IFERROR(tblEnlaces[[#This Row],[Frecuencia de Uso]]/SUMIFS(tblEnlaces[Frecuencia de Uso],tblEnlaces[Enlace],tblEnlaces[[#This Row],[Enlace]],tblEnlaces[Activo],1),0))</f>
        <v>0.13043478260869565</v>
      </c>
      <c r="K176" s="62">
        <f>IFERROR(_xlfn.XLOOKUP(VLOOKUP(tblEnlaces[[#This Row],[Canal]],tblCanales[#All],3,FALSE),tblPesosCoste[Valor],tblPesosCoste[Peso],0),0)</f>
        <v>2</v>
      </c>
      <c r="L176" s="10">
        <f>IFERROR(_xlfn.XLOOKUP(VLOOKUP(tblEnlaces[[#This Row],[Canal]],tblCanales[#All],5,FALSE),tblPesosValorOperativo[Valor],tblPesosValorOperativo[Opacidad],0),0)</f>
        <v>3</v>
      </c>
      <c r="M176" s="14">
        <f>IFERROR(_xlfn.XLOOKUP(VLOOKUP(tblEnlaces[[#This Row],[Canal]],tblCanales[#All],6,FALSE),tblPesosValorOperativo[Valor],tblPesosValorOperativo[Trazabilidad],0),0)</f>
        <v>4</v>
      </c>
      <c r="N176" s="14">
        <f>IFERROR(_xlfn.XLOOKUP(VLOOKUP(tblEnlaces[[#This Row],[Canal]],tblCanales[#All],7,FALSE),tblPesosValorOperativo[Valor],tblPesosValorOperativo[Velocidad],0),0)</f>
        <v>5</v>
      </c>
      <c r="O176" s="14">
        <f>IFERROR(_xlfn.XLOOKUP(VLOOKUP(tblEnlaces[[#This Row],[Canal]],tblCanales[#All],8,FALSE),tblPesosValorOperativo[Valor],tblPesosValorOperativo[Escalabilidad],0),0)</f>
        <v>0</v>
      </c>
      <c r="P176" s="53">
        <f>tblEnlaces[[#This Row],[Opacidad]]+tblEnlaces[[#This Row],[Escalabilidad]]+tblEnlaces[[#This Row],[Velocidad]]+tblEnlaces[[#This Row],[Trazabilidad]]</f>
        <v>12</v>
      </c>
    </row>
    <row r="177" spans="2:16" ht="16.5" customHeight="1" x14ac:dyDescent="0.25">
      <c r="B177" s="66" t="str">
        <f t="array" ref="B17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E048</v>
      </c>
      <c r="C177" s="10" t="s">
        <v>67</v>
      </c>
      <c r="D177" s="10" t="str">
        <f>VLOOKUP(tblEnlaces[[#This Row],[Nodo Inicial]],tblNodos[],2,FALSE)</f>
        <v>Intermediarios comerciales y transaccionales</v>
      </c>
      <c r="E177" s="39" t="s">
        <v>77</v>
      </c>
      <c r="F177" s="10" t="str">
        <f>VLOOKUP(tblEnlaces[[#This Row],[Nodo Final]],tblNodos[],2,FALSE)</f>
        <v>Dirección financiera</v>
      </c>
      <c r="G177" s="39" t="s">
        <v>360</v>
      </c>
      <c r="H177" s="39">
        <v>1</v>
      </c>
      <c r="I177" s="53">
        <f>IFERROR(_xlfn.XLOOKUP(VLOOKUP(tblEnlaces[[#This Row],[Canal]],tblCanales[#All],2,FALSE),tblPesosValorOperativo[Valor],tblPesosValorOperativo[Frecuencia de Uso],0),0)</f>
        <v>3</v>
      </c>
      <c r="J177" s="63">
        <f>IF(tblEnlaces[[#This Row],[Activo]]&lt;&gt;1,0,IFERROR(tblEnlaces[[#This Row],[Frecuencia de Uso]]/SUMIFS(tblEnlaces[Frecuencia de Uso],tblEnlaces[Enlace],tblEnlaces[[#This Row],[Enlace]],tblEnlaces[Activo],1),0))</f>
        <v>0.13043478260869565</v>
      </c>
      <c r="K177" s="62">
        <f>IFERROR(_xlfn.XLOOKUP(VLOOKUP(tblEnlaces[[#This Row],[Canal]],tblCanales[#All],3,FALSE),tblPesosCoste[Valor],tblPesosCoste[Peso],0),0)</f>
        <v>3</v>
      </c>
      <c r="L177" s="10">
        <f>IFERROR(_xlfn.XLOOKUP(VLOOKUP(tblEnlaces[[#This Row],[Canal]],tblCanales[#All],5,FALSE),tblPesosValorOperativo[Valor],tblPesosValorOperativo[Opacidad],0),0)</f>
        <v>3</v>
      </c>
      <c r="M177" s="14">
        <f>IFERROR(_xlfn.XLOOKUP(VLOOKUP(tblEnlaces[[#This Row],[Canal]],tblCanales[#All],6,FALSE),tblPesosValorOperativo[Valor],tblPesosValorOperativo[Trazabilidad],0),0)</f>
        <v>3</v>
      </c>
      <c r="N177" s="14">
        <f>IFERROR(_xlfn.XLOOKUP(VLOOKUP(tblEnlaces[[#This Row],[Canal]],tblCanales[#All],7,FALSE),tblPesosValorOperativo[Valor],tblPesosValorOperativo[Velocidad],0),0)</f>
        <v>5</v>
      </c>
      <c r="O177" s="14">
        <f>IFERROR(_xlfn.XLOOKUP(VLOOKUP(tblEnlaces[[#This Row],[Canal]],tblCanales[#All],8,FALSE),tblPesosValorOperativo[Valor],tblPesosValorOperativo[Escalabilidad],0),0)</f>
        <v>0</v>
      </c>
      <c r="P177" s="53">
        <f>tblEnlaces[[#This Row],[Opacidad]]+tblEnlaces[[#This Row],[Escalabilidad]]+tblEnlaces[[#This Row],[Velocidad]]+tblEnlaces[[#This Row],[Trazabilidad]]</f>
        <v>11</v>
      </c>
    </row>
    <row r="178" spans="2:16" ht="16.5" customHeight="1" x14ac:dyDescent="0.25">
      <c r="B178" s="66" t="str">
        <f t="array" ref="B17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E048</v>
      </c>
      <c r="C178" s="10" t="s">
        <v>67</v>
      </c>
      <c r="D178" s="10" t="str">
        <f>VLOOKUP(tblEnlaces[[#This Row],[Nodo Inicial]],tblNodos[],2,FALSE)</f>
        <v>Intermediarios comerciales y transaccionales</v>
      </c>
      <c r="E178" s="39" t="s">
        <v>77</v>
      </c>
      <c r="F178" s="10" t="str">
        <f>VLOOKUP(tblEnlaces[[#This Row],[Nodo Final]],tblNodos[],2,FALSE)</f>
        <v>Dirección financiera</v>
      </c>
      <c r="G178" s="39" t="s">
        <v>372</v>
      </c>
      <c r="H178" s="39">
        <v>1</v>
      </c>
      <c r="I178" s="53">
        <f>IFERROR(_xlfn.XLOOKUP(VLOOKUP(tblEnlaces[[#This Row],[Canal]],tblCanales[#All],2,FALSE),tblPesosValorOperativo[Valor],tblPesosValorOperativo[Frecuencia de Uso],0),0)</f>
        <v>4</v>
      </c>
      <c r="J178" s="63">
        <f>IF(tblEnlaces[[#This Row],[Activo]]&lt;&gt;1,0,IFERROR(tblEnlaces[[#This Row],[Frecuencia de Uso]]/SUMIFS(tblEnlaces[Frecuencia de Uso],tblEnlaces[Enlace],tblEnlaces[[#This Row],[Enlace]],tblEnlaces[Activo],1),0))</f>
        <v>0.17391304347826086</v>
      </c>
      <c r="K178" s="62">
        <f>IFERROR(_xlfn.XLOOKUP(VLOOKUP(tblEnlaces[[#This Row],[Canal]],tblCanales[#All],3,FALSE),tblPesosCoste[Valor],tblPesosCoste[Peso],0),0)</f>
        <v>5</v>
      </c>
      <c r="L178" s="10">
        <f>IFERROR(_xlfn.XLOOKUP(VLOOKUP(tblEnlaces[[#This Row],[Canal]],tblCanales[#All],5,FALSE),tblPesosValorOperativo[Valor],tblPesosValorOperativo[Opacidad],0),0)</f>
        <v>2</v>
      </c>
      <c r="M178" s="14">
        <f>IFERROR(_xlfn.XLOOKUP(VLOOKUP(tblEnlaces[[#This Row],[Canal]],tblCanales[#All],6,FALSE),tblPesosValorOperativo[Valor],tblPesosValorOperativo[Trazabilidad],0),0)</f>
        <v>3</v>
      </c>
      <c r="N178" s="14">
        <f>IFERROR(_xlfn.XLOOKUP(VLOOKUP(tblEnlaces[[#This Row],[Canal]],tblCanales[#All],7,FALSE),tblPesosValorOperativo[Valor],tblPesosValorOperativo[Velocidad],0),0)</f>
        <v>5</v>
      </c>
      <c r="O178" s="14">
        <f>IFERROR(_xlfn.XLOOKUP(VLOOKUP(tblEnlaces[[#This Row],[Canal]],tblCanales[#All],8,FALSE),tblPesosValorOperativo[Valor],tblPesosValorOperativo[Escalabilidad],0),0)</f>
        <v>0</v>
      </c>
      <c r="P178" s="53">
        <f>tblEnlaces[[#This Row],[Opacidad]]+tblEnlaces[[#This Row],[Escalabilidad]]+tblEnlaces[[#This Row],[Velocidad]]+tblEnlaces[[#This Row],[Trazabilidad]]</f>
        <v>10</v>
      </c>
    </row>
    <row r="179" spans="2:16" ht="16.5" customHeight="1" x14ac:dyDescent="0.25">
      <c r="B179" s="66" t="str">
        <f t="array" ref="B17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E048</v>
      </c>
      <c r="C179" s="10" t="s">
        <v>67</v>
      </c>
      <c r="D179" s="10" t="str">
        <f>VLOOKUP(tblEnlaces[[#This Row],[Nodo Inicial]],tblNodos[],2,FALSE)</f>
        <v>Intermediarios comerciales y transaccionales</v>
      </c>
      <c r="E179" s="39" t="s">
        <v>77</v>
      </c>
      <c r="F179" s="10" t="str">
        <f>VLOOKUP(tblEnlaces[[#This Row],[Nodo Final]],tblNodos[],2,FALSE)</f>
        <v>Dirección financiera</v>
      </c>
      <c r="G179" s="39" t="s">
        <v>342</v>
      </c>
      <c r="H179" s="39">
        <v>1</v>
      </c>
      <c r="I179" s="53">
        <f>IFERROR(_xlfn.XLOOKUP(VLOOKUP(tblEnlaces[[#This Row],[Canal]],tblCanales[#All],2,FALSE),tblPesosValorOperativo[Valor],tblPesosValorOperativo[Frecuencia de Uso],0),0)</f>
        <v>3</v>
      </c>
      <c r="J179" s="63">
        <f>IF(tblEnlaces[[#This Row],[Activo]]&lt;&gt;1,0,IFERROR(tblEnlaces[[#This Row],[Frecuencia de Uso]]/SUMIFS(tblEnlaces[Frecuencia de Uso],tblEnlaces[Enlace],tblEnlaces[[#This Row],[Enlace]],tblEnlaces[Activo],1),0))</f>
        <v>0.13043478260869565</v>
      </c>
      <c r="K179" s="62">
        <f>IFERROR(_xlfn.XLOOKUP(VLOOKUP(tblEnlaces[[#This Row],[Canal]],tblCanales[#All],3,FALSE),tblPesosCoste[Valor],tblPesosCoste[Peso],0),0)</f>
        <v>3</v>
      </c>
      <c r="L179" s="10">
        <f>IFERROR(_xlfn.XLOOKUP(VLOOKUP(tblEnlaces[[#This Row],[Canal]],tblCanales[#All],5,FALSE),tblPesosValorOperativo[Valor],tblPesosValorOperativo[Opacidad],0),0)</f>
        <v>2</v>
      </c>
      <c r="M179" s="14">
        <f>IFERROR(_xlfn.XLOOKUP(VLOOKUP(tblEnlaces[[#This Row],[Canal]],tblCanales[#All],6,FALSE),tblPesosValorOperativo[Valor],tblPesosValorOperativo[Trazabilidad],0),0)</f>
        <v>3</v>
      </c>
      <c r="N179" s="14">
        <f>IFERROR(_xlfn.XLOOKUP(VLOOKUP(tblEnlaces[[#This Row],[Canal]],tblCanales[#All],7,FALSE),tblPesosValorOperativo[Valor],tblPesosValorOperativo[Velocidad],0),0)</f>
        <v>5</v>
      </c>
      <c r="O179" s="14">
        <f>IFERROR(_xlfn.XLOOKUP(VLOOKUP(tblEnlaces[[#This Row],[Canal]],tblCanales[#All],8,FALSE),tblPesosValorOperativo[Valor],tblPesosValorOperativo[Escalabilidad],0),0)</f>
        <v>0</v>
      </c>
      <c r="P179" s="53">
        <f>tblEnlaces[[#This Row],[Opacidad]]+tblEnlaces[[#This Row],[Escalabilidad]]+tblEnlaces[[#This Row],[Velocidad]]+tblEnlaces[[#This Row],[Trazabilidad]]</f>
        <v>10</v>
      </c>
    </row>
    <row r="180" spans="2:16" ht="16.5" customHeight="1" x14ac:dyDescent="0.25">
      <c r="B180" s="66" t="str">
        <f t="array" ref="B18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E049</v>
      </c>
      <c r="C180" s="10" t="s">
        <v>69</v>
      </c>
      <c r="D180" s="10" t="str">
        <f>VLOOKUP(tblEnlaces[[#This Row],[Nodo Inicial]],tblNodos[],2,FALSE)</f>
        <v>Intermediarios logísticos del contrabando</v>
      </c>
      <c r="E180" s="39" t="s">
        <v>77</v>
      </c>
      <c r="F180" s="10" t="str">
        <f>VLOOKUP(tblEnlaces[[#This Row],[Nodo Final]],tblNodos[],2,FALSE)</f>
        <v>Dirección financiera</v>
      </c>
      <c r="G180" s="39" t="s">
        <v>360</v>
      </c>
      <c r="H180" s="39">
        <v>1</v>
      </c>
      <c r="I180" s="53">
        <f>IFERROR(_xlfn.XLOOKUP(VLOOKUP(tblEnlaces[[#This Row],[Canal]],tblCanales[#All],2,FALSE),tblPesosValorOperativo[Valor],tblPesosValorOperativo[Frecuencia de Uso],0),0)</f>
        <v>3</v>
      </c>
      <c r="J180" s="63">
        <f>IF(tblEnlaces[[#This Row],[Activo]]&lt;&gt;1,0,IFERROR(tblEnlaces[[#This Row],[Frecuencia de Uso]]/SUMIFS(tblEnlaces[Frecuencia de Uso],tblEnlaces[Enlace],tblEnlaces[[#This Row],[Enlace]],tblEnlaces[Activo],1),0))</f>
        <v>0.13043478260869565</v>
      </c>
      <c r="K180" s="62">
        <f>IFERROR(_xlfn.XLOOKUP(VLOOKUP(tblEnlaces[[#This Row],[Canal]],tblCanales[#All],3,FALSE),tblPesosCoste[Valor],tblPesosCoste[Peso],0),0)</f>
        <v>3</v>
      </c>
      <c r="L180" s="10">
        <f>IFERROR(_xlfn.XLOOKUP(VLOOKUP(tblEnlaces[[#This Row],[Canal]],tblCanales[#All],5,FALSE),tblPesosValorOperativo[Valor],tblPesosValorOperativo[Opacidad],0),0)</f>
        <v>3</v>
      </c>
      <c r="M180" s="14">
        <f>IFERROR(_xlfn.XLOOKUP(VLOOKUP(tblEnlaces[[#This Row],[Canal]],tblCanales[#All],6,FALSE),tblPesosValorOperativo[Valor],tblPesosValorOperativo[Trazabilidad],0),0)</f>
        <v>3</v>
      </c>
      <c r="N180" s="14">
        <f>IFERROR(_xlfn.XLOOKUP(VLOOKUP(tblEnlaces[[#This Row],[Canal]],tblCanales[#All],7,FALSE),tblPesosValorOperativo[Valor],tblPesosValorOperativo[Velocidad],0),0)</f>
        <v>5</v>
      </c>
      <c r="O180" s="14">
        <f>IFERROR(_xlfn.XLOOKUP(VLOOKUP(tblEnlaces[[#This Row],[Canal]],tblCanales[#All],8,FALSE),tblPesosValorOperativo[Valor],tblPesosValorOperativo[Escalabilidad],0),0)</f>
        <v>0</v>
      </c>
      <c r="P180" s="53">
        <f>tblEnlaces[[#This Row],[Opacidad]]+tblEnlaces[[#This Row],[Escalabilidad]]+tblEnlaces[[#This Row],[Velocidad]]+tblEnlaces[[#This Row],[Trazabilidad]]</f>
        <v>11</v>
      </c>
    </row>
    <row r="181" spans="2:16" ht="16.5" customHeight="1" x14ac:dyDescent="0.25">
      <c r="B181" s="66" t="str">
        <f t="array" ref="B18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E049</v>
      </c>
      <c r="C181" s="10" t="s">
        <v>69</v>
      </c>
      <c r="D181" s="10" t="str">
        <f>VLOOKUP(tblEnlaces[[#This Row],[Nodo Inicial]],tblNodos[],2,FALSE)</f>
        <v>Intermediarios logísticos del contrabando</v>
      </c>
      <c r="E181" s="39" t="s">
        <v>77</v>
      </c>
      <c r="F181" s="10" t="str">
        <f>VLOOKUP(tblEnlaces[[#This Row],[Nodo Final]],tblNodos[],2,FALSE)</f>
        <v>Dirección financiera</v>
      </c>
      <c r="G181" s="39" t="s">
        <v>372</v>
      </c>
      <c r="H181" s="39">
        <v>1</v>
      </c>
      <c r="I181" s="53">
        <f>IFERROR(_xlfn.XLOOKUP(VLOOKUP(tblEnlaces[[#This Row],[Canal]],tblCanales[#All],2,FALSE),tblPesosValorOperativo[Valor],tblPesosValorOperativo[Frecuencia de Uso],0),0)</f>
        <v>4</v>
      </c>
      <c r="J181" s="63">
        <f>IF(tblEnlaces[[#This Row],[Activo]]&lt;&gt;1,0,IFERROR(tblEnlaces[[#This Row],[Frecuencia de Uso]]/SUMIFS(tblEnlaces[Frecuencia de Uso],tblEnlaces[Enlace],tblEnlaces[[#This Row],[Enlace]],tblEnlaces[Activo],1),0))</f>
        <v>0.17391304347826086</v>
      </c>
      <c r="K181" s="62">
        <f>IFERROR(_xlfn.XLOOKUP(VLOOKUP(tblEnlaces[[#This Row],[Canal]],tblCanales[#All],3,FALSE),tblPesosCoste[Valor],tblPesosCoste[Peso],0),0)</f>
        <v>5</v>
      </c>
      <c r="L181" s="10">
        <f>IFERROR(_xlfn.XLOOKUP(VLOOKUP(tblEnlaces[[#This Row],[Canal]],tblCanales[#All],5,FALSE),tblPesosValorOperativo[Valor],tblPesosValorOperativo[Opacidad],0),0)</f>
        <v>2</v>
      </c>
      <c r="M181" s="14">
        <f>IFERROR(_xlfn.XLOOKUP(VLOOKUP(tblEnlaces[[#This Row],[Canal]],tblCanales[#All],6,FALSE),tblPesosValorOperativo[Valor],tblPesosValorOperativo[Trazabilidad],0),0)</f>
        <v>3</v>
      </c>
      <c r="N181" s="14">
        <f>IFERROR(_xlfn.XLOOKUP(VLOOKUP(tblEnlaces[[#This Row],[Canal]],tblCanales[#All],7,FALSE),tblPesosValorOperativo[Valor],tblPesosValorOperativo[Velocidad],0),0)</f>
        <v>5</v>
      </c>
      <c r="O181" s="14">
        <f>IFERROR(_xlfn.XLOOKUP(VLOOKUP(tblEnlaces[[#This Row],[Canal]],tblCanales[#All],8,FALSE),tblPesosValorOperativo[Valor],tblPesosValorOperativo[Escalabilidad],0),0)</f>
        <v>0</v>
      </c>
      <c r="P181" s="53">
        <f>tblEnlaces[[#This Row],[Opacidad]]+tblEnlaces[[#This Row],[Escalabilidad]]+tblEnlaces[[#This Row],[Velocidad]]+tblEnlaces[[#This Row],[Trazabilidad]]</f>
        <v>10</v>
      </c>
    </row>
    <row r="182" spans="2:16" ht="16.5" customHeight="1" x14ac:dyDescent="0.25">
      <c r="B182" s="66" t="str">
        <f t="array" ref="B18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E049</v>
      </c>
      <c r="C182" s="10" t="s">
        <v>69</v>
      </c>
      <c r="D182" s="10" t="str">
        <f>VLOOKUP(tblEnlaces[[#This Row],[Nodo Inicial]],tblNodos[],2,FALSE)</f>
        <v>Intermediarios logísticos del contrabando</v>
      </c>
      <c r="E182" s="39" t="s">
        <v>77</v>
      </c>
      <c r="F182" s="10" t="str">
        <f>VLOOKUP(tblEnlaces[[#This Row],[Nodo Final]],tblNodos[],2,FALSE)</f>
        <v>Dirección financiera</v>
      </c>
      <c r="G182" s="39" t="s">
        <v>342</v>
      </c>
      <c r="H182" s="39">
        <v>1</v>
      </c>
      <c r="I182" s="53">
        <f>IFERROR(_xlfn.XLOOKUP(VLOOKUP(tblEnlaces[[#This Row],[Canal]],tblCanales[#All],2,FALSE),tblPesosValorOperativo[Valor],tblPesosValorOperativo[Frecuencia de Uso],0),0)</f>
        <v>3</v>
      </c>
      <c r="J182" s="63">
        <f>IF(tblEnlaces[[#This Row],[Activo]]&lt;&gt;1,0,IFERROR(tblEnlaces[[#This Row],[Frecuencia de Uso]]/SUMIFS(tblEnlaces[Frecuencia de Uso],tblEnlaces[Enlace],tblEnlaces[[#This Row],[Enlace]],tblEnlaces[Activo],1),0))</f>
        <v>0.13043478260869565</v>
      </c>
      <c r="K182" s="62">
        <f>IFERROR(_xlfn.XLOOKUP(VLOOKUP(tblEnlaces[[#This Row],[Canal]],tblCanales[#All],3,FALSE),tblPesosCoste[Valor],tblPesosCoste[Peso],0),0)</f>
        <v>3</v>
      </c>
      <c r="L182" s="10">
        <f>IFERROR(_xlfn.XLOOKUP(VLOOKUP(tblEnlaces[[#This Row],[Canal]],tblCanales[#All],5,FALSE),tblPesosValorOperativo[Valor],tblPesosValorOperativo[Opacidad],0),0)</f>
        <v>2</v>
      </c>
      <c r="M182" s="14">
        <f>IFERROR(_xlfn.XLOOKUP(VLOOKUP(tblEnlaces[[#This Row],[Canal]],tblCanales[#All],6,FALSE),tblPesosValorOperativo[Valor],tblPesosValorOperativo[Trazabilidad],0),0)</f>
        <v>3</v>
      </c>
      <c r="N182" s="14">
        <f>IFERROR(_xlfn.XLOOKUP(VLOOKUP(tblEnlaces[[#This Row],[Canal]],tblCanales[#All],7,FALSE),tblPesosValorOperativo[Valor],tblPesosValorOperativo[Velocidad],0),0)</f>
        <v>5</v>
      </c>
      <c r="O182" s="14">
        <f>IFERROR(_xlfn.XLOOKUP(VLOOKUP(tblEnlaces[[#This Row],[Canal]],tblCanales[#All],8,FALSE),tblPesosValorOperativo[Valor],tblPesosValorOperativo[Escalabilidad],0),0)</f>
        <v>0</v>
      </c>
      <c r="P182" s="53">
        <f>tblEnlaces[[#This Row],[Opacidad]]+tblEnlaces[[#This Row],[Escalabilidad]]+tblEnlaces[[#This Row],[Velocidad]]+tblEnlaces[[#This Row],[Trazabilidad]]</f>
        <v>10</v>
      </c>
    </row>
    <row r="183" spans="2:16" ht="16.5" customHeight="1" x14ac:dyDescent="0.25">
      <c r="B183" s="66" t="str">
        <f t="array" ref="B18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E049</v>
      </c>
      <c r="C183" s="10" t="s">
        <v>69</v>
      </c>
      <c r="D183" s="10" t="str">
        <f>VLOOKUP(tblEnlaces[[#This Row],[Nodo Inicial]],tblNodos[],2,FALSE)</f>
        <v>Intermediarios logísticos del contrabando</v>
      </c>
      <c r="E183" s="39" t="s">
        <v>77</v>
      </c>
      <c r="F183" s="10" t="str">
        <f>VLOOKUP(tblEnlaces[[#This Row],[Nodo Final]],tblNodos[],2,FALSE)</f>
        <v>Dirección financiera</v>
      </c>
      <c r="G183" s="39" t="s">
        <v>384</v>
      </c>
      <c r="H183" s="39">
        <v>1</v>
      </c>
      <c r="I183" s="53">
        <f>IFERROR(_xlfn.XLOOKUP(VLOOKUP(tblEnlaces[[#This Row],[Canal]],tblCanales[#All],2,FALSE),tblPesosValorOperativo[Valor],tblPesosValorOperativo[Frecuencia de Uso],0),0)</f>
        <v>4</v>
      </c>
      <c r="J183" s="63">
        <f>IF(tblEnlaces[[#This Row],[Activo]]&lt;&gt;1,0,IFERROR(tblEnlaces[[#This Row],[Frecuencia de Uso]]/SUMIFS(tblEnlaces[Frecuencia de Uso],tblEnlaces[Enlace],tblEnlaces[[#This Row],[Enlace]],tblEnlaces[Activo],1),0))</f>
        <v>0.17391304347826086</v>
      </c>
      <c r="K183" s="62">
        <f>IFERROR(_xlfn.XLOOKUP(VLOOKUP(tblEnlaces[[#This Row],[Canal]],tblCanales[#All],3,FALSE),tblPesosCoste[Valor],tblPesosCoste[Peso],0),0)</f>
        <v>5</v>
      </c>
      <c r="L183" s="10">
        <f>IFERROR(_xlfn.XLOOKUP(VLOOKUP(tblEnlaces[[#This Row],[Canal]],tblCanales[#All],5,FALSE),tblPesosValorOperativo[Valor],tblPesosValorOperativo[Opacidad],0),0)</f>
        <v>2</v>
      </c>
      <c r="M183" s="14">
        <f>IFERROR(_xlfn.XLOOKUP(VLOOKUP(tblEnlaces[[#This Row],[Canal]],tblCanales[#All],6,FALSE),tblPesosValorOperativo[Valor],tblPesosValorOperativo[Trazabilidad],0),0)</f>
        <v>3</v>
      </c>
      <c r="N183" s="14">
        <f>IFERROR(_xlfn.XLOOKUP(VLOOKUP(tblEnlaces[[#This Row],[Canal]],tblCanales[#All],7,FALSE),tblPesosValorOperativo[Valor],tblPesosValorOperativo[Velocidad],0),0)</f>
        <v>5</v>
      </c>
      <c r="O183" s="14">
        <f>IFERROR(_xlfn.XLOOKUP(VLOOKUP(tblEnlaces[[#This Row],[Canal]],tblCanales[#All],8,FALSE),tblPesosValorOperativo[Valor],tblPesosValorOperativo[Escalabilidad],0),0)</f>
        <v>0</v>
      </c>
      <c r="P183" s="53">
        <f>tblEnlaces[[#This Row],[Opacidad]]+tblEnlaces[[#This Row],[Escalabilidad]]+tblEnlaces[[#This Row],[Velocidad]]+tblEnlaces[[#This Row],[Trazabilidad]]</f>
        <v>10</v>
      </c>
    </row>
    <row r="184" spans="2:16" ht="16.5" customHeight="1" x14ac:dyDescent="0.25">
      <c r="B184" s="66" t="str">
        <f t="array" ref="B18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E049</v>
      </c>
      <c r="C184" s="10" t="s">
        <v>69</v>
      </c>
      <c r="D184" s="10" t="str">
        <f>VLOOKUP(tblEnlaces[[#This Row],[Nodo Inicial]],tblNodos[],2,FALSE)</f>
        <v>Intermediarios logísticos del contrabando</v>
      </c>
      <c r="E184" s="39" t="s">
        <v>77</v>
      </c>
      <c r="F184" s="10" t="str">
        <f>VLOOKUP(tblEnlaces[[#This Row],[Nodo Final]],tblNodos[],2,FALSE)</f>
        <v>Dirección financiera</v>
      </c>
      <c r="G184" s="39" t="s">
        <v>366</v>
      </c>
      <c r="H184" s="39">
        <v>1</v>
      </c>
      <c r="I184" s="53">
        <f>IFERROR(_xlfn.XLOOKUP(VLOOKUP(tblEnlaces[[#This Row],[Canal]],tblCanales[#All],2,FALSE),tblPesosValorOperativo[Valor],tblPesosValorOperativo[Frecuencia de Uso],0),0)</f>
        <v>3</v>
      </c>
      <c r="J184" s="63">
        <f>IF(tblEnlaces[[#This Row],[Activo]]&lt;&gt;1,0,IFERROR(tblEnlaces[[#This Row],[Frecuencia de Uso]]/SUMIFS(tblEnlaces[Frecuencia de Uso],tblEnlaces[Enlace],tblEnlaces[[#This Row],[Enlace]],tblEnlaces[Activo],1),0))</f>
        <v>0.13043478260869565</v>
      </c>
      <c r="K184" s="62">
        <f>IFERROR(_xlfn.XLOOKUP(VLOOKUP(tblEnlaces[[#This Row],[Canal]],tblCanales[#All],3,FALSE),tblPesosCoste[Valor],tblPesosCoste[Peso],0),0)</f>
        <v>2</v>
      </c>
      <c r="L184" s="10">
        <f>IFERROR(_xlfn.XLOOKUP(VLOOKUP(tblEnlaces[[#This Row],[Canal]],tblCanales[#All],5,FALSE),tblPesosValorOperativo[Valor],tblPesosValorOperativo[Opacidad],0),0)</f>
        <v>3</v>
      </c>
      <c r="M184" s="14">
        <f>IFERROR(_xlfn.XLOOKUP(VLOOKUP(tblEnlaces[[#This Row],[Canal]],tblCanales[#All],6,FALSE),tblPesosValorOperativo[Valor],tblPesosValorOperativo[Trazabilidad],0),0)</f>
        <v>4</v>
      </c>
      <c r="N184" s="14">
        <f>IFERROR(_xlfn.XLOOKUP(VLOOKUP(tblEnlaces[[#This Row],[Canal]],tblCanales[#All],7,FALSE),tblPesosValorOperativo[Valor],tblPesosValorOperativo[Velocidad],0),0)</f>
        <v>5</v>
      </c>
      <c r="O184" s="14">
        <f>IFERROR(_xlfn.XLOOKUP(VLOOKUP(tblEnlaces[[#This Row],[Canal]],tblCanales[#All],8,FALSE),tblPesosValorOperativo[Valor],tblPesosValorOperativo[Escalabilidad],0),0)</f>
        <v>0</v>
      </c>
      <c r="P184" s="53">
        <f>tblEnlaces[[#This Row],[Opacidad]]+tblEnlaces[[#This Row],[Escalabilidad]]+tblEnlaces[[#This Row],[Velocidad]]+tblEnlaces[[#This Row],[Trazabilidad]]</f>
        <v>12</v>
      </c>
    </row>
    <row r="185" spans="2:16" ht="16.5" customHeight="1" x14ac:dyDescent="0.25">
      <c r="B185" s="66" t="str">
        <f t="array" ref="B18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E049</v>
      </c>
      <c r="C185" s="10" t="s">
        <v>69</v>
      </c>
      <c r="D185" s="10" t="str">
        <f>VLOOKUP(tblEnlaces[[#This Row],[Nodo Inicial]],tblNodos[],2,FALSE)</f>
        <v>Intermediarios logísticos del contrabando</v>
      </c>
      <c r="E185" s="39" t="s">
        <v>77</v>
      </c>
      <c r="F185" s="10" t="str">
        <f>VLOOKUP(tblEnlaces[[#This Row],[Nodo Final]],tblNodos[],2,FALSE)</f>
        <v>Dirección financiera</v>
      </c>
      <c r="G185" s="39" t="s">
        <v>348</v>
      </c>
      <c r="H185" s="39">
        <v>1</v>
      </c>
      <c r="I185" s="53">
        <f>IFERROR(_xlfn.XLOOKUP(VLOOKUP(tblEnlaces[[#This Row],[Canal]],tblCanales[#All],2,FALSE),tblPesosValorOperativo[Valor],tblPesosValorOperativo[Frecuencia de Uso],0),0)</f>
        <v>2</v>
      </c>
      <c r="J185" s="63">
        <f>IF(tblEnlaces[[#This Row],[Activo]]&lt;&gt;1,0,IFERROR(tblEnlaces[[#This Row],[Frecuencia de Uso]]/SUMIFS(tblEnlaces[Frecuencia de Uso],tblEnlaces[Enlace],tblEnlaces[[#This Row],[Enlace]],tblEnlaces[Activo],1),0))</f>
        <v>8.6956521739130432E-2</v>
      </c>
      <c r="K185" s="62">
        <f>IFERROR(_xlfn.XLOOKUP(VLOOKUP(tblEnlaces[[#This Row],[Canal]],tblCanales[#All],3,FALSE),tblPesosCoste[Valor],tblPesosCoste[Peso],0),0)</f>
        <v>3</v>
      </c>
      <c r="L185" s="10">
        <f>IFERROR(_xlfn.XLOOKUP(VLOOKUP(tblEnlaces[[#This Row],[Canal]],tblCanales[#All],5,FALSE),tblPesosValorOperativo[Valor],tblPesosValorOperativo[Opacidad],0),0)</f>
        <v>3</v>
      </c>
      <c r="M185" s="14">
        <f>IFERROR(_xlfn.XLOOKUP(VLOOKUP(tblEnlaces[[#This Row],[Canal]],tblCanales[#All],6,FALSE),tblPesosValorOperativo[Valor],tblPesosValorOperativo[Trazabilidad],0),0)</f>
        <v>3</v>
      </c>
      <c r="N185" s="14">
        <f>IFERROR(_xlfn.XLOOKUP(VLOOKUP(tblEnlaces[[#This Row],[Canal]],tblCanales[#All],7,FALSE),tblPesosValorOperativo[Valor],tblPesosValorOperativo[Velocidad],0),0)</f>
        <v>5</v>
      </c>
      <c r="O185" s="14">
        <f>IFERROR(_xlfn.XLOOKUP(VLOOKUP(tblEnlaces[[#This Row],[Canal]],tblCanales[#All],8,FALSE),tblPesosValorOperativo[Valor],tblPesosValorOperativo[Escalabilidad],0),0)</f>
        <v>0</v>
      </c>
      <c r="P185" s="53">
        <f>tblEnlaces[[#This Row],[Opacidad]]+tblEnlaces[[#This Row],[Escalabilidad]]+tblEnlaces[[#This Row],[Velocidad]]+tblEnlaces[[#This Row],[Trazabilidad]]</f>
        <v>11</v>
      </c>
    </row>
    <row r="186" spans="2:16" ht="16.5" customHeight="1" x14ac:dyDescent="0.25">
      <c r="B186" s="66" t="str">
        <f t="array" ref="B18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E049</v>
      </c>
      <c r="C186" s="10" t="s">
        <v>69</v>
      </c>
      <c r="D186" s="10" t="str">
        <f>VLOOKUP(tblEnlaces[[#This Row],[Nodo Inicial]],tblNodos[],2,FALSE)</f>
        <v>Intermediarios logísticos del contrabando</v>
      </c>
      <c r="E186" s="39" t="s">
        <v>77</v>
      </c>
      <c r="F186" s="10" t="str">
        <f>VLOOKUP(tblEnlaces[[#This Row],[Nodo Final]],tblNodos[],2,FALSE)</f>
        <v>Dirección financiera</v>
      </c>
      <c r="G186" s="39" t="s">
        <v>378</v>
      </c>
      <c r="H186" s="39">
        <v>1</v>
      </c>
      <c r="I186" s="53">
        <f>IFERROR(_xlfn.XLOOKUP(VLOOKUP(tblEnlaces[[#This Row],[Canal]],tblCanales[#All],2,FALSE),tblPesosValorOperativo[Valor],tblPesosValorOperativo[Frecuencia de Uso],0),0)</f>
        <v>4</v>
      </c>
      <c r="J186" s="63">
        <f>IF(tblEnlaces[[#This Row],[Activo]]&lt;&gt;1,0,IFERROR(tblEnlaces[[#This Row],[Frecuencia de Uso]]/SUMIFS(tblEnlaces[Frecuencia de Uso],tblEnlaces[Enlace],tblEnlaces[[#This Row],[Enlace]],tblEnlaces[Activo],1),0))</f>
        <v>0.17391304347826086</v>
      </c>
      <c r="K186" s="62">
        <f>IFERROR(_xlfn.XLOOKUP(VLOOKUP(tblEnlaces[[#This Row],[Canal]],tblCanales[#All],3,FALSE),tblPesosCoste[Valor],tblPesosCoste[Peso],0),0)</f>
        <v>5</v>
      </c>
      <c r="L186" s="10">
        <f>IFERROR(_xlfn.XLOOKUP(VLOOKUP(tblEnlaces[[#This Row],[Canal]],tblCanales[#All],5,FALSE),tblPesosValorOperativo[Valor],tblPesosValorOperativo[Opacidad],0),0)</f>
        <v>3</v>
      </c>
      <c r="M186" s="14">
        <f>IFERROR(_xlfn.XLOOKUP(VLOOKUP(tblEnlaces[[#This Row],[Canal]],tblCanales[#All],6,FALSE),tblPesosValorOperativo[Valor],tblPesosValorOperativo[Trazabilidad],0),0)</f>
        <v>1</v>
      </c>
      <c r="N186" s="14">
        <f>IFERROR(_xlfn.XLOOKUP(VLOOKUP(tblEnlaces[[#This Row],[Canal]],tblCanales[#All],7,FALSE),tblPesosValorOperativo[Valor],tblPesosValorOperativo[Velocidad],0),0)</f>
        <v>5</v>
      </c>
      <c r="O186" s="14">
        <f>IFERROR(_xlfn.XLOOKUP(VLOOKUP(tblEnlaces[[#This Row],[Canal]],tblCanales[#All],8,FALSE),tblPesosValorOperativo[Valor],tblPesosValorOperativo[Escalabilidad],0),0)</f>
        <v>0</v>
      </c>
      <c r="P186" s="53">
        <f>tblEnlaces[[#This Row],[Opacidad]]+tblEnlaces[[#This Row],[Escalabilidad]]+tblEnlaces[[#This Row],[Velocidad]]+tblEnlaces[[#This Row],[Trazabilidad]]</f>
        <v>9</v>
      </c>
    </row>
    <row r="187" spans="2:16" ht="16.5" customHeight="1" x14ac:dyDescent="0.25">
      <c r="B187" s="66" t="str">
        <f t="array" ref="B18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E050</v>
      </c>
      <c r="C187" s="10" t="s">
        <v>69</v>
      </c>
      <c r="D187" s="10" t="str">
        <f>VLOOKUP(tblEnlaces[[#This Row],[Nodo Inicial]],tblNodos[],2,FALSE)</f>
        <v>Intermediarios logísticos del contrabando</v>
      </c>
      <c r="E187" s="39" t="s">
        <v>83</v>
      </c>
      <c r="F187" s="10" t="str">
        <f>VLOOKUP(tblEnlaces[[#This Row],[Nodo Final]],tblNodos[],2,FALSE)</f>
        <v>Coordinación de la red y soporte estratégico</v>
      </c>
      <c r="G187" s="39" t="s">
        <v>348</v>
      </c>
      <c r="H187" s="39">
        <v>1</v>
      </c>
      <c r="I187" s="53">
        <f>IFERROR(_xlfn.XLOOKUP(VLOOKUP(tblEnlaces[[#This Row],[Canal]],tblCanales[#All],2,FALSE),tblPesosValorOperativo[Valor],tblPesosValorOperativo[Frecuencia de Uso],0),0)</f>
        <v>2</v>
      </c>
      <c r="J187" s="63">
        <f>IF(tblEnlaces[[#This Row],[Activo]]&lt;&gt;1,0,IFERROR(tblEnlaces[[#This Row],[Frecuencia de Uso]]/SUMIFS(tblEnlaces[Frecuencia de Uso],tblEnlaces[Enlace],tblEnlaces[[#This Row],[Enlace]],tblEnlaces[Activo],1),0))</f>
        <v>1</v>
      </c>
      <c r="K187" s="62">
        <f>IFERROR(_xlfn.XLOOKUP(VLOOKUP(tblEnlaces[[#This Row],[Canal]],tblCanales[#All],3,FALSE),tblPesosCoste[Valor],tblPesosCoste[Peso],0),0)</f>
        <v>3</v>
      </c>
      <c r="L187" s="10">
        <f>IFERROR(_xlfn.XLOOKUP(VLOOKUP(tblEnlaces[[#This Row],[Canal]],tblCanales[#All],5,FALSE),tblPesosValorOperativo[Valor],tblPesosValorOperativo[Opacidad],0),0)</f>
        <v>3</v>
      </c>
      <c r="M187" s="14">
        <f>IFERROR(_xlfn.XLOOKUP(VLOOKUP(tblEnlaces[[#This Row],[Canal]],tblCanales[#All],6,FALSE),tblPesosValorOperativo[Valor],tblPesosValorOperativo[Trazabilidad],0),0)</f>
        <v>3</v>
      </c>
      <c r="N187" s="14">
        <f>IFERROR(_xlfn.XLOOKUP(VLOOKUP(tblEnlaces[[#This Row],[Canal]],tblCanales[#All],7,FALSE),tblPesosValorOperativo[Valor],tblPesosValorOperativo[Velocidad],0),0)</f>
        <v>5</v>
      </c>
      <c r="O187" s="14">
        <f>IFERROR(_xlfn.XLOOKUP(VLOOKUP(tblEnlaces[[#This Row],[Canal]],tblCanales[#All],8,FALSE),tblPesosValorOperativo[Valor],tblPesosValorOperativo[Escalabilidad],0),0)</f>
        <v>0</v>
      </c>
      <c r="P187" s="53">
        <f>tblEnlaces[[#This Row],[Opacidad]]+tblEnlaces[[#This Row],[Escalabilidad]]+tblEnlaces[[#This Row],[Velocidad]]+tblEnlaces[[#This Row],[Trazabilidad]]</f>
        <v>11</v>
      </c>
    </row>
    <row r="188" spans="2:16" ht="16.5" customHeight="1" x14ac:dyDescent="0.25">
      <c r="B188" s="66" t="str">
        <f t="array" ref="B18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E051</v>
      </c>
      <c r="C188" s="10" t="s">
        <v>71</v>
      </c>
      <c r="D188" s="10" t="str">
        <f>VLOOKUP(tblEnlaces[[#This Row],[Nodo Inicial]],tblNodos[],2,FALSE)</f>
        <v>Intermediarios financeros especializados</v>
      </c>
      <c r="E188" s="39" t="s">
        <v>79</v>
      </c>
      <c r="F188" s="10" t="str">
        <f>VLOOKUP(tblEnlaces[[#This Row],[Nodo Final]],tblNodos[],2,FALSE)</f>
        <v>Gestión operativa descentralizada</v>
      </c>
      <c r="G188" s="39" t="s">
        <v>408</v>
      </c>
      <c r="H188" s="39">
        <v>1</v>
      </c>
      <c r="I188" s="53">
        <f>IFERROR(_xlfn.XLOOKUP(VLOOKUP(tblEnlaces[[#This Row],[Canal]],tblCanales[#All],2,FALSE),tblPesosValorOperativo[Valor],tblPesosValorOperativo[Frecuencia de Uso],0),0)</f>
        <v>2</v>
      </c>
      <c r="J188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88" s="62">
        <f>IFERROR(_xlfn.XLOOKUP(VLOOKUP(tblEnlaces[[#This Row],[Canal]],tblCanales[#All],3,FALSE),tblPesosCoste[Valor],tblPesosCoste[Peso],0),0)</f>
        <v>2</v>
      </c>
      <c r="L188" s="10">
        <f>IFERROR(_xlfn.XLOOKUP(VLOOKUP(tblEnlaces[[#This Row],[Canal]],tblCanales[#All],5,FALSE),tblPesosValorOperativo[Valor],tblPesosValorOperativo[Opacidad],0),0)</f>
        <v>3</v>
      </c>
      <c r="M188" s="14">
        <f>IFERROR(_xlfn.XLOOKUP(VLOOKUP(tblEnlaces[[#This Row],[Canal]],tblCanales[#All],6,FALSE),tblPesosValorOperativo[Valor],tblPesosValorOperativo[Trazabilidad],0),0)</f>
        <v>1</v>
      </c>
      <c r="N188" s="14">
        <f>IFERROR(_xlfn.XLOOKUP(VLOOKUP(tblEnlaces[[#This Row],[Canal]],tblCanales[#All],7,FALSE),tblPesosValorOperativo[Valor],tblPesosValorOperativo[Velocidad],0),0)</f>
        <v>3</v>
      </c>
      <c r="O188" s="14">
        <f>IFERROR(_xlfn.XLOOKUP(VLOOKUP(tblEnlaces[[#This Row],[Canal]],tblCanales[#All],8,FALSE),tblPesosValorOperativo[Valor],tblPesosValorOperativo[Escalabilidad],0),0)</f>
        <v>0</v>
      </c>
      <c r="P188" s="53">
        <f>tblEnlaces[[#This Row],[Opacidad]]+tblEnlaces[[#This Row],[Escalabilidad]]+tblEnlaces[[#This Row],[Velocidad]]+tblEnlaces[[#This Row],[Trazabilidad]]</f>
        <v>7</v>
      </c>
    </row>
    <row r="189" spans="2:16" ht="16.5" customHeight="1" x14ac:dyDescent="0.25">
      <c r="B189" s="66" t="str">
        <f t="array" ref="B18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E051</v>
      </c>
      <c r="C189" s="10" t="s">
        <v>71</v>
      </c>
      <c r="D189" s="10" t="str">
        <f>VLOOKUP(tblEnlaces[[#This Row],[Nodo Inicial]],tblNodos[],2,FALSE)</f>
        <v>Intermediarios financeros especializados</v>
      </c>
      <c r="E189" s="39" t="s">
        <v>79</v>
      </c>
      <c r="F189" s="10" t="str">
        <f>VLOOKUP(tblEnlaces[[#This Row],[Nodo Final]],tblNodos[],2,FALSE)</f>
        <v>Gestión operativa descentralizada</v>
      </c>
      <c r="G189" s="39" t="s">
        <v>420</v>
      </c>
      <c r="H189" s="39">
        <v>1</v>
      </c>
      <c r="I189" s="53">
        <f>IFERROR(_xlfn.XLOOKUP(VLOOKUP(tblEnlaces[[#This Row],[Canal]],tblCanales[#All],2,FALSE),tblPesosValorOperativo[Valor],tblPesosValorOperativo[Frecuencia de Uso],0),0)</f>
        <v>2</v>
      </c>
      <c r="J189" s="63">
        <f>IF(tblEnlaces[[#This Row],[Activo]]&lt;&gt;1,0,IFERROR(tblEnlaces[[#This Row],[Frecuencia de Uso]]/SUMIFS(tblEnlaces[Frecuencia de Uso],tblEnlaces[Enlace],tblEnlaces[[#This Row],[Enlace]],tblEnlaces[Activo],1),0))</f>
        <v>0.5</v>
      </c>
      <c r="K189" s="62">
        <f>IFERROR(_xlfn.XLOOKUP(VLOOKUP(tblEnlaces[[#This Row],[Canal]],tblCanales[#All],3,FALSE),tblPesosCoste[Valor],tblPesosCoste[Peso],0),0)</f>
        <v>2</v>
      </c>
      <c r="L189" s="10">
        <f>IFERROR(_xlfn.XLOOKUP(VLOOKUP(tblEnlaces[[#This Row],[Canal]],tblCanales[#All],5,FALSE),tblPesosValorOperativo[Valor],tblPesosValorOperativo[Opacidad],0),0)</f>
        <v>3</v>
      </c>
      <c r="M189" s="14">
        <f>IFERROR(_xlfn.XLOOKUP(VLOOKUP(tblEnlaces[[#This Row],[Canal]],tblCanales[#All],6,FALSE),tblPesosValorOperativo[Valor],tblPesosValorOperativo[Trazabilidad],0),0)</f>
        <v>1</v>
      </c>
      <c r="N189" s="14">
        <f>IFERROR(_xlfn.XLOOKUP(VLOOKUP(tblEnlaces[[#This Row],[Canal]],tblCanales[#All],7,FALSE),tblPesosValorOperativo[Valor],tblPesosValorOperativo[Velocidad],0),0)</f>
        <v>2</v>
      </c>
      <c r="O189" s="14">
        <f>IFERROR(_xlfn.XLOOKUP(VLOOKUP(tblEnlaces[[#This Row],[Canal]],tblCanales[#All],8,FALSE),tblPesosValorOperativo[Valor],tblPesosValorOperativo[Escalabilidad],0),0)</f>
        <v>0</v>
      </c>
      <c r="P189" s="53">
        <f>tblEnlaces[[#This Row],[Opacidad]]+tblEnlaces[[#This Row],[Escalabilidad]]+tblEnlaces[[#This Row],[Velocidad]]+tblEnlaces[[#This Row],[Trazabilidad]]</f>
        <v>6</v>
      </c>
    </row>
    <row r="190" spans="2:16" ht="16.5" customHeight="1" x14ac:dyDescent="0.25">
      <c r="B190" s="66" t="str">
        <f t="array" ref="B19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E052</v>
      </c>
      <c r="C190" s="10" t="s">
        <v>71</v>
      </c>
      <c r="D190" s="10" t="str">
        <f>VLOOKUP(tblEnlaces[[#This Row],[Nodo Inicial]],tblNodos[],2,FALSE)</f>
        <v>Intermediarios financeros especializados</v>
      </c>
      <c r="E190" s="39" t="s">
        <v>77</v>
      </c>
      <c r="F190" s="10" t="str">
        <f>VLOOKUP(tblEnlaces[[#This Row],[Nodo Final]],tblNodos[],2,FALSE)</f>
        <v>Dirección financiera</v>
      </c>
      <c r="G190" s="39" t="s">
        <v>402</v>
      </c>
      <c r="H190" s="39">
        <v>1</v>
      </c>
      <c r="I190" s="53">
        <f>IFERROR(_xlfn.XLOOKUP(VLOOKUP(tblEnlaces[[#This Row],[Canal]],tblCanales[#All],2,FALSE),tblPesosValorOperativo[Valor],tblPesosValorOperativo[Frecuencia de Uso],0),0)</f>
        <v>2</v>
      </c>
      <c r="J190" s="63">
        <f>IF(tblEnlaces[[#This Row],[Activo]]&lt;&gt;1,0,IFERROR(tblEnlaces[[#This Row],[Frecuencia de Uso]]/SUMIFS(tblEnlaces[Frecuencia de Uso],tblEnlaces[Enlace],tblEnlaces[[#This Row],[Enlace]],tblEnlaces[Activo],1),0))</f>
        <v>0.4</v>
      </c>
      <c r="K190" s="62">
        <f>IFERROR(_xlfn.XLOOKUP(VLOOKUP(tblEnlaces[[#This Row],[Canal]],tblCanales[#All],3,FALSE),tblPesosCoste[Valor],tblPesosCoste[Peso],0),0)</f>
        <v>3</v>
      </c>
      <c r="L190" s="10">
        <f>IFERROR(_xlfn.XLOOKUP(VLOOKUP(tblEnlaces[[#This Row],[Canal]],tblCanales[#All],5,FALSE),tblPesosValorOperativo[Valor],tblPesosValorOperativo[Opacidad],0),0)</f>
        <v>2</v>
      </c>
      <c r="M190" s="14">
        <f>IFERROR(_xlfn.XLOOKUP(VLOOKUP(tblEnlaces[[#This Row],[Canal]],tblCanales[#All],6,FALSE),tblPesosValorOperativo[Valor],tblPesosValorOperativo[Trazabilidad],0),0)</f>
        <v>3</v>
      </c>
      <c r="N190" s="14">
        <f>IFERROR(_xlfn.XLOOKUP(VLOOKUP(tblEnlaces[[#This Row],[Canal]],tblCanales[#All],7,FALSE),tblPesosValorOperativo[Valor],tblPesosValorOperativo[Velocidad],0),0)</f>
        <v>5</v>
      </c>
      <c r="O190" s="14">
        <f>IFERROR(_xlfn.XLOOKUP(VLOOKUP(tblEnlaces[[#This Row],[Canal]],tblCanales[#All],8,FALSE),tblPesosValorOperativo[Valor],tblPesosValorOperativo[Escalabilidad],0),0)</f>
        <v>0</v>
      </c>
      <c r="P190" s="53">
        <f>tblEnlaces[[#This Row],[Opacidad]]+tblEnlaces[[#This Row],[Escalabilidad]]+tblEnlaces[[#This Row],[Velocidad]]+tblEnlaces[[#This Row],[Trazabilidad]]</f>
        <v>10</v>
      </c>
    </row>
    <row r="191" spans="2:16" ht="16.5" customHeight="1" x14ac:dyDescent="0.25">
      <c r="B191" s="66" t="str">
        <f t="array" ref="B19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E052</v>
      </c>
      <c r="C191" s="10" t="s">
        <v>71</v>
      </c>
      <c r="D191" s="10" t="str">
        <f>VLOOKUP(tblEnlaces[[#This Row],[Nodo Inicial]],tblNodos[],2,FALSE)</f>
        <v>Intermediarios financeros especializados</v>
      </c>
      <c r="E191" s="39" t="s">
        <v>77</v>
      </c>
      <c r="F191" s="10" t="str">
        <f>VLOOKUP(tblEnlaces[[#This Row],[Nodo Final]],tblNodos[],2,FALSE)</f>
        <v>Dirección financiera</v>
      </c>
      <c r="G191" s="39" t="s">
        <v>360</v>
      </c>
      <c r="H191" s="39">
        <v>1</v>
      </c>
      <c r="I191" s="53">
        <f>IFERROR(_xlfn.XLOOKUP(VLOOKUP(tblEnlaces[[#This Row],[Canal]],tblCanales[#All],2,FALSE),tblPesosValorOperativo[Valor],tblPesosValorOperativo[Frecuencia de Uso],0),0)</f>
        <v>3</v>
      </c>
      <c r="J191" s="63">
        <f>IF(tblEnlaces[[#This Row],[Activo]]&lt;&gt;1,0,IFERROR(tblEnlaces[[#This Row],[Frecuencia de Uso]]/SUMIFS(tblEnlaces[Frecuencia de Uso],tblEnlaces[Enlace],tblEnlaces[[#This Row],[Enlace]],tblEnlaces[Activo],1),0))</f>
        <v>0.6</v>
      </c>
      <c r="K191" s="62">
        <f>IFERROR(_xlfn.XLOOKUP(VLOOKUP(tblEnlaces[[#This Row],[Canal]],tblCanales[#All],3,FALSE),tblPesosCoste[Valor],tblPesosCoste[Peso],0),0)</f>
        <v>3</v>
      </c>
      <c r="L191" s="10">
        <f>IFERROR(_xlfn.XLOOKUP(VLOOKUP(tblEnlaces[[#This Row],[Canal]],tblCanales[#All],5,FALSE),tblPesosValorOperativo[Valor],tblPesosValorOperativo[Opacidad],0),0)</f>
        <v>3</v>
      </c>
      <c r="M191" s="14">
        <f>IFERROR(_xlfn.XLOOKUP(VLOOKUP(tblEnlaces[[#This Row],[Canal]],tblCanales[#All],6,FALSE),tblPesosValorOperativo[Valor],tblPesosValorOperativo[Trazabilidad],0),0)</f>
        <v>3</v>
      </c>
      <c r="N191" s="14">
        <f>IFERROR(_xlfn.XLOOKUP(VLOOKUP(tblEnlaces[[#This Row],[Canal]],tblCanales[#All],7,FALSE),tblPesosValorOperativo[Valor],tblPesosValorOperativo[Velocidad],0),0)</f>
        <v>5</v>
      </c>
      <c r="O191" s="14">
        <f>IFERROR(_xlfn.XLOOKUP(VLOOKUP(tblEnlaces[[#This Row],[Canal]],tblCanales[#All],8,FALSE),tblPesosValorOperativo[Valor],tblPesosValorOperativo[Escalabilidad],0),0)</f>
        <v>0</v>
      </c>
      <c r="P191" s="53">
        <f>tblEnlaces[[#This Row],[Opacidad]]+tblEnlaces[[#This Row],[Escalabilidad]]+tblEnlaces[[#This Row],[Velocidad]]+tblEnlaces[[#This Row],[Trazabilidad]]</f>
        <v>11</v>
      </c>
    </row>
    <row r="192" spans="2:16" ht="16.5" customHeight="1" x14ac:dyDescent="0.25">
      <c r="B192" s="66" t="str">
        <f t="array" ref="B19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E053</v>
      </c>
      <c r="C192" s="10" t="s">
        <v>73</v>
      </c>
      <c r="D192" s="10" t="str">
        <f>VLOOKUP(tblEnlaces[[#This Row],[Nodo Inicial]],tblNodos[],2,FALSE)</f>
        <v>Intermediarios operativos y de cobertura</v>
      </c>
      <c r="E192" s="39" t="s">
        <v>77</v>
      </c>
      <c r="F192" s="10" t="str">
        <f>VLOOKUP(tblEnlaces[[#This Row],[Nodo Final]],tblNodos[],2,FALSE)</f>
        <v>Dirección financiera</v>
      </c>
      <c r="G192" s="39" t="s">
        <v>136</v>
      </c>
      <c r="H192" s="39">
        <v>1</v>
      </c>
      <c r="I192" s="53">
        <f>IFERROR(_xlfn.XLOOKUP(VLOOKUP(tblEnlaces[[#This Row],[Canal]],tblCanales[#All],2,FALSE),tblPesosValorOperativo[Valor],tblPesosValorOperativo[Frecuencia de Uso],0),0)</f>
        <v>2</v>
      </c>
      <c r="J192" s="63">
        <f>IF(tblEnlaces[[#This Row],[Activo]]&lt;&gt;1,0,IFERROR(tblEnlaces[[#This Row],[Frecuencia de Uso]]/SUMIFS(tblEnlaces[Frecuencia de Uso],tblEnlaces[Enlace],tblEnlaces[[#This Row],[Enlace]],tblEnlaces[Activo],1),0))</f>
        <v>1</v>
      </c>
      <c r="K192" s="62">
        <f>IFERROR(_xlfn.XLOOKUP(VLOOKUP(tblEnlaces[[#This Row],[Canal]],tblCanales[#All],3,FALSE),tblPesosCoste[Valor],tblPesosCoste[Peso],0),0)</f>
        <v>4</v>
      </c>
      <c r="L192" s="10">
        <f>IFERROR(_xlfn.XLOOKUP(VLOOKUP(tblEnlaces[[#This Row],[Canal]],tblCanales[#All],5,FALSE),tblPesosValorOperativo[Valor],tblPesosValorOperativo[Opacidad],0),0)</f>
        <v>5</v>
      </c>
      <c r="M192" s="14">
        <f>IFERROR(_xlfn.XLOOKUP(VLOOKUP(tblEnlaces[[#This Row],[Canal]],tblCanales[#All],6,FALSE),tblPesosValorOperativo[Valor],tblPesosValorOperativo[Trazabilidad],0),0)</f>
        <v>2</v>
      </c>
      <c r="N192" s="14">
        <f>IFERROR(_xlfn.XLOOKUP(VLOOKUP(tblEnlaces[[#This Row],[Canal]],tblCanales[#All],7,FALSE),tblPesosValorOperativo[Valor],tblPesosValorOperativo[Velocidad],0),0)</f>
        <v>4</v>
      </c>
      <c r="O192" s="14">
        <f>IFERROR(_xlfn.XLOOKUP(VLOOKUP(tblEnlaces[[#This Row],[Canal]],tblCanales[#All],8,FALSE),tblPesosValorOperativo[Valor],tblPesosValorOperativo[Escalabilidad],0),0)</f>
        <v>0</v>
      </c>
      <c r="P192" s="53">
        <f>tblEnlaces[[#This Row],[Opacidad]]+tblEnlaces[[#This Row],[Escalabilidad]]+tblEnlaces[[#This Row],[Velocidad]]+tblEnlaces[[#This Row],[Trazabilidad]]</f>
        <v>11</v>
      </c>
    </row>
    <row r="193" spans="2:16" ht="16.5" customHeight="1" x14ac:dyDescent="0.25">
      <c r="B193" s="66" t="str">
        <f t="array" ref="B19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E054</v>
      </c>
      <c r="C193" s="10" t="s">
        <v>75</v>
      </c>
      <c r="D193" s="10" t="str">
        <f>VLOOKUP(tblEnlaces[[#This Row],[Nodo Inicial]],tblNodos[],2,FALSE)</f>
        <v>Intermediarios de negociación y rescate</v>
      </c>
      <c r="E193" s="39" t="s">
        <v>83</v>
      </c>
      <c r="F193" s="10" t="str">
        <f>VLOOKUP(tblEnlaces[[#This Row],[Nodo Final]],tblNodos[],2,FALSE)</f>
        <v>Coordinación de la red y soporte estratégico</v>
      </c>
      <c r="G193" s="39" t="s">
        <v>312</v>
      </c>
      <c r="H193" s="39">
        <v>1</v>
      </c>
      <c r="I193" s="53">
        <f>IFERROR(_xlfn.XLOOKUP(VLOOKUP(tblEnlaces[[#This Row],[Canal]],tblCanales[#All],2,FALSE),tblPesosValorOperativo[Valor],tblPesosValorOperativo[Frecuencia de Uso],0),0)</f>
        <v>2</v>
      </c>
      <c r="J193" s="63">
        <f>IF(tblEnlaces[[#This Row],[Activo]]&lt;&gt;1,0,IFERROR(tblEnlaces[[#This Row],[Frecuencia de Uso]]/SUMIFS(tblEnlaces[Frecuencia de Uso],tblEnlaces[Enlace],tblEnlaces[[#This Row],[Enlace]],tblEnlaces[Activo],1),0))</f>
        <v>1</v>
      </c>
      <c r="K193" s="62">
        <f>IFERROR(_xlfn.XLOOKUP(VLOOKUP(tblEnlaces[[#This Row],[Canal]],tblCanales[#All],3,FALSE),tblPesosCoste[Valor],tblPesosCoste[Peso],0),0)</f>
        <v>2</v>
      </c>
      <c r="L193" s="10">
        <f>IFERROR(_xlfn.XLOOKUP(VLOOKUP(tblEnlaces[[#This Row],[Canal]],tblCanales[#All],5,FALSE),tblPesosValorOperativo[Valor],tblPesosValorOperativo[Opacidad],0),0)</f>
        <v>2</v>
      </c>
      <c r="M193" s="14">
        <f>IFERROR(_xlfn.XLOOKUP(VLOOKUP(tblEnlaces[[#This Row],[Canal]],tblCanales[#All],6,FALSE),tblPesosValorOperativo[Valor],tblPesosValorOperativo[Trazabilidad],0),0)</f>
        <v>4</v>
      </c>
      <c r="N193" s="14">
        <f>IFERROR(_xlfn.XLOOKUP(VLOOKUP(tblEnlaces[[#This Row],[Canal]],tblCanales[#All],7,FALSE),tblPesosValorOperativo[Valor],tblPesosValorOperativo[Velocidad],0),0)</f>
        <v>2</v>
      </c>
      <c r="O193" s="14">
        <f>IFERROR(_xlfn.XLOOKUP(VLOOKUP(tblEnlaces[[#This Row],[Canal]],tblCanales[#All],8,FALSE),tblPesosValorOperativo[Valor],tblPesosValorOperativo[Escalabilidad],0),0)</f>
        <v>0</v>
      </c>
      <c r="P193" s="53">
        <f>tblEnlaces[[#This Row],[Opacidad]]+tblEnlaces[[#This Row],[Escalabilidad]]+tblEnlaces[[#This Row],[Velocidad]]+tblEnlaces[[#This Row],[Trazabilidad]]</f>
        <v>8</v>
      </c>
    </row>
    <row r="194" spans="2:16" ht="16.5" customHeight="1" x14ac:dyDescent="0.25">
      <c r="B194" s="66" t="str">
        <f t="array" ref="B19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E055</v>
      </c>
      <c r="C194" s="10" t="s">
        <v>77</v>
      </c>
      <c r="D194" s="10" t="str">
        <f>VLOOKUP(tblEnlaces[[#This Row],[Nodo Inicial]],tblNodos[],2,FALSE)</f>
        <v>Dirección financiera</v>
      </c>
      <c r="E194" s="39" t="s">
        <v>85</v>
      </c>
      <c r="F194" s="10" t="str">
        <f>VLOOKUP(tblEnlaces[[#This Row],[Nodo Final]],tblNodos[],2,FALSE)</f>
        <v>Destino operativo final</v>
      </c>
      <c r="G194" s="39" t="s">
        <v>156</v>
      </c>
      <c r="H194" s="39">
        <v>1</v>
      </c>
      <c r="I194" s="53">
        <f>IFERROR(_xlfn.XLOOKUP(VLOOKUP(tblEnlaces[[#This Row],[Canal]],tblCanales[#All],2,FALSE),tblPesosValorOperativo[Valor],tblPesosValorOperativo[Frecuencia de Uso],0),0)</f>
        <v>5</v>
      </c>
      <c r="J194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194" s="62">
        <f>IFERROR(_xlfn.XLOOKUP(VLOOKUP(tblEnlaces[[#This Row],[Canal]],tblCanales[#All],3,FALSE),tblPesosCoste[Valor],tblPesosCoste[Peso],0),0)</f>
        <v>5</v>
      </c>
      <c r="L194" s="10">
        <f>IFERROR(_xlfn.XLOOKUP(VLOOKUP(tblEnlaces[[#This Row],[Canal]],tblCanales[#All],5,FALSE),tblPesosValorOperativo[Valor],tblPesosValorOperativo[Opacidad],0),0)</f>
        <v>1</v>
      </c>
      <c r="M194" s="14">
        <f>IFERROR(_xlfn.XLOOKUP(VLOOKUP(tblEnlaces[[#This Row],[Canal]],tblCanales[#All],6,FALSE),tblPesosValorOperativo[Valor],tblPesosValorOperativo[Trazabilidad],0),0)</f>
        <v>1</v>
      </c>
      <c r="N194" s="14">
        <f>IFERROR(_xlfn.XLOOKUP(VLOOKUP(tblEnlaces[[#This Row],[Canal]],tblCanales[#All],7,FALSE),tblPesosValorOperativo[Valor],tblPesosValorOperativo[Velocidad],0),0)</f>
        <v>5</v>
      </c>
      <c r="O194" s="14">
        <f>IFERROR(_xlfn.XLOOKUP(VLOOKUP(tblEnlaces[[#This Row],[Canal]],tblCanales[#All],8,FALSE),tblPesosValorOperativo[Valor],tblPesosValorOperativo[Escalabilidad],0),0)</f>
        <v>0</v>
      </c>
      <c r="P194" s="53">
        <f>tblEnlaces[[#This Row],[Opacidad]]+tblEnlaces[[#This Row],[Escalabilidad]]+tblEnlaces[[#This Row],[Velocidad]]+tblEnlaces[[#This Row],[Trazabilidad]]</f>
        <v>7</v>
      </c>
    </row>
    <row r="195" spans="2:16" ht="16.5" customHeight="1" x14ac:dyDescent="0.25">
      <c r="B195" s="66" t="str">
        <f t="array" ref="B19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E055</v>
      </c>
      <c r="C195" s="10" t="s">
        <v>77</v>
      </c>
      <c r="D195" s="10" t="str">
        <f>VLOOKUP(tblEnlaces[[#This Row],[Nodo Inicial]],tblNodos[],2,FALSE)</f>
        <v>Dirección financiera</v>
      </c>
      <c r="E195" s="39" t="s">
        <v>85</v>
      </c>
      <c r="F195" s="10" t="str">
        <f>VLOOKUP(tblEnlaces[[#This Row],[Nodo Final]],tblNodos[],2,FALSE)</f>
        <v>Destino operativo final</v>
      </c>
      <c r="G195" s="39" t="s">
        <v>432</v>
      </c>
      <c r="H195" s="39">
        <v>1</v>
      </c>
      <c r="I195" s="53">
        <f>IFERROR(_xlfn.XLOOKUP(VLOOKUP(tblEnlaces[[#This Row],[Canal]],tblCanales[#All],2,FALSE),tblPesosValorOperativo[Valor],tblPesosValorOperativo[Frecuencia de Uso],0),0)</f>
        <v>4</v>
      </c>
      <c r="J195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195" s="62">
        <f>IFERROR(_xlfn.XLOOKUP(VLOOKUP(tblEnlaces[[#This Row],[Canal]],tblCanales[#All],3,FALSE),tblPesosCoste[Valor],tblPesosCoste[Peso],0),0)</f>
        <v>3</v>
      </c>
      <c r="L195" s="10">
        <f>IFERROR(_xlfn.XLOOKUP(VLOOKUP(tblEnlaces[[#This Row],[Canal]],tblCanales[#All],5,FALSE),tblPesosValorOperativo[Valor],tblPesosValorOperativo[Opacidad],0),0)</f>
        <v>2</v>
      </c>
      <c r="M195" s="14">
        <f>IFERROR(_xlfn.XLOOKUP(VLOOKUP(tblEnlaces[[#This Row],[Canal]],tblCanales[#All],6,FALSE),tblPesosValorOperativo[Valor],tblPesosValorOperativo[Trazabilidad],0),0)</f>
        <v>3</v>
      </c>
      <c r="N195" s="14">
        <f>IFERROR(_xlfn.XLOOKUP(VLOOKUP(tblEnlaces[[#This Row],[Canal]],tblCanales[#All],7,FALSE),tblPesosValorOperativo[Valor],tblPesosValorOperativo[Velocidad],0),0)</f>
        <v>4</v>
      </c>
      <c r="O195" s="14">
        <f>IFERROR(_xlfn.XLOOKUP(VLOOKUP(tblEnlaces[[#This Row],[Canal]],tblCanales[#All],8,FALSE),tblPesosValorOperativo[Valor],tblPesosValorOperativo[Escalabilidad],0),0)</f>
        <v>0</v>
      </c>
      <c r="P195" s="53">
        <f>tblEnlaces[[#This Row],[Opacidad]]+tblEnlaces[[#This Row],[Escalabilidad]]+tblEnlaces[[#This Row],[Velocidad]]+tblEnlaces[[#This Row],[Trazabilidad]]</f>
        <v>9</v>
      </c>
    </row>
    <row r="196" spans="2:16" ht="16.5" customHeight="1" x14ac:dyDescent="0.25">
      <c r="B196" s="66" t="str">
        <f t="array" ref="B19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E055</v>
      </c>
      <c r="C196" s="10" t="s">
        <v>77</v>
      </c>
      <c r="D196" s="10" t="str">
        <f>VLOOKUP(tblEnlaces[[#This Row],[Nodo Inicial]],tblNodos[],2,FALSE)</f>
        <v>Dirección financiera</v>
      </c>
      <c r="E196" s="39" t="s">
        <v>85</v>
      </c>
      <c r="F196" s="10" t="str">
        <f>VLOOKUP(tblEnlaces[[#This Row],[Nodo Final]],tblNodos[],2,FALSE)</f>
        <v>Destino operativo final</v>
      </c>
      <c r="G196" s="39" t="s">
        <v>438</v>
      </c>
      <c r="H196" s="39">
        <v>1</v>
      </c>
      <c r="I196" s="53">
        <f>IFERROR(_xlfn.XLOOKUP(VLOOKUP(tblEnlaces[[#This Row],[Canal]],tblCanales[#All],2,FALSE),tblPesosValorOperativo[Valor],tblPesosValorOperativo[Frecuencia de Uso],0),0)</f>
        <v>4</v>
      </c>
      <c r="J196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196" s="62">
        <f>IFERROR(_xlfn.XLOOKUP(VLOOKUP(tblEnlaces[[#This Row],[Canal]],tblCanales[#All],3,FALSE),tblPesosCoste[Valor],tblPesosCoste[Peso],0),0)</f>
        <v>3</v>
      </c>
      <c r="L196" s="10">
        <f>IFERROR(_xlfn.XLOOKUP(VLOOKUP(tblEnlaces[[#This Row],[Canal]],tblCanales[#All],5,FALSE),tblPesosValorOperativo[Valor],tblPesosValorOperativo[Opacidad],0),0)</f>
        <v>2</v>
      </c>
      <c r="M196" s="14">
        <f>IFERROR(_xlfn.XLOOKUP(VLOOKUP(tblEnlaces[[#This Row],[Canal]],tblCanales[#All],6,FALSE),tblPesosValorOperativo[Valor],tblPesosValorOperativo[Trazabilidad],0),0)</f>
        <v>3</v>
      </c>
      <c r="N196" s="14">
        <f>IFERROR(_xlfn.XLOOKUP(VLOOKUP(tblEnlaces[[#This Row],[Canal]],tblCanales[#All],7,FALSE),tblPesosValorOperativo[Valor],tblPesosValorOperativo[Velocidad],0),0)</f>
        <v>3</v>
      </c>
      <c r="O196" s="14">
        <f>IFERROR(_xlfn.XLOOKUP(VLOOKUP(tblEnlaces[[#This Row],[Canal]],tblCanales[#All],8,FALSE),tblPesosValorOperativo[Valor],tblPesosValorOperativo[Escalabilidad],0),0)</f>
        <v>0</v>
      </c>
      <c r="P196" s="53">
        <f>tblEnlaces[[#This Row],[Opacidad]]+tblEnlaces[[#This Row],[Escalabilidad]]+tblEnlaces[[#This Row],[Velocidad]]+tblEnlaces[[#This Row],[Trazabilidad]]</f>
        <v>8</v>
      </c>
    </row>
    <row r="197" spans="2:16" ht="16.5" customHeight="1" x14ac:dyDescent="0.25">
      <c r="B197" s="66" t="str">
        <f t="array" ref="B19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E055</v>
      </c>
      <c r="C197" s="10" t="s">
        <v>77</v>
      </c>
      <c r="D197" s="10" t="str">
        <f>VLOOKUP(tblEnlaces[[#This Row],[Nodo Inicial]],tblNodos[],2,FALSE)</f>
        <v>Dirección financiera</v>
      </c>
      <c r="E197" s="39" t="s">
        <v>85</v>
      </c>
      <c r="F197" s="10" t="str">
        <f>VLOOKUP(tblEnlaces[[#This Row],[Nodo Final]],tblNodos[],2,FALSE)</f>
        <v>Destino operativo final</v>
      </c>
      <c r="G197" s="39" t="s">
        <v>136</v>
      </c>
      <c r="H197" s="39">
        <v>1</v>
      </c>
      <c r="I197" s="53">
        <f>IFERROR(_xlfn.XLOOKUP(VLOOKUP(tblEnlaces[[#This Row],[Canal]],tblCanales[#All],2,FALSE),tblPesosValorOperativo[Valor],tblPesosValorOperativo[Frecuencia de Uso],0),0)</f>
        <v>2</v>
      </c>
      <c r="J197" s="63">
        <f>IF(tblEnlaces[[#This Row],[Activo]]&lt;&gt;1,0,IFERROR(tblEnlaces[[#This Row],[Frecuencia de Uso]]/SUMIFS(tblEnlaces[Frecuencia de Uso],tblEnlaces[Enlace],tblEnlaces[[#This Row],[Enlace]],tblEnlaces[Activo],1),0))</f>
        <v>0.1</v>
      </c>
      <c r="K197" s="62">
        <f>IFERROR(_xlfn.XLOOKUP(VLOOKUP(tblEnlaces[[#This Row],[Canal]],tblCanales[#All],3,FALSE),tblPesosCoste[Valor],tblPesosCoste[Peso],0),0)</f>
        <v>4</v>
      </c>
      <c r="L197" s="10">
        <f>IFERROR(_xlfn.XLOOKUP(VLOOKUP(tblEnlaces[[#This Row],[Canal]],tblCanales[#All],5,FALSE),tblPesosValorOperativo[Valor],tblPesosValorOperativo[Opacidad],0),0)</f>
        <v>5</v>
      </c>
      <c r="M197" s="14">
        <f>IFERROR(_xlfn.XLOOKUP(VLOOKUP(tblEnlaces[[#This Row],[Canal]],tblCanales[#All],6,FALSE),tblPesosValorOperativo[Valor],tblPesosValorOperativo[Trazabilidad],0),0)</f>
        <v>2</v>
      </c>
      <c r="N197" s="14">
        <f>IFERROR(_xlfn.XLOOKUP(VLOOKUP(tblEnlaces[[#This Row],[Canal]],tblCanales[#All],7,FALSE),tblPesosValorOperativo[Valor],tblPesosValorOperativo[Velocidad],0),0)</f>
        <v>4</v>
      </c>
      <c r="O197" s="14">
        <f>IFERROR(_xlfn.XLOOKUP(VLOOKUP(tblEnlaces[[#This Row],[Canal]],tblCanales[#All],8,FALSE),tblPesosValorOperativo[Valor],tblPesosValorOperativo[Escalabilidad],0),0)</f>
        <v>0</v>
      </c>
      <c r="P197" s="53">
        <f>tblEnlaces[[#This Row],[Opacidad]]+tblEnlaces[[#This Row],[Escalabilidad]]+tblEnlaces[[#This Row],[Velocidad]]+tblEnlaces[[#This Row],[Trazabilidad]]</f>
        <v>11</v>
      </c>
    </row>
    <row r="198" spans="2:16" ht="16.5" customHeight="1" x14ac:dyDescent="0.25">
      <c r="B198" s="66" t="str">
        <f t="array" ref="B19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E055</v>
      </c>
      <c r="C198" s="10" t="s">
        <v>77</v>
      </c>
      <c r="D198" s="10" t="str">
        <f>VLOOKUP(tblEnlaces[[#This Row],[Nodo Inicial]],tblNodos[],2,FALSE)</f>
        <v>Dirección financiera</v>
      </c>
      <c r="E198" s="39" t="s">
        <v>85</v>
      </c>
      <c r="F198" s="10" t="str">
        <f>VLOOKUP(tblEnlaces[[#This Row],[Nodo Final]],tblNodos[],2,FALSE)</f>
        <v>Destino operativo final</v>
      </c>
      <c r="G198" s="39" t="s">
        <v>174</v>
      </c>
      <c r="H198" s="39">
        <v>1</v>
      </c>
      <c r="I198" s="53">
        <f>IFERROR(_xlfn.XLOOKUP(VLOOKUP(tblEnlaces[[#This Row],[Canal]],tblCanales[#All],2,FALSE),tblPesosValorOperativo[Valor],tblPesosValorOperativo[Frecuencia de Uso],0),0)</f>
        <v>3</v>
      </c>
      <c r="J198" s="63">
        <f>IF(tblEnlaces[[#This Row],[Activo]]&lt;&gt;1,0,IFERROR(tblEnlaces[[#This Row],[Frecuencia de Uso]]/SUMIFS(tblEnlaces[Frecuencia de Uso],tblEnlaces[Enlace],tblEnlaces[[#This Row],[Enlace]],tblEnlaces[Activo],1),0))</f>
        <v>0.15</v>
      </c>
      <c r="K198" s="62">
        <f>IFERROR(_xlfn.XLOOKUP(VLOOKUP(tblEnlaces[[#This Row],[Canal]],tblCanales[#All],3,FALSE),tblPesosCoste[Valor],tblPesosCoste[Peso],0),0)</f>
        <v>5</v>
      </c>
      <c r="L198" s="10">
        <f>IFERROR(_xlfn.XLOOKUP(VLOOKUP(tblEnlaces[[#This Row],[Canal]],tblCanales[#All],5,FALSE),tblPesosValorOperativo[Valor],tblPesosValorOperativo[Opacidad],0),0)</f>
        <v>3</v>
      </c>
      <c r="M198" s="14">
        <f>IFERROR(_xlfn.XLOOKUP(VLOOKUP(tblEnlaces[[#This Row],[Canal]],tblCanales[#All],6,FALSE),tblPesosValorOperativo[Valor],tblPesosValorOperativo[Trazabilidad],0),0)</f>
        <v>1</v>
      </c>
      <c r="N198" s="14">
        <f>IFERROR(_xlfn.XLOOKUP(VLOOKUP(tblEnlaces[[#This Row],[Canal]],tblCanales[#All],7,FALSE),tblPesosValorOperativo[Valor],tblPesosValorOperativo[Velocidad],0),0)</f>
        <v>5</v>
      </c>
      <c r="O198" s="14">
        <f>IFERROR(_xlfn.XLOOKUP(VLOOKUP(tblEnlaces[[#This Row],[Canal]],tblCanales[#All],8,FALSE),tblPesosValorOperativo[Valor],tblPesosValorOperativo[Escalabilidad],0),0)</f>
        <v>0</v>
      </c>
      <c r="P198" s="53">
        <f>tblEnlaces[[#This Row],[Opacidad]]+tblEnlaces[[#This Row],[Escalabilidad]]+tblEnlaces[[#This Row],[Velocidad]]+tblEnlaces[[#This Row],[Trazabilidad]]</f>
        <v>9</v>
      </c>
    </row>
    <row r="199" spans="2:16" ht="16.5" customHeight="1" x14ac:dyDescent="0.25">
      <c r="B199" s="66" t="str">
        <f t="array" ref="B19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E055</v>
      </c>
      <c r="C199" s="10" t="s">
        <v>77</v>
      </c>
      <c r="D199" s="10" t="str">
        <f>VLOOKUP(tblEnlaces[[#This Row],[Nodo Inicial]],tblNodos[],2,FALSE)</f>
        <v>Dirección financiera</v>
      </c>
      <c r="E199" s="39" t="s">
        <v>85</v>
      </c>
      <c r="F199" s="10" t="str">
        <f>VLOOKUP(tblEnlaces[[#This Row],[Nodo Final]],tblNodos[],2,FALSE)</f>
        <v>Destino operativo final</v>
      </c>
      <c r="G199" s="39" t="s">
        <v>168</v>
      </c>
      <c r="H199" s="39">
        <v>1</v>
      </c>
      <c r="I199" s="53">
        <f>IFERROR(_xlfn.XLOOKUP(VLOOKUP(tblEnlaces[[#This Row],[Canal]],tblCanales[#All],2,FALSE),tblPesosValorOperativo[Valor],tblPesosValorOperativo[Frecuencia de Uso],0),0)</f>
        <v>2</v>
      </c>
      <c r="J199" s="63">
        <f>IF(tblEnlaces[[#This Row],[Activo]]&lt;&gt;1,0,IFERROR(tblEnlaces[[#This Row],[Frecuencia de Uso]]/SUMIFS(tblEnlaces[Frecuencia de Uso],tblEnlaces[Enlace],tblEnlaces[[#This Row],[Enlace]],tblEnlaces[Activo],1),0))</f>
        <v>0.1</v>
      </c>
      <c r="K199" s="62">
        <f>IFERROR(_xlfn.XLOOKUP(VLOOKUP(tblEnlaces[[#This Row],[Canal]],tblCanales[#All],3,FALSE),tblPesosCoste[Valor],tblPesosCoste[Peso],0),0)</f>
        <v>4</v>
      </c>
      <c r="L199" s="10">
        <f>IFERROR(_xlfn.XLOOKUP(VLOOKUP(tblEnlaces[[#This Row],[Canal]],tblCanales[#All],5,FALSE),tblPesosValorOperativo[Valor],tblPesosValorOperativo[Opacidad],0),0)</f>
        <v>4</v>
      </c>
      <c r="M199" s="14">
        <f>IFERROR(_xlfn.XLOOKUP(VLOOKUP(tblEnlaces[[#This Row],[Canal]],tblCanales[#All],6,FALSE),tblPesosValorOperativo[Valor],tblPesosValorOperativo[Trazabilidad],0),0)</f>
        <v>1</v>
      </c>
      <c r="N199" s="14">
        <f>IFERROR(_xlfn.XLOOKUP(VLOOKUP(tblEnlaces[[#This Row],[Canal]],tblCanales[#All],7,FALSE),tblPesosValorOperativo[Valor],tblPesosValorOperativo[Velocidad],0),0)</f>
        <v>5</v>
      </c>
      <c r="O199" s="14">
        <f>IFERROR(_xlfn.XLOOKUP(VLOOKUP(tblEnlaces[[#This Row],[Canal]],tblCanales[#All],8,FALSE),tblPesosValorOperativo[Valor],tblPesosValorOperativo[Escalabilidad],0),0)</f>
        <v>0</v>
      </c>
      <c r="P199" s="53">
        <f>tblEnlaces[[#This Row],[Opacidad]]+tblEnlaces[[#This Row],[Escalabilidad]]+tblEnlaces[[#This Row],[Velocidad]]+tblEnlaces[[#This Row],[Trazabilidad]]</f>
        <v>10</v>
      </c>
    </row>
    <row r="200" spans="2:16" ht="16.5" customHeight="1" x14ac:dyDescent="0.25">
      <c r="B200" s="66" t="str">
        <f t="array" ref="B20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E056</v>
      </c>
      <c r="C200" s="10" t="s">
        <v>79</v>
      </c>
      <c r="D200" s="10" t="str">
        <f>VLOOKUP(tblEnlaces[[#This Row],[Nodo Inicial]],tblNodos[],2,FALSE)</f>
        <v>Gestión operativa descentralizada</v>
      </c>
      <c r="E200" s="39" t="s">
        <v>85</v>
      </c>
      <c r="F200" s="10" t="str">
        <f>VLOOKUP(tblEnlaces[[#This Row],[Nodo Final]],tblNodos[],2,FALSE)</f>
        <v>Destino operativo final</v>
      </c>
      <c r="G200" s="39" t="s">
        <v>156</v>
      </c>
      <c r="H200" s="39">
        <v>1</v>
      </c>
      <c r="I200" s="53">
        <f>IFERROR(_xlfn.XLOOKUP(VLOOKUP(tblEnlaces[[#This Row],[Canal]],tblCanales[#All],2,FALSE),tblPesosValorOperativo[Valor],tblPesosValorOperativo[Frecuencia de Uso],0),0)</f>
        <v>5</v>
      </c>
      <c r="J200" s="63">
        <f>IF(tblEnlaces[[#This Row],[Activo]]&lt;&gt;1,0,IFERROR(tblEnlaces[[#This Row],[Frecuencia de Uso]]/SUMIFS(tblEnlaces[Frecuencia de Uso],tblEnlaces[Enlace],tblEnlaces[[#This Row],[Enlace]],tblEnlaces[Activo],1),0))</f>
        <v>0.41666666666666669</v>
      </c>
      <c r="K200" s="62">
        <f>IFERROR(_xlfn.XLOOKUP(VLOOKUP(tblEnlaces[[#This Row],[Canal]],tblCanales[#All],3,FALSE),tblPesosCoste[Valor],tblPesosCoste[Peso],0),0)</f>
        <v>5</v>
      </c>
      <c r="L200" s="10">
        <f>IFERROR(_xlfn.XLOOKUP(VLOOKUP(tblEnlaces[[#This Row],[Canal]],tblCanales[#All],5,FALSE),tblPesosValorOperativo[Valor],tblPesosValorOperativo[Opacidad],0),0)</f>
        <v>1</v>
      </c>
      <c r="M200" s="14">
        <f>IFERROR(_xlfn.XLOOKUP(VLOOKUP(tblEnlaces[[#This Row],[Canal]],tblCanales[#All],6,FALSE),tblPesosValorOperativo[Valor],tblPesosValorOperativo[Trazabilidad],0),0)</f>
        <v>1</v>
      </c>
      <c r="N200" s="14">
        <f>IFERROR(_xlfn.XLOOKUP(VLOOKUP(tblEnlaces[[#This Row],[Canal]],tblCanales[#All],7,FALSE),tblPesosValorOperativo[Valor],tblPesosValorOperativo[Velocidad],0),0)</f>
        <v>5</v>
      </c>
      <c r="O200" s="14">
        <f>IFERROR(_xlfn.XLOOKUP(VLOOKUP(tblEnlaces[[#This Row],[Canal]],tblCanales[#All],8,FALSE),tblPesosValorOperativo[Valor],tblPesosValorOperativo[Escalabilidad],0),0)</f>
        <v>0</v>
      </c>
      <c r="P200" s="53">
        <f>tblEnlaces[[#This Row],[Opacidad]]+tblEnlaces[[#This Row],[Escalabilidad]]+tblEnlaces[[#This Row],[Velocidad]]+tblEnlaces[[#This Row],[Trazabilidad]]</f>
        <v>7</v>
      </c>
    </row>
    <row r="201" spans="2:16" ht="16.5" customHeight="1" x14ac:dyDescent="0.25">
      <c r="B201" s="66" t="str">
        <f t="array" ref="B20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E056</v>
      </c>
      <c r="C201" s="10" t="s">
        <v>79</v>
      </c>
      <c r="D201" s="10" t="str">
        <f>VLOOKUP(tblEnlaces[[#This Row],[Nodo Inicial]],tblNodos[],2,FALSE)</f>
        <v>Gestión operativa descentralizada</v>
      </c>
      <c r="E201" s="39" t="s">
        <v>85</v>
      </c>
      <c r="F201" s="10" t="str">
        <f>VLOOKUP(tblEnlaces[[#This Row],[Nodo Final]],tblNodos[],2,FALSE)</f>
        <v>Destino operativo final</v>
      </c>
      <c r="G201" s="39" t="s">
        <v>156</v>
      </c>
      <c r="H201" s="39">
        <v>1</v>
      </c>
      <c r="I201" s="53">
        <f>IFERROR(_xlfn.XLOOKUP(VLOOKUP(tblEnlaces[[#This Row],[Canal]],tblCanales[#All],2,FALSE),tblPesosValorOperativo[Valor],tblPesosValorOperativo[Frecuencia de Uso],0),0)</f>
        <v>5</v>
      </c>
      <c r="J201" s="63">
        <f>IF(tblEnlaces[[#This Row],[Activo]]&lt;&gt;1,0,IFERROR(tblEnlaces[[#This Row],[Frecuencia de Uso]]/SUMIFS(tblEnlaces[Frecuencia de Uso],tblEnlaces[Enlace],tblEnlaces[[#This Row],[Enlace]],tblEnlaces[Activo],1),0))</f>
        <v>0.41666666666666669</v>
      </c>
      <c r="K201" s="62">
        <f>IFERROR(_xlfn.XLOOKUP(VLOOKUP(tblEnlaces[[#This Row],[Canal]],tblCanales[#All],3,FALSE),tblPesosCoste[Valor],tblPesosCoste[Peso],0),0)</f>
        <v>5</v>
      </c>
      <c r="L201" s="10">
        <f>IFERROR(_xlfn.XLOOKUP(VLOOKUP(tblEnlaces[[#This Row],[Canal]],tblCanales[#All],5,FALSE),tblPesosValorOperativo[Valor],tblPesosValorOperativo[Opacidad],0),0)</f>
        <v>1</v>
      </c>
      <c r="M201" s="14">
        <f>IFERROR(_xlfn.XLOOKUP(VLOOKUP(tblEnlaces[[#This Row],[Canal]],tblCanales[#All],6,FALSE),tblPesosValorOperativo[Valor],tblPesosValorOperativo[Trazabilidad],0),0)</f>
        <v>1</v>
      </c>
      <c r="N201" s="14">
        <f>IFERROR(_xlfn.XLOOKUP(VLOOKUP(tblEnlaces[[#This Row],[Canal]],tblCanales[#All],7,FALSE),tblPesosValorOperativo[Valor],tblPesosValorOperativo[Velocidad],0),0)</f>
        <v>5</v>
      </c>
      <c r="O201" s="14">
        <f>IFERROR(_xlfn.XLOOKUP(VLOOKUP(tblEnlaces[[#This Row],[Canal]],tblCanales[#All],8,FALSE),tblPesosValorOperativo[Valor],tblPesosValorOperativo[Escalabilidad],0),0)</f>
        <v>0</v>
      </c>
      <c r="P201" s="53">
        <f>tblEnlaces[[#This Row],[Opacidad]]+tblEnlaces[[#This Row],[Escalabilidad]]+tblEnlaces[[#This Row],[Velocidad]]+tblEnlaces[[#This Row],[Trazabilidad]]</f>
        <v>7</v>
      </c>
    </row>
    <row r="202" spans="2:16" ht="16.5" customHeight="1" x14ac:dyDescent="0.25">
      <c r="B202" s="66" t="str">
        <f t="array" ref="B20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E056</v>
      </c>
      <c r="C202" s="10" t="s">
        <v>79</v>
      </c>
      <c r="D202" s="10" t="str">
        <f>VLOOKUP(tblEnlaces[[#This Row],[Nodo Inicial]],tblNodos[],2,FALSE)</f>
        <v>Gestión operativa descentralizada</v>
      </c>
      <c r="E202" s="39" t="s">
        <v>85</v>
      </c>
      <c r="F202" s="10" t="str">
        <f>VLOOKUP(tblEnlaces[[#This Row],[Nodo Final]],tblNodos[],2,FALSE)</f>
        <v>Destino operativo final</v>
      </c>
      <c r="G202" s="39" t="s">
        <v>420</v>
      </c>
      <c r="H202" s="39">
        <v>1</v>
      </c>
      <c r="I202" s="53">
        <f>IFERROR(_xlfn.XLOOKUP(VLOOKUP(tblEnlaces[[#This Row],[Canal]],tblCanales[#All],2,FALSE),tblPesosValorOperativo[Valor],tblPesosValorOperativo[Frecuencia de Uso],0),0)</f>
        <v>2</v>
      </c>
      <c r="J202" s="63">
        <f>IF(tblEnlaces[[#This Row],[Activo]]&lt;&gt;1,0,IFERROR(tblEnlaces[[#This Row],[Frecuencia de Uso]]/SUMIFS(tblEnlaces[Frecuencia de Uso],tblEnlaces[Enlace],tblEnlaces[[#This Row],[Enlace]],tblEnlaces[Activo],1),0))</f>
        <v>0.16666666666666666</v>
      </c>
      <c r="K202" s="62">
        <f>IFERROR(_xlfn.XLOOKUP(VLOOKUP(tblEnlaces[[#This Row],[Canal]],tblCanales[#All],3,FALSE),tblPesosCoste[Valor],tblPesosCoste[Peso],0),0)</f>
        <v>2</v>
      </c>
      <c r="L202" s="10">
        <f>IFERROR(_xlfn.XLOOKUP(VLOOKUP(tblEnlaces[[#This Row],[Canal]],tblCanales[#All],5,FALSE),tblPesosValorOperativo[Valor],tblPesosValorOperativo[Opacidad],0),0)</f>
        <v>3</v>
      </c>
      <c r="M202" s="14">
        <f>IFERROR(_xlfn.XLOOKUP(VLOOKUP(tblEnlaces[[#This Row],[Canal]],tblCanales[#All],6,FALSE),tblPesosValorOperativo[Valor],tblPesosValorOperativo[Trazabilidad],0),0)</f>
        <v>1</v>
      </c>
      <c r="N202" s="14">
        <f>IFERROR(_xlfn.XLOOKUP(VLOOKUP(tblEnlaces[[#This Row],[Canal]],tblCanales[#All],7,FALSE),tblPesosValorOperativo[Valor],tblPesosValorOperativo[Velocidad],0),0)</f>
        <v>2</v>
      </c>
      <c r="O202" s="14">
        <f>IFERROR(_xlfn.XLOOKUP(VLOOKUP(tblEnlaces[[#This Row],[Canal]],tblCanales[#All],8,FALSE),tblPesosValorOperativo[Valor],tblPesosValorOperativo[Escalabilidad],0),0)</f>
        <v>0</v>
      </c>
      <c r="P202" s="53">
        <f>tblEnlaces[[#This Row],[Opacidad]]+tblEnlaces[[#This Row],[Escalabilidad]]+tblEnlaces[[#This Row],[Velocidad]]+tblEnlaces[[#This Row],[Trazabilidad]]</f>
        <v>6</v>
      </c>
    </row>
    <row r="203" spans="2:16" ht="16.5" customHeight="1" x14ac:dyDescent="0.25">
      <c r="B203" s="66" t="str">
        <f t="array" ref="B20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E057</v>
      </c>
      <c r="C203" s="10" t="s">
        <v>81</v>
      </c>
      <c r="D203" s="10" t="str">
        <f>VLOOKUP(tblEnlaces[[#This Row],[Nodo Inicial]],tblNodos[],2,FALSE)</f>
        <v>Custodia y conversión</v>
      </c>
      <c r="E203" s="39" t="s">
        <v>85</v>
      </c>
      <c r="F203" s="10" t="str">
        <f>VLOOKUP(tblEnlaces[[#This Row],[Nodo Final]],tblNodos[],2,FALSE)</f>
        <v>Destino operativo final</v>
      </c>
      <c r="G203" s="39" t="s">
        <v>156</v>
      </c>
      <c r="H203" s="39">
        <v>1</v>
      </c>
      <c r="I203" s="53">
        <f>IFERROR(_xlfn.XLOOKUP(VLOOKUP(tblEnlaces[[#This Row],[Canal]],tblCanales[#All],2,FALSE),tblPesosValorOperativo[Valor],tblPesosValorOperativo[Frecuencia de Uso],0),0)</f>
        <v>5</v>
      </c>
      <c r="J203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203" s="62">
        <f>IFERROR(_xlfn.XLOOKUP(VLOOKUP(tblEnlaces[[#This Row],[Canal]],tblCanales[#All],3,FALSE),tblPesosCoste[Valor],tblPesosCoste[Peso],0),0)</f>
        <v>5</v>
      </c>
      <c r="L203" s="10">
        <f>IFERROR(_xlfn.XLOOKUP(VLOOKUP(tblEnlaces[[#This Row],[Canal]],tblCanales[#All],5,FALSE),tblPesosValorOperativo[Valor],tblPesosValorOperativo[Opacidad],0),0)</f>
        <v>1</v>
      </c>
      <c r="M203" s="14">
        <f>IFERROR(_xlfn.XLOOKUP(VLOOKUP(tblEnlaces[[#This Row],[Canal]],tblCanales[#All],6,FALSE),tblPesosValorOperativo[Valor],tblPesosValorOperativo[Trazabilidad],0),0)</f>
        <v>1</v>
      </c>
      <c r="N203" s="14">
        <f>IFERROR(_xlfn.XLOOKUP(VLOOKUP(tblEnlaces[[#This Row],[Canal]],tblCanales[#All],7,FALSE),tblPesosValorOperativo[Valor],tblPesosValorOperativo[Velocidad],0),0)</f>
        <v>5</v>
      </c>
      <c r="O203" s="14">
        <f>IFERROR(_xlfn.XLOOKUP(VLOOKUP(tblEnlaces[[#This Row],[Canal]],tblCanales[#All],8,FALSE),tblPesosValorOperativo[Valor],tblPesosValorOperativo[Escalabilidad],0),0)</f>
        <v>0</v>
      </c>
      <c r="P203" s="53">
        <f>tblEnlaces[[#This Row],[Opacidad]]+tblEnlaces[[#This Row],[Escalabilidad]]+tblEnlaces[[#This Row],[Velocidad]]+tblEnlaces[[#This Row],[Trazabilidad]]</f>
        <v>7</v>
      </c>
    </row>
    <row r="204" spans="2:16" ht="16.5" customHeight="1" x14ac:dyDescent="0.25">
      <c r="B204" s="66" t="str">
        <f t="array" ref="B20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E057</v>
      </c>
      <c r="C204" s="10" t="s">
        <v>81</v>
      </c>
      <c r="D204" s="10" t="str">
        <f>VLOOKUP(tblEnlaces[[#This Row],[Nodo Inicial]],tblNodos[],2,FALSE)</f>
        <v>Custodia y conversión</v>
      </c>
      <c r="E204" s="39" t="s">
        <v>85</v>
      </c>
      <c r="F204" s="10" t="str">
        <f>VLOOKUP(tblEnlaces[[#This Row],[Nodo Final]],tblNodos[],2,FALSE)</f>
        <v>Destino operativo final</v>
      </c>
      <c r="G204" s="39" t="s">
        <v>420</v>
      </c>
      <c r="H204" s="39">
        <v>1</v>
      </c>
      <c r="I204" s="53">
        <f>IFERROR(_xlfn.XLOOKUP(VLOOKUP(tblEnlaces[[#This Row],[Canal]],tblCanales[#All],2,FALSE),tblPesosValorOperativo[Valor],tblPesosValorOperativo[Frecuencia de Uso],0),0)</f>
        <v>2</v>
      </c>
      <c r="J204" s="63">
        <f>IF(tblEnlaces[[#This Row],[Activo]]&lt;&gt;1,0,IFERROR(tblEnlaces[[#This Row],[Frecuencia de Uso]]/SUMIFS(tblEnlaces[Frecuencia de Uso],tblEnlaces[Enlace],tblEnlaces[[#This Row],[Enlace]],tblEnlaces[Activo],1),0))</f>
        <v>0.1</v>
      </c>
      <c r="K204" s="62">
        <f>IFERROR(_xlfn.XLOOKUP(VLOOKUP(tblEnlaces[[#This Row],[Canal]],tblCanales[#All],3,FALSE),tblPesosCoste[Valor],tblPesosCoste[Peso],0),0)</f>
        <v>2</v>
      </c>
      <c r="L204" s="10">
        <f>IFERROR(_xlfn.XLOOKUP(VLOOKUP(tblEnlaces[[#This Row],[Canal]],tblCanales[#All],5,FALSE),tblPesosValorOperativo[Valor],tblPesosValorOperativo[Opacidad],0),0)</f>
        <v>3</v>
      </c>
      <c r="M204" s="14">
        <f>IFERROR(_xlfn.XLOOKUP(VLOOKUP(tblEnlaces[[#This Row],[Canal]],tblCanales[#All],6,FALSE),tblPesosValorOperativo[Valor],tblPesosValorOperativo[Trazabilidad],0),0)</f>
        <v>1</v>
      </c>
      <c r="N204" s="14">
        <f>IFERROR(_xlfn.XLOOKUP(VLOOKUP(tblEnlaces[[#This Row],[Canal]],tblCanales[#All],7,FALSE),tblPesosValorOperativo[Valor],tblPesosValorOperativo[Velocidad],0),0)</f>
        <v>2</v>
      </c>
      <c r="O204" s="14">
        <f>IFERROR(_xlfn.XLOOKUP(VLOOKUP(tblEnlaces[[#This Row],[Canal]],tblCanales[#All],8,FALSE),tblPesosValorOperativo[Valor],tblPesosValorOperativo[Escalabilidad],0),0)</f>
        <v>0</v>
      </c>
      <c r="P204" s="53">
        <f>tblEnlaces[[#This Row],[Opacidad]]+tblEnlaces[[#This Row],[Escalabilidad]]+tblEnlaces[[#This Row],[Velocidad]]+tblEnlaces[[#This Row],[Trazabilidad]]</f>
        <v>6</v>
      </c>
    </row>
    <row r="205" spans="2:16" ht="16.5" customHeight="1" x14ac:dyDescent="0.25">
      <c r="B205" s="66" t="str">
        <f t="array" ref="B20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E057</v>
      </c>
      <c r="C205" s="10" t="s">
        <v>81</v>
      </c>
      <c r="D205" s="10" t="str">
        <f>VLOOKUP(tblEnlaces[[#This Row],[Nodo Inicial]],tblNodos[],2,FALSE)</f>
        <v>Custodia y conversión</v>
      </c>
      <c r="E205" s="39" t="s">
        <v>85</v>
      </c>
      <c r="F205" s="10" t="str">
        <f>VLOOKUP(tblEnlaces[[#This Row],[Nodo Final]],tblNodos[],2,FALSE)</f>
        <v>Destino operativo final</v>
      </c>
      <c r="G205" s="39" t="s">
        <v>270</v>
      </c>
      <c r="H205" s="39">
        <v>1</v>
      </c>
      <c r="I205" s="53">
        <f>IFERROR(_xlfn.XLOOKUP(VLOOKUP(tblEnlaces[[#This Row],[Canal]],tblCanales[#All],2,FALSE),tblPesosValorOperativo[Valor],tblPesosValorOperativo[Frecuencia de Uso],0),0)</f>
        <v>4</v>
      </c>
      <c r="J205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205" s="62">
        <f>IFERROR(_xlfn.XLOOKUP(VLOOKUP(tblEnlaces[[#This Row],[Canal]],tblCanales[#All],3,FALSE),tblPesosCoste[Valor],tblPesosCoste[Peso],0),0)</f>
        <v>3</v>
      </c>
      <c r="L205" s="10">
        <f>IFERROR(_xlfn.XLOOKUP(VLOOKUP(tblEnlaces[[#This Row],[Canal]],tblCanales[#All],5,FALSE),tblPesosValorOperativo[Valor],tblPesosValorOperativo[Opacidad],0),0)</f>
        <v>4</v>
      </c>
      <c r="M205" s="14">
        <f>IFERROR(_xlfn.XLOOKUP(VLOOKUP(tblEnlaces[[#This Row],[Canal]],tblCanales[#All],6,FALSE),tblPesosValorOperativo[Valor],tblPesosValorOperativo[Trazabilidad],0),0)</f>
        <v>2</v>
      </c>
      <c r="N205" s="14">
        <f>IFERROR(_xlfn.XLOOKUP(VLOOKUP(tblEnlaces[[#This Row],[Canal]],tblCanales[#All],7,FALSE),tblPesosValorOperativo[Valor],tblPesosValorOperativo[Velocidad],0),0)</f>
        <v>5</v>
      </c>
      <c r="O205" s="14">
        <f>IFERROR(_xlfn.XLOOKUP(VLOOKUP(tblEnlaces[[#This Row],[Canal]],tblCanales[#All],8,FALSE),tblPesosValorOperativo[Valor],tblPesosValorOperativo[Escalabilidad],0),0)</f>
        <v>0</v>
      </c>
      <c r="P205" s="53">
        <f>tblEnlaces[[#This Row],[Opacidad]]+tblEnlaces[[#This Row],[Escalabilidad]]+tblEnlaces[[#This Row],[Velocidad]]+tblEnlaces[[#This Row],[Trazabilidad]]</f>
        <v>11</v>
      </c>
    </row>
    <row r="206" spans="2:16" ht="16.5" customHeight="1" x14ac:dyDescent="0.25">
      <c r="B206" s="66" t="str">
        <f t="array" ref="B20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E057</v>
      </c>
      <c r="C206" s="10" t="s">
        <v>81</v>
      </c>
      <c r="D206" s="10" t="str">
        <f>VLOOKUP(tblEnlaces[[#This Row],[Nodo Inicial]],tblNodos[],2,FALSE)</f>
        <v>Custodia y conversión</v>
      </c>
      <c r="E206" s="39" t="s">
        <v>85</v>
      </c>
      <c r="F206" s="10" t="str">
        <f>VLOOKUP(tblEnlaces[[#This Row],[Nodo Final]],tblNodos[],2,FALSE)</f>
        <v>Destino operativo final</v>
      </c>
      <c r="G206" s="39" t="s">
        <v>162</v>
      </c>
      <c r="H206" s="39">
        <v>1</v>
      </c>
      <c r="I206" s="53">
        <f>IFERROR(_xlfn.XLOOKUP(VLOOKUP(tblEnlaces[[#This Row],[Canal]],tblCanales[#All],2,FALSE),tblPesosValorOperativo[Valor],tblPesosValorOperativo[Frecuencia de Uso],0),0)</f>
        <v>5</v>
      </c>
      <c r="J206" s="63">
        <f>IF(tblEnlaces[[#This Row],[Activo]]&lt;&gt;1,0,IFERROR(tblEnlaces[[#This Row],[Frecuencia de Uso]]/SUMIFS(tblEnlaces[Frecuencia de Uso],tblEnlaces[Enlace],tblEnlaces[[#This Row],[Enlace]],tblEnlaces[Activo],1),0))</f>
        <v>0.25</v>
      </c>
      <c r="K206" s="62">
        <f>IFERROR(_xlfn.XLOOKUP(VLOOKUP(tblEnlaces[[#This Row],[Canal]],tblCanales[#All],3,FALSE),tblPesosCoste[Valor],tblPesosCoste[Peso],0),0)</f>
        <v>5</v>
      </c>
      <c r="L206" s="10">
        <f>IFERROR(_xlfn.XLOOKUP(VLOOKUP(tblEnlaces[[#This Row],[Canal]],tblCanales[#All],5,FALSE),tblPesosValorOperativo[Valor],tblPesosValorOperativo[Opacidad],0),0)</f>
        <v>1</v>
      </c>
      <c r="M206" s="14">
        <f>IFERROR(_xlfn.XLOOKUP(VLOOKUP(tblEnlaces[[#This Row],[Canal]],tblCanales[#All],6,FALSE),tblPesosValorOperativo[Valor],tblPesosValorOperativo[Trazabilidad],0),0)</f>
        <v>1</v>
      </c>
      <c r="N206" s="14">
        <f>IFERROR(_xlfn.XLOOKUP(VLOOKUP(tblEnlaces[[#This Row],[Canal]],tblCanales[#All],7,FALSE),tblPesosValorOperativo[Valor],tblPesosValorOperativo[Velocidad],0),0)</f>
        <v>5</v>
      </c>
      <c r="O206" s="14">
        <f>IFERROR(_xlfn.XLOOKUP(VLOOKUP(tblEnlaces[[#This Row],[Canal]],tblCanales[#All],8,FALSE),tblPesosValorOperativo[Valor],tblPesosValorOperativo[Escalabilidad],0),0)</f>
        <v>0</v>
      </c>
      <c r="P206" s="53">
        <f>tblEnlaces[[#This Row],[Opacidad]]+tblEnlaces[[#This Row],[Escalabilidad]]+tblEnlaces[[#This Row],[Velocidad]]+tblEnlaces[[#This Row],[Trazabilidad]]</f>
        <v>7</v>
      </c>
    </row>
    <row r="207" spans="2:16" ht="16.5" customHeight="1" x14ac:dyDescent="0.25">
      <c r="B207" s="66" t="str">
        <f t="array" ref="B20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E057</v>
      </c>
      <c r="C207" s="10" t="s">
        <v>81</v>
      </c>
      <c r="D207" s="10" t="str">
        <f>VLOOKUP(tblEnlaces[[#This Row],[Nodo Inicial]],tblNodos[],2,FALSE)</f>
        <v>Custodia y conversión</v>
      </c>
      <c r="E207" s="39" t="s">
        <v>85</v>
      </c>
      <c r="F207" s="10" t="str">
        <f>VLOOKUP(tblEnlaces[[#This Row],[Nodo Final]],tblNodos[],2,FALSE)</f>
        <v>Destino operativo final</v>
      </c>
      <c r="G207" s="39" t="s">
        <v>306</v>
      </c>
      <c r="H207" s="39">
        <v>1</v>
      </c>
      <c r="I207" s="53">
        <f>IFERROR(_xlfn.XLOOKUP(VLOOKUP(tblEnlaces[[#This Row],[Canal]],tblCanales[#All],2,FALSE),tblPesosValorOperativo[Valor],tblPesosValorOperativo[Frecuencia de Uso],0),0)</f>
        <v>4</v>
      </c>
      <c r="J207" s="63">
        <f>IF(tblEnlaces[[#This Row],[Activo]]&lt;&gt;1,0,IFERROR(tblEnlaces[[#This Row],[Frecuencia de Uso]]/SUMIFS(tblEnlaces[Frecuencia de Uso],tblEnlaces[Enlace],tblEnlaces[[#This Row],[Enlace]],tblEnlaces[Activo],1),0))</f>
        <v>0.2</v>
      </c>
      <c r="K207" s="62">
        <f>IFERROR(_xlfn.XLOOKUP(VLOOKUP(tblEnlaces[[#This Row],[Canal]],tblCanales[#All],3,FALSE),tblPesosCoste[Valor],tblPesosCoste[Peso],0),0)</f>
        <v>3</v>
      </c>
      <c r="L207" s="10">
        <f>IFERROR(_xlfn.XLOOKUP(VLOOKUP(tblEnlaces[[#This Row],[Canal]],tblCanales[#All],5,FALSE),tblPesosValorOperativo[Valor],tblPesosValorOperativo[Opacidad],0),0)</f>
        <v>4</v>
      </c>
      <c r="M207" s="14">
        <f>IFERROR(_xlfn.XLOOKUP(VLOOKUP(tblEnlaces[[#This Row],[Canal]],tblCanales[#All],6,FALSE),tblPesosValorOperativo[Valor],tblPesosValorOperativo[Trazabilidad],0),0)</f>
        <v>2</v>
      </c>
      <c r="N207" s="14">
        <f>IFERROR(_xlfn.XLOOKUP(VLOOKUP(tblEnlaces[[#This Row],[Canal]],tblCanales[#All],7,FALSE),tblPesosValorOperativo[Valor],tblPesosValorOperativo[Velocidad],0),0)</f>
        <v>4</v>
      </c>
      <c r="O207" s="14">
        <f>IFERROR(_xlfn.XLOOKUP(VLOOKUP(tblEnlaces[[#This Row],[Canal]],tblCanales[#All],8,FALSE),tblPesosValorOperativo[Valor],tblPesosValorOperativo[Escalabilidad],0),0)</f>
        <v>0</v>
      </c>
      <c r="P207" s="53">
        <f>tblEnlaces[[#This Row],[Opacidad]]+tblEnlaces[[#This Row],[Escalabilidad]]+tblEnlaces[[#This Row],[Velocidad]]+tblEnlaces[[#This Row],[Trazabilidad]]</f>
        <v>10</v>
      </c>
    </row>
    <row r="208" spans="2:16" ht="16.5" customHeight="1" x14ac:dyDescent="0.25">
      <c r="B208" s="66" t="str">
        <f t="array" ref="B20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08" s="10" t="s">
        <v>83</v>
      </c>
      <c r="D208" s="10" t="str">
        <f>VLOOKUP(tblEnlaces[[#This Row],[Nodo Inicial]],tblNodos[],2,FALSE)</f>
        <v>Coordinación de la red y soporte estratégico</v>
      </c>
      <c r="E208" s="39" t="s">
        <v>85</v>
      </c>
      <c r="F208" s="10" t="str">
        <f>VLOOKUP(tblEnlaces[[#This Row],[Nodo Final]],tblNodos[],2,FALSE)</f>
        <v>Destino operativo final</v>
      </c>
      <c r="G208" s="39" t="s">
        <v>234</v>
      </c>
      <c r="H208" s="39">
        <v>1</v>
      </c>
      <c r="I208" s="53">
        <f>IFERROR(_xlfn.XLOOKUP(VLOOKUP(tblEnlaces[[#This Row],[Canal]],tblCanales[#All],2,FALSE),tblPesosValorOperativo[Valor],tblPesosValorOperativo[Frecuencia de Uso],0),0)</f>
        <v>4</v>
      </c>
      <c r="J208" s="63">
        <f>IF(tblEnlaces[[#This Row],[Activo]]&lt;&gt;1,0,IFERROR(tblEnlaces[[#This Row],[Frecuencia de Uso]]/SUMIFS(tblEnlaces[Frecuencia de Uso],tblEnlaces[Enlace],tblEnlaces[[#This Row],[Enlace]],tblEnlaces[Activo],1),0))</f>
        <v>9.3023255813953487E-2</v>
      </c>
      <c r="K208" s="62">
        <f>IFERROR(_xlfn.XLOOKUP(VLOOKUP(tblEnlaces[[#This Row],[Canal]],tblCanales[#All],3,FALSE),tblPesosCoste[Valor],tblPesosCoste[Peso],0),0)</f>
        <v>4</v>
      </c>
      <c r="L208" s="10">
        <f>IFERROR(_xlfn.XLOOKUP(VLOOKUP(tblEnlaces[[#This Row],[Canal]],tblCanales[#All],5,FALSE),tblPesosValorOperativo[Valor],tblPesosValorOperativo[Opacidad],0),0)</f>
        <v>3</v>
      </c>
      <c r="M208" s="14">
        <f>IFERROR(_xlfn.XLOOKUP(VLOOKUP(tblEnlaces[[#This Row],[Canal]],tblCanales[#All],6,FALSE),tblPesosValorOperativo[Valor],tblPesosValorOperativo[Trazabilidad],0),0)</f>
        <v>1</v>
      </c>
      <c r="N208" s="14">
        <f>IFERROR(_xlfn.XLOOKUP(VLOOKUP(tblEnlaces[[#This Row],[Canal]],tblCanales[#All],7,FALSE),tblPesosValorOperativo[Valor],tblPesosValorOperativo[Velocidad],0),0)</f>
        <v>5</v>
      </c>
      <c r="O208" s="14">
        <f>IFERROR(_xlfn.XLOOKUP(VLOOKUP(tblEnlaces[[#This Row],[Canal]],tblCanales[#All],8,FALSE),tblPesosValorOperativo[Valor],tblPesosValorOperativo[Escalabilidad],0),0)</f>
        <v>0</v>
      </c>
      <c r="P208" s="53">
        <f>tblEnlaces[[#This Row],[Opacidad]]+tblEnlaces[[#This Row],[Escalabilidad]]+tblEnlaces[[#This Row],[Velocidad]]+tblEnlaces[[#This Row],[Trazabilidad]]</f>
        <v>9</v>
      </c>
    </row>
    <row r="209" spans="2:16" ht="16.5" customHeight="1" x14ac:dyDescent="0.25">
      <c r="B209" s="66" t="str">
        <f t="array" ref="B20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09" s="10" t="s">
        <v>83</v>
      </c>
      <c r="D209" s="10" t="str">
        <f>VLOOKUP(tblEnlaces[[#This Row],[Nodo Inicial]],tblNodos[],2,FALSE)</f>
        <v>Coordinación de la red y soporte estratégico</v>
      </c>
      <c r="E209" s="39" t="s">
        <v>85</v>
      </c>
      <c r="F209" s="10" t="str">
        <f>VLOOKUP(tblEnlaces[[#This Row],[Nodo Final]],tblNodos[],2,FALSE)</f>
        <v>Destino operativo final</v>
      </c>
      <c r="G209" s="39" t="s">
        <v>168</v>
      </c>
      <c r="H209" s="39">
        <v>1</v>
      </c>
      <c r="I209" s="53">
        <f>IFERROR(_xlfn.XLOOKUP(VLOOKUP(tblEnlaces[[#This Row],[Canal]],tblCanales[#All],2,FALSE),tblPesosValorOperativo[Valor],tblPesosValorOperativo[Frecuencia de Uso],0),0)</f>
        <v>2</v>
      </c>
      <c r="J209" s="63">
        <f>IF(tblEnlaces[[#This Row],[Activo]]&lt;&gt;1,0,IFERROR(tblEnlaces[[#This Row],[Frecuencia de Uso]]/SUMIFS(tblEnlaces[Frecuencia de Uso],tblEnlaces[Enlace],tblEnlaces[[#This Row],[Enlace]],tblEnlaces[Activo],1),0))</f>
        <v>4.6511627906976744E-2</v>
      </c>
      <c r="K209" s="62">
        <f>IFERROR(_xlfn.XLOOKUP(VLOOKUP(tblEnlaces[[#This Row],[Canal]],tblCanales[#All],3,FALSE),tblPesosCoste[Valor],tblPesosCoste[Peso],0),0)</f>
        <v>4</v>
      </c>
      <c r="L209" s="10">
        <f>IFERROR(_xlfn.XLOOKUP(VLOOKUP(tblEnlaces[[#This Row],[Canal]],tblCanales[#All],5,FALSE),tblPesosValorOperativo[Valor],tblPesosValorOperativo[Opacidad],0),0)</f>
        <v>4</v>
      </c>
      <c r="M209" s="14">
        <f>IFERROR(_xlfn.XLOOKUP(VLOOKUP(tblEnlaces[[#This Row],[Canal]],tblCanales[#All],6,FALSE),tblPesosValorOperativo[Valor],tblPesosValorOperativo[Trazabilidad],0),0)</f>
        <v>1</v>
      </c>
      <c r="N209" s="14">
        <f>IFERROR(_xlfn.XLOOKUP(VLOOKUP(tblEnlaces[[#This Row],[Canal]],tblCanales[#All],7,FALSE),tblPesosValorOperativo[Valor],tblPesosValorOperativo[Velocidad],0),0)</f>
        <v>5</v>
      </c>
      <c r="O209" s="14">
        <f>IFERROR(_xlfn.XLOOKUP(VLOOKUP(tblEnlaces[[#This Row],[Canal]],tblCanales[#All],8,FALSE),tblPesosValorOperativo[Valor],tblPesosValorOperativo[Escalabilidad],0),0)</f>
        <v>0</v>
      </c>
      <c r="P209" s="53">
        <f>tblEnlaces[[#This Row],[Opacidad]]+tblEnlaces[[#This Row],[Escalabilidad]]+tblEnlaces[[#This Row],[Velocidad]]+tblEnlaces[[#This Row],[Trazabilidad]]</f>
        <v>10</v>
      </c>
    </row>
    <row r="210" spans="2:16" ht="16.5" customHeight="1" x14ac:dyDescent="0.25">
      <c r="B210" s="66" t="str">
        <f t="array" ref="B21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10" s="10" t="s">
        <v>83</v>
      </c>
      <c r="D210" s="10" t="str">
        <f>VLOOKUP(tblEnlaces[[#This Row],[Nodo Inicial]],tblNodos[],2,FALSE)</f>
        <v>Coordinación de la red y soporte estratégico</v>
      </c>
      <c r="E210" s="39" t="s">
        <v>85</v>
      </c>
      <c r="F210" s="10" t="str">
        <f>VLOOKUP(tblEnlaces[[#This Row],[Nodo Final]],tblNodos[],2,FALSE)</f>
        <v>Destino operativo final</v>
      </c>
      <c r="G210" s="39" t="s">
        <v>136</v>
      </c>
      <c r="H210" s="39">
        <v>1</v>
      </c>
      <c r="I210" s="53">
        <f>IFERROR(_xlfn.XLOOKUP(VLOOKUP(tblEnlaces[[#This Row],[Canal]],tblCanales[#All],2,FALSE),tblPesosValorOperativo[Valor],tblPesosValorOperativo[Frecuencia de Uso],0),0)</f>
        <v>2</v>
      </c>
      <c r="J210" s="63">
        <f>IF(tblEnlaces[[#This Row],[Activo]]&lt;&gt;1,0,IFERROR(tblEnlaces[[#This Row],[Frecuencia de Uso]]/SUMIFS(tblEnlaces[Frecuencia de Uso],tblEnlaces[Enlace],tblEnlaces[[#This Row],[Enlace]],tblEnlaces[Activo],1),0))</f>
        <v>4.6511627906976744E-2</v>
      </c>
      <c r="K210" s="62">
        <f>IFERROR(_xlfn.XLOOKUP(VLOOKUP(tblEnlaces[[#This Row],[Canal]],tblCanales[#All],3,FALSE),tblPesosCoste[Valor],tblPesosCoste[Peso],0),0)</f>
        <v>4</v>
      </c>
      <c r="L210" s="10">
        <f>IFERROR(_xlfn.XLOOKUP(VLOOKUP(tblEnlaces[[#This Row],[Canal]],tblCanales[#All],5,FALSE),tblPesosValorOperativo[Valor],tblPesosValorOperativo[Opacidad],0),0)</f>
        <v>5</v>
      </c>
      <c r="M210" s="14">
        <f>IFERROR(_xlfn.XLOOKUP(VLOOKUP(tblEnlaces[[#This Row],[Canal]],tblCanales[#All],6,FALSE),tblPesosValorOperativo[Valor],tblPesosValorOperativo[Trazabilidad],0),0)</f>
        <v>2</v>
      </c>
      <c r="N210" s="14">
        <f>IFERROR(_xlfn.XLOOKUP(VLOOKUP(tblEnlaces[[#This Row],[Canal]],tblCanales[#All],7,FALSE),tblPesosValorOperativo[Valor],tblPesosValorOperativo[Velocidad],0),0)</f>
        <v>4</v>
      </c>
      <c r="O210" s="14">
        <f>IFERROR(_xlfn.XLOOKUP(VLOOKUP(tblEnlaces[[#This Row],[Canal]],tblCanales[#All],8,FALSE),tblPesosValorOperativo[Valor],tblPesosValorOperativo[Escalabilidad],0),0)</f>
        <v>0</v>
      </c>
      <c r="P210" s="53">
        <f>tblEnlaces[[#This Row],[Opacidad]]+tblEnlaces[[#This Row],[Escalabilidad]]+tblEnlaces[[#This Row],[Velocidad]]+tblEnlaces[[#This Row],[Trazabilidad]]</f>
        <v>11</v>
      </c>
    </row>
    <row r="211" spans="2:16" ht="16.5" customHeight="1" x14ac:dyDescent="0.25">
      <c r="B211" s="66" t="str">
        <f t="array" ref="B21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11" s="10" t="s">
        <v>83</v>
      </c>
      <c r="D211" s="10" t="str">
        <f>VLOOKUP(tblEnlaces[[#This Row],[Nodo Inicial]],tblNodos[],2,FALSE)</f>
        <v>Coordinación de la red y soporte estratégico</v>
      </c>
      <c r="E211" s="39" t="s">
        <v>85</v>
      </c>
      <c r="F211" s="10" t="str">
        <f>VLOOKUP(tblEnlaces[[#This Row],[Nodo Final]],tblNodos[],2,FALSE)</f>
        <v>Destino operativo final</v>
      </c>
      <c r="G211" s="39" t="s">
        <v>174</v>
      </c>
      <c r="H211" s="39">
        <v>1</v>
      </c>
      <c r="I211" s="53">
        <f>IFERROR(_xlfn.XLOOKUP(VLOOKUP(tblEnlaces[[#This Row],[Canal]],tblCanales[#All],2,FALSE),tblPesosValorOperativo[Valor],tblPesosValorOperativo[Frecuencia de Uso],0),0)</f>
        <v>3</v>
      </c>
      <c r="J211" s="63">
        <f>IF(tblEnlaces[[#This Row],[Activo]]&lt;&gt;1,0,IFERROR(tblEnlaces[[#This Row],[Frecuencia de Uso]]/SUMIFS(tblEnlaces[Frecuencia de Uso],tblEnlaces[Enlace],tblEnlaces[[#This Row],[Enlace]],tblEnlaces[Activo],1),0))</f>
        <v>6.9767441860465115E-2</v>
      </c>
      <c r="K211" s="62">
        <f>IFERROR(_xlfn.XLOOKUP(VLOOKUP(tblEnlaces[[#This Row],[Canal]],tblCanales[#All],3,FALSE),tblPesosCoste[Valor],tblPesosCoste[Peso],0),0)</f>
        <v>5</v>
      </c>
      <c r="L211" s="10">
        <f>IFERROR(_xlfn.XLOOKUP(VLOOKUP(tblEnlaces[[#This Row],[Canal]],tblCanales[#All],5,FALSE),tblPesosValorOperativo[Valor],tblPesosValorOperativo[Opacidad],0),0)</f>
        <v>3</v>
      </c>
      <c r="M211" s="14">
        <f>IFERROR(_xlfn.XLOOKUP(VLOOKUP(tblEnlaces[[#This Row],[Canal]],tblCanales[#All],6,FALSE),tblPesosValorOperativo[Valor],tblPesosValorOperativo[Trazabilidad],0),0)</f>
        <v>1</v>
      </c>
      <c r="N211" s="14">
        <f>IFERROR(_xlfn.XLOOKUP(VLOOKUP(tblEnlaces[[#This Row],[Canal]],tblCanales[#All],7,FALSE),tblPesosValorOperativo[Valor],tblPesosValorOperativo[Velocidad],0),0)</f>
        <v>5</v>
      </c>
      <c r="O211" s="14">
        <f>IFERROR(_xlfn.XLOOKUP(VLOOKUP(tblEnlaces[[#This Row],[Canal]],tblCanales[#All],8,FALSE),tblPesosValorOperativo[Valor],tblPesosValorOperativo[Escalabilidad],0),0)</f>
        <v>0</v>
      </c>
      <c r="P211" s="53">
        <f>tblEnlaces[[#This Row],[Opacidad]]+tblEnlaces[[#This Row],[Escalabilidad]]+tblEnlaces[[#This Row],[Velocidad]]+tblEnlaces[[#This Row],[Trazabilidad]]</f>
        <v>9</v>
      </c>
    </row>
    <row r="212" spans="2:16" ht="16.5" customHeight="1" x14ac:dyDescent="0.25">
      <c r="B212" s="66" t="str">
        <f t="array" ref="B21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12" s="10" t="s">
        <v>83</v>
      </c>
      <c r="D212" s="10" t="str">
        <f>VLOOKUP(tblEnlaces[[#This Row],[Nodo Inicial]],tblNodos[],2,FALSE)</f>
        <v>Coordinación de la red y soporte estratégico</v>
      </c>
      <c r="E212" s="39" t="s">
        <v>85</v>
      </c>
      <c r="F212" s="10" t="str">
        <f>VLOOKUP(tblEnlaces[[#This Row],[Nodo Final]],tblNodos[],2,FALSE)</f>
        <v>Destino operativo final</v>
      </c>
      <c r="G212" s="39" t="s">
        <v>282</v>
      </c>
      <c r="H212" s="39">
        <v>1</v>
      </c>
      <c r="I212" s="53">
        <f>IFERROR(_xlfn.XLOOKUP(VLOOKUP(tblEnlaces[[#This Row],[Canal]],tblCanales[#All],2,FALSE),tblPesosValorOperativo[Valor],tblPesosValorOperativo[Frecuencia de Uso],0),0)</f>
        <v>4</v>
      </c>
      <c r="J212" s="63">
        <f>IF(tblEnlaces[[#This Row],[Activo]]&lt;&gt;1,0,IFERROR(tblEnlaces[[#This Row],[Frecuencia de Uso]]/SUMIFS(tblEnlaces[Frecuencia de Uso],tblEnlaces[Enlace],tblEnlaces[[#This Row],[Enlace]],tblEnlaces[Activo],1),0))</f>
        <v>9.3023255813953487E-2</v>
      </c>
      <c r="K212" s="62">
        <f>IFERROR(_xlfn.XLOOKUP(VLOOKUP(tblEnlaces[[#This Row],[Canal]],tblCanales[#All],3,FALSE),tblPesosCoste[Valor],tblPesosCoste[Peso],0),0)</f>
        <v>4</v>
      </c>
      <c r="L212" s="10">
        <f>IFERROR(_xlfn.XLOOKUP(VLOOKUP(tblEnlaces[[#This Row],[Canal]],tblCanales[#All],5,FALSE),tblPesosValorOperativo[Valor],tblPesosValorOperativo[Opacidad],0),0)</f>
        <v>3</v>
      </c>
      <c r="M212" s="14">
        <f>IFERROR(_xlfn.XLOOKUP(VLOOKUP(tblEnlaces[[#This Row],[Canal]],tblCanales[#All],6,FALSE),tblPesosValorOperativo[Valor],tblPesosValorOperativo[Trazabilidad],0),0)</f>
        <v>1</v>
      </c>
      <c r="N212" s="14">
        <f>IFERROR(_xlfn.XLOOKUP(VLOOKUP(tblEnlaces[[#This Row],[Canal]],tblCanales[#All],7,FALSE),tblPesosValorOperativo[Valor],tblPesosValorOperativo[Velocidad],0),0)</f>
        <v>5</v>
      </c>
      <c r="O212" s="14">
        <f>IFERROR(_xlfn.XLOOKUP(VLOOKUP(tblEnlaces[[#This Row],[Canal]],tblCanales[#All],8,FALSE),tblPesosValorOperativo[Valor],tblPesosValorOperativo[Escalabilidad],0),0)</f>
        <v>0</v>
      </c>
      <c r="P212" s="53">
        <f>tblEnlaces[[#This Row],[Opacidad]]+tblEnlaces[[#This Row],[Escalabilidad]]+tblEnlaces[[#This Row],[Velocidad]]+tblEnlaces[[#This Row],[Trazabilidad]]</f>
        <v>9</v>
      </c>
    </row>
    <row r="213" spans="2:16" ht="16.5" customHeight="1" x14ac:dyDescent="0.25">
      <c r="B213" s="66" t="str">
        <f t="array" ref="B21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13" s="10" t="s">
        <v>83</v>
      </c>
      <c r="D213" s="10" t="str">
        <f>VLOOKUP(tblEnlaces[[#This Row],[Nodo Inicial]],tblNodos[],2,FALSE)</f>
        <v>Coordinación de la red y soporte estratégico</v>
      </c>
      <c r="E213" s="39" t="s">
        <v>85</v>
      </c>
      <c r="F213" s="10" t="str">
        <f>VLOOKUP(tblEnlaces[[#This Row],[Nodo Final]],tblNodos[],2,FALSE)</f>
        <v>Destino operativo final</v>
      </c>
      <c r="G213" s="39" t="s">
        <v>162</v>
      </c>
      <c r="H213" s="39">
        <v>1</v>
      </c>
      <c r="I213" s="53">
        <f>IFERROR(_xlfn.XLOOKUP(VLOOKUP(tblEnlaces[[#This Row],[Canal]],tblCanales[#All],2,FALSE),tblPesosValorOperativo[Valor],tblPesosValorOperativo[Frecuencia de Uso],0),0)</f>
        <v>5</v>
      </c>
      <c r="J213" s="63">
        <f>IF(tblEnlaces[[#This Row],[Activo]]&lt;&gt;1,0,IFERROR(tblEnlaces[[#This Row],[Frecuencia de Uso]]/SUMIFS(tblEnlaces[Frecuencia de Uso],tblEnlaces[Enlace],tblEnlaces[[#This Row],[Enlace]],tblEnlaces[Activo],1),0))</f>
        <v>0.11627906976744186</v>
      </c>
      <c r="K213" s="62">
        <f>IFERROR(_xlfn.XLOOKUP(VLOOKUP(tblEnlaces[[#This Row],[Canal]],tblCanales[#All],3,FALSE),tblPesosCoste[Valor],tblPesosCoste[Peso],0),0)</f>
        <v>5</v>
      </c>
      <c r="L213" s="10">
        <f>IFERROR(_xlfn.XLOOKUP(VLOOKUP(tblEnlaces[[#This Row],[Canal]],tblCanales[#All],5,FALSE),tblPesosValorOperativo[Valor],tblPesosValorOperativo[Opacidad],0),0)</f>
        <v>1</v>
      </c>
      <c r="M213" s="14">
        <f>IFERROR(_xlfn.XLOOKUP(VLOOKUP(tblEnlaces[[#This Row],[Canal]],tblCanales[#All],6,FALSE),tblPesosValorOperativo[Valor],tblPesosValorOperativo[Trazabilidad],0),0)</f>
        <v>1</v>
      </c>
      <c r="N213" s="14">
        <f>IFERROR(_xlfn.XLOOKUP(VLOOKUP(tblEnlaces[[#This Row],[Canal]],tblCanales[#All],7,FALSE),tblPesosValorOperativo[Valor],tblPesosValorOperativo[Velocidad],0),0)</f>
        <v>5</v>
      </c>
      <c r="O213" s="14">
        <f>IFERROR(_xlfn.XLOOKUP(VLOOKUP(tblEnlaces[[#This Row],[Canal]],tblCanales[#All],8,FALSE),tblPesosValorOperativo[Valor],tblPesosValorOperativo[Escalabilidad],0),0)</f>
        <v>0</v>
      </c>
      <c r="P213" s="53">
        <f>tblEnlaces[[#This Row],[Opacidad]]+tblEnlaces[[#This Row],[Escalabilidad]]+tblEnlaces[[#This Row],[Velocidad]]+tblEnlaces[[#This Row],[Trazabilidad]]</f>
        <v>7</v>
      </c>
    </row>
    <row r="214" spans="2:16" ht="16.5" customHeight="1" x14ac:dyDescent="0.25">
      <c r="B214" s="66" t="str">
        <f t="array" ref="B21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14" s="10" t="s">
        <v>83</v>
      </c>
      <c r="D214" s="10" t="str">
        <f>VLOOKUP(tblEnlaces[[#This Row],[Nodo Inicial]],tblNodos[],2,FALSE)</f>
        <v>Coordinación de la red y soporte estratégico</v>
      </c>
      <c r="E214" s="39" t="s">
        <v>85</v>
      </c>
      <c r="F214" s="10" t="str">
        <f>VLOOKUP(tblEnlaces[[#This Row],[Nodo Final]],tblNodos[],2,FALSE)</f>
        <v>Destino operativo final</v>
      </c>
      <c r="G214" s="39" t="s">
        <v>234</v>
      </c>
      <c r="H214" s="39">
        <v>1</v>
      </c>
      <c r="I214" s="53">
        <f>IFERROR(_xlfn.XLOOKUP(VLOOKUP(tblEnlaces[[#This Row],[Canal]],tblCanales[#All],2,FALSE),tblPesosValorOperativo[Valor],tblPesosValorOperativo[Frecuencia de Uso],0),0)</f>
        <v>4</v>
      </c>
      <c r="J214" s="63">
        <f>IF(tblEnlaces[[#This Row],[Activo]]&lt;&gt;1,0,IFERROR(tblEnlaces[[#This Row],[Frecuencia de Uso]]/SUMIFS(tblEnlaces[Frecuencia de Uso],tblEnlaces[Enlace],tblEnlaces[[#This Row],[Enlace]],tblEnlaces[Activo],1),0))</f>
        <v>9.3023255813953487E-2</v>
      </c>
      <c r="K214" s="62">
        <f>IFERROR(_xlfn.XLOOKUP(VLOOKUP(tblEnlaces[[#This Row],[Canal]],tblCanales[#All],3,FALSE),tblPesosCoste[Valor],tblPesosCoste[Peso],0),0)</f>
        <v>4</v>
      </c>
      <c r="L214" s="10">
        <f>IFERROR(_xlfn.XLOOKUP(VLOOKUP(tblEnlaces[[#This Row],[Canal]],tblCanales[#All],5,FALSE),tblPesosValorOperativo[Valor],tblPesosValorOperativo[Opacidad],0),0)</f>
        <v>3</v>
      </c>
      <c r="M214" s="14">
        <f>IFERROR(_xlfn.XLOOKUP(VLOOKUP(tblEnlaces[[#This Row],[Canal]],tblCanales[#All],6,FALSE),tblPesosValorOperativo[Valor],tblPesosValorOperativo[Trazabilidad],0),0)</f>
        <v>1</v>
      </c>
      <c r="N214" s="14">
        <f>IFERROR(_xlfn.XLOOKUP(VLOOKUP(tblEnlaces[[#This Row],[Canal]],tblCanales[#All],7,FALSE),tblPesosValorOperativo[Valor],tblPesosValorOperativo[Velocidad],0),0)</f>
        <v>5</v>
      </c>
      <c r="O214" s="14">
        <f>IFERROR(_xlfn.XLOOKUP(VLOOKUP(tblEnlaces[[#This Row],[Canal]],tblCanales[#All],8,FALSE),tblPesosValorOperativo[Valor],tblPesosValorOperativo[Escalabilidad],0),0)</f>
        <v>0</v>
      </c>
      <c r="P214" s="53">
        <f>tblEnlaces[[#This Row],[Opacidad]]+tblEnlaces[[#This Row],[Escalabilidad]]+tblEnlaces[[#This Row],[Velocidad]]+tblEnlaces[[#This Row],[Trazabilidad]]</f>
        <v>9</v>
      </c>
    </row>
    <row r="215" spans="2:16" ht="16.5" customHeight="1" x14ac:dyDescent="0.25">
      <c r="B215" s="66" t="str">
        <f t="array" ref="B21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15" s="10" t="s">
        <v>83</v>
      </c>
      <c r="D215" s="10" t="str">
        <f>VLOOKUP(tblEnlaces[[#This Row],[Nodo Inicial]],tblNodos[],2,FALSE)</f>
        <v>Coordinación de la red y soporte estratégico</v>
      </c>
      <c r="E215" s="39" t="s">
        <v>85</v>
      </c>
      <c r="F215" s="10" t="str">
        <f>VLOOKUP(tblEnlaces[[#This Row],[Nodo Final]],tblNodos[],2,FALSE)</f>
        <v>Destino operativo final</v>
      </c>
      <c r="G215" s="39" t="s">
        <v>252</v>
      </c>
      <c r="H215" s="39">
        <v>1</v>
      </c>
      <c r="I215" s="53">
        <f>IFERROR(_xlfn.XLOOKUP(VLOOKUP(tblEnlaces[[#This Row],[Canal]],tblCanales[#All],2,FALSE),tblPesosValorOperativo[Valor],tblPesosValorOperativo[Frecuencia de Uso],0),0)</f>
        <v>4</v>
      </c>
      <c r="J215" s="63">
        <f>IF(tblEnlaces[[#This Row],[Activo]]&lt;&gt;1,0,IFERROR(tblEnlaces[[#This Row],[Frecuencia de Uso]]/SUMIFS(tblEnlaces[Frecuencia de Uso],tblEnlaces[Enlace],tblEnlaces[[#This Row],[Enlace]],tblEnlaces[Activo],1),0))</f>
        <v>9.3023255813953487E-2</v>
      </c>
      <c r="K215" s="62">
        <f>IFERROR(_xlfn.XLOOKUP(VLOOKUP(tblEnlaces[[#This Row],[Canal]],tblCanales[#All],3,FALSE),tblPesosCoste[Valor],tblPesosCoste[Peso],0),0)</f>
        <v>5</v>
      </c>
      <c r="L215" s="10">
        <f>IFERROR(_xlfn.XLOOKUP(VLOOKUP(tblEnlaces[[#This Row],[Canal]],tblCanales[#All],5,FALSE),tblPesosValorOperativo[Valor],tblPesosValorOperativo[Opacidad],0),0)</f>
        <v>3</v>
      </c>
      <c r="M215" s="14">
        <f>IFERROR(_xlfn.XLOOKUP(VLOOKUP(tblEnlaces[[#This Row],[Canal]],tblCanales[#All],6,FALSE),tblPesosValorOperativo[Valor],tblPesosValorOperativo[Trazabilidad],0),0)</f>
        <v>1</v>
      </c>
      <c r="N215" s="14">
        <f>IFERROR(_xlfn.XLOOKUP(VLOOKUP(tblEnlaces[[#This Row],[Canal]],tblCanales[#All],7,FALSE),tblPesosValorOperativo[Valor],tblPesosValorOperativo[Velocidad],0),0)</f>
        <v>5</v>
      </c>
      <c r="O215" s="14">
        <f>IFERROR(_xlfn.XLOOKUP(VLOOKUP(tblEnlaces[[#This Row],[Canal]],tblCanales[#All],8,FALSE),tblPesosValorOperativo[Valor],tblPesosValorOperativo[Escalabilidad],0),0)</f>
        <v>0</v>
      </c>
      <c r="P215" s="53">
        <f>tblEnlaces[[#This Row],[Opacidad]]+tblEnlaces[[#This Row],[Escalabilidad]]+tblEnlaces[[#This Row],[Velocidad]]+tblEnlaces[[#This Row],[Trazabilidad]]</f>
        <v>9</v>
      </c>
    </row>
    <row r="216" spans="2:16" ht="16.5" customHeight="1" x14ac:dyDescent="0.25">
      <c r="B216" s="66" t="str">
        <f t="array" ref="B21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16" s="10" t="s">
        <v>83</v>
      </c>
      <c r="D216" s="10" t="str">
        <f>VLOOKUP(tblEnlaces[[#This Row],[Nodo Inicial]],tblNodos[],2,FALSE)</f>
        <v>Coordinación de la red y soporte estratégico</v>
      </c>
      <c r="E216" s="39" t="s">
        <v>85</v>
      </c>
      <c r="F216" s="10" t="str">
        <f>VLOOKUP(tblEnlaces[[#This Row],[Nodo Final]],tblNodos[],2,FALSE)</f>
        <v>Destino operativo final</v>
      </c>
      <c r="G216" s="39" t="s">
        <v>136</v>
      </c>
      <c r="H216" s="39">
        <v>1</v>
      </c>
      <c r="I216" s="53">
        <f>IFERROR(_xlfn.XLOOKUP(VLOOKUP(tblEnlaces[[#This Row],[Canal]],tblCanales[#All],2,FALSE),tblPesosValorOperativo[Valor],tblPesosValorOperativo[Frecuencia de Uso],0),0)</f>
        <v>2</v>
      </c>
      <c r="J216" s="63">
        <f>IF(tblEnlaces[[#This Row],[Activo]]&lt;&gt;1,0,IFERROR(tblEnlaces[[#This Row],[Frecuencia de Uso]]/SUMIFS(tblEnlaces[Frecuencia de Uso],tblEnlaces[Enlace],tblEnlaces[[#This Row],[Enlace]],tblEnlaces[Activo],1),0))</f>
        <v>4.6511627906976744E-2</v>
      </c>
      <c r="K216" s="62">
        <f>IFERROR(_xlfn.XLOOKUP(VLOOKUP(tblEnlaces[[#This Row],[Canal]],tblCanales[#All],3,FALSE),tblPesosCoste[Valor],tblPesosCoste[Peso],0),0)</f>
        <v>4</v>
      </c>
      <c r="L216" s="10">
        <f>IFERROR(_xlfn.XLOOKUP(VLOOKUP(tblEnlaces[[#This Row],[Canal]],tblCanales[#All],5,FALSE),tblPesosValorOperativo[Valor],tblPesosValorOperativo[Opacidad],0),0)</f>
        <v>5</v>
      </c>
      <c r="M216" s="14">
        <f>IFERROR(_xlfn.XLOOKUP(VLOOKUP(tblEnlaces[[#This Row],[Canal]],tblCanales[#All],6,FALSE),tblPesosValorOperativo[Valor],tblPesosValorOperativo[Trazabilidad],0),0)</f>
        <v>2</v>
      </c>
      <c r="N216" s="14">
        <f>IFERROR(_xlfn.XLOOKUP(VLOOKUP(tblEnlaces[[#This Row],[Canal]],tblCanales[#All],7,FALSE),tblPesosValorOperativo[Valor],tblPesosValorOperativo[Velocidad],0),0)</f>
        <v>4</v>
      </c>
      <c r="O216" s="14">
        <f>IFERROR(_xlfn.XLOOKUP(VLOOKUP(tblEnlaces[[#This Row],[Canal]],tblCanales[#All],8,FALSE),tblPesosValorOperativo[Valor],tblPesosValorOperativo[Escalabilidad],0),0)</f>
        <v>0</v>
      </c>
      <c r="P216" s="53">
        <f>tblEnlaces[[#This Row],[Opacidad]]+tblEnlaces[[#This Row],[Escalabilidad]]+tblEnlaces[[#This Row],[Velocidad]]+tblEnlaces[[#This Row],[Trazabilidad]]</f>
        <v>11</v>
      </c>
    </row>
    <row r="217" spans="2:16" ht="16.5" customHeight="1" x14ac:dyDescent="0.25">
      <c r="B217" s="66" t="str">
        <f t="array" ref="B21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17" s="10" t="s">
        <v>83</v>
      </c>
      <c r="D217" s="10" t="str">
        <f>VLOOKUP(tblEnlaces[[#This Row],[Nodo Inicial]],tblNodos[],2,FALSE)</f>
        <v>Coordinación de la red y soporte estratégico</v>
      </c>
      <c r="E217" s="39" t="s">
        <v>85</v>
      </c>
      <c r="F217" s="10" t="str">
        <f>VLOOKUP(tblEnlaces[[#This Row],[Nodo Final]],tblNodos[],2,FALSE)</f>
        <v>Destino operativo final</v>
      </c>
      <c r="G217" s="39" t="s">
        <v>168</v>
      </c>
      <c r="H217" s="39">
        <v>1</v>
      </c>
      <c r="I217" s="53">
        <f>IFERROR(_xlfn.XLOOKUP(VLOOKUP(tblEnlaces[[#This Row],[Canal]],tblCanales[#All],2,FALSE),tblPesosValorOperativo[Valor],tblPesosValorOperativo[Frecuencia de Uso],0),0)</f>
        <v>2</v>
      </c>
      <c r="J217" s="63">
        <f>IF(tblEnlaces[[#This Row],[Activo]]&lt;&gt;1,0,IFERROR(tblEnlaces[[#This Row],[Frecuencia de Uso]]/SUMIFS(tblEnlaces[Frecuencia de Uso],tblEnlaces[Enlace],tblEnlaces[[#This Row],[Enlace]],tblEnlaces[Activo],1),0))</f>
        <v>4.6511627906976744E-2</v>
      </c>
      <c r="K217" s="62">
        <f>IFERROR(_xlfn.XLOOKUP(VLOOKUP(tblEnlaces[[#This Row],[Canal]],tblCanales[#All],3,FALSE),tblPesosCoste[Valor],tblPesosCoste[Peso],0),0)</f>
        <v>4</v>
      </c>
      <c r="L217" s="10">
        <f>IFERROR(_xlfn.XLOOKUP(VLOOKUP(tblEnlaces[[#This Row],[Canal]],tblCanales[#All],5,FALSE),tblPesosValorOperativo[Valor],tblPesosValorOperativo[Opacidad],0),0)</f>
        <v>4</v>
      </c>
      <c r="M217" s="14">
        <f>IFERROR(_xlfn.XLOOKUP(VLOOKUP(tblEnlaces[[#This Row],[Canal]],tblCanales[#All],6,FALSE),tblPesosValorOperativo[Valor],tblPesosValorOperativo[Trazabilidad],0),0)</f>
        <v>1</v>
      </c>
      <c r="N217" s="14">
        <f>IFERROR(_xlfn.XLOOKUP(VLOOKUP(tblEnlaces[[#This Row],[Canal]],tblCanales[#All],7,FALSE),tblPesosValorOperativo[Valor],tblPesosValorOperativo[Velocidad],0),0)</f>
        <v>5</v>
      </c>
      <c r="O217" s="14">
        <f>IFERROR(_xlfn.XLOOKUP(VLOOKUP(tblEnlaces[[#This Row],[Canal]],tblCanales[#All],8,FALSE),tblPesosValorOperativo[Valor],tblPesosValorOperativo[Escalabilidad],0),0)</f>
        <v>0</v>
      </c>
      <c r="P217" s="53">
        <f>tblEnlaces[[#This Row],[Opacidad]]+tblEnlaces[[#This Row],[Escalabilidad]]+tblEnlaces[[#This Row],[Velocidad]]+tblEnlaces[[#This Row],[Trazabilidad]]</f>
        <v>10</v>
      </c>
    </row>
    <row r="218" spans="2:16" ht="16.5" customHeight="1" x14ac:dyDescent="0.25">
      <c r="B218" s="66" t="str">
        <f t="array" ref="B21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18" s="10" t="s">
        <v>83</v>
      </c>
      <c r="D218" s="10" t="str">
        <f>VLOOKUP(tblEnlaces[[#This Row],[Nodo Inicial]],tblNodos[],2,FALSE)</f>
        <v>Coordinación de la red y soporte estratégico</v>
      </c>
      <c r="E218" s="39" t="s">
        <v>85</v>
      </c>
      <c r="F218" s="10" t="str">
        <f>VLOOKUP(tblEnlaces[[#This Row],[Nodo Final]],tblNodos[],2,FALSE)</f>
        <v>Destino operativo final</v>
      </c>
      <c r="G218" s="39" t="s">
        <v>222</v>
      </c>
      <c r="H218" s="39">
        <v>1</v>
      </c>
      <c r="I218" s="53">
        <f>IFERROR(_xlfn.XLOOKUP(VLOOKUP(tblEnlaces[[#This Row],[Canal]],tblCanales[#All],2,FALSE),tblPesosValorOperativo[Valor],tblPesosValorOperativo[Frecuencia de Uso],0),0)</f>
        <v>4</v>
      </c>
      <c r="J218" s="63">
        <f>IF(tblEnlaces[[#This Row],[Activo]]&lt;&gt;1,0,IFERROR(tblEnlaces[[#This Row],[Frecuencia de Uso]]/SUMIFS(tblEnlaces[Frecuencia de Uso],tblEnlaces[Enlace],tblEnlaces[[#This Row],[Enlace]],tblEnlaces[Activo],1),0))</f>
        <v>9.3023255813953487E-2</v>
      </c>
      <c r="K218" s="62">
        <f>IFERROR(_xlfn.XLOOKUP(VLOOKUP(tblEnlaces[[#This Row],[Canal]],tblCanales[#All],3,FALSE),tblPesosCoste[Valor],tblPesosCoste[Peso],0),0)</f>
        <v>5</v>
      </c>
      <c r="L218" s="10">
        <f>IFERROR(_xlfn.XLOOKUP(VLOOKUP(tblEnlaces[[#This Row],[Canal]],tblCanales[#All],5,FALSE),tblPesosValorOperativo[Valor],tblPesosValorOperativo[Opacidad],0),0)</f>
        <v>3</v>
      </c>
      <c r="M218" s="14">
        <f>IFERROR(_xlfn.XLOOKUP(VLOOKUP(tblEnlaces[[#This Row],[Canal]],tblCanales[#All],6,FALSE),tblPesosValorOperativo[Valor],tblPesosValorOperativo[Trazabilidad],0),0)</f>
        <v>1</v>
      </c>
      <c r="N218" s="14">
        <f>IFERROR(_xlfn.XLOOKUP(VLOOKUP(tblEnlaces[[#This Row],[Canal]],tblCanales[#All],7,FALSE),tblPesosValorOperativo[Valor],tblPesosValorOperativo[Velocidad],0),0)</f>
        <v>5</v>
      </c>
      <c r="O218" s="14">
        <f>IFERROR(_xlfn.XLOOKUP(VLOOKUP(tblEnlaces[[#This Row],[Canal]],tblCanales[#All],8,FALSE),tblPesosValorOperativo[Valor],tblPesosValorOperativo[Escalabilidad],0),0)</f>
        <v>0</v>
      </c>
      <c r="P218" s="53">
        <f>tblEnlaces[[#This Row],[Opacidad]]+tblEnlaces[[#This Row],[Escalabilidad]]+tblEnlaces[[#This Row],[Velocidad]]+tblEnlaces[[#This Row],[Trazabilidad]]</f>
        <v>9</v>
      </c>
    </row>
    <row r="219" spans="2:16" ht="16.5" customHeight="1" x14ac:dyDescent="0.25">
      <c r="B219" s="66" t="str">
        <f t="array" ref="B21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19" s="10" t="s">
        <v>83</v>
      </c>
      <c r="D219" s="10" t="str">
        <f>VLOOKUP(tblEnlaces[[#This Row],[Nodo Inicial]],tblNodos[],2,FALSE)</f>
        <v>Coordinación de la red y soporte estratégico</v>
      </c>
      <c r="E219" s="39" t="s">
        <v>85</v>
      </c>
      <c r="F219" s="10" t="str">
        <f>VLOOKUP(tblEnlaces[[#This Row],[Nodo Final]],tblNodos[],2,FALSE)</f>
        <v>Destino operativo final</v>
      </c>
      <c r="G219" s="39" t="s">
        <v>252</v>
      </c>
      <c r="H219" s="39">
        <v>1</v>
      </c>
      <c r="I219" s="53">
        <f>IFERROR(_xlfn.XLOOKUP(VLOOKUP(tblEnlaces[[#This Row],[Canal]],tblCanales[#All],2,FALSE),tblPesosValorOperativo[Valor],tblPesosValorOperativo[Frecuencia de Uso],0),0)</f>
        <v>4</v>
      </c>
      <c r="J219" s="63">
        <f>IF(tblEnlaces[[#This Row],[Activo]]&lt;&gt;1,0,IFERROR(tblEnlaces[[#This Row],[Frecuencia de Uso]]/SUMIFS(tblEnlaces[Frecuencia de Uso],tblEnlaces[Enlace],tblEnlaces[[#This Row],[Enlace]],tblEnlaces[Activo],1),0))</f>
        <v>9.3023255813953487E-2</v>
      </c>
      <c r="K219" s="62">
        <f>IFERROR(_xlfn.XLOOKUP(VLOOKUP(tblEnlaces[[#This Row],[Canal]],tblCanales[#All],3,FALSE),tblPesosCoste[Valor],tblPesosCoste[Peso],0),0)</f>
        <v>5</v>
      </c>
      <c r="L219" s="10">
        <f>IFERROR(_xlfn.XLOOKUP(VLOOKUP(tblEnlaces[[#This Row],[Canal]],tblCanales[#All],5,FALSE),tblPesosValorOperativo[Valor],tblPesosValorOperativo[Opacidad],0),0)</f>
        <v>3</v>
      </c>
      <c r="M219" s="14">
        <f>IFERROR(_xlfn.XLOOKUP(VLOOKUP(tblEnlaces[[#This Row],[Canal]],tblCanales[#All],6,FALSE),tblPesosValorOperativo[Valor],tblPesosValorOperativo[Trazabilidad],0),0)</f>
        <v>1</v>
      </c>
      <c r="N219" s="14">
        <f>IFERROR(_xlfn.XLOOKUP(VLOOKUP(tblEnlaces[[#This Row],[Canal]],tblCanales[#All],7,FALSE),tblPesosValorOperativo[Valor],tblPesosValorOperativo[Velocidad],0),0)</f>
        <v>5</v>
      </c>
      <c r="O219" s="14">
        <f>IFERROR(_xlfn.XLOOKUP(VLOOKUP(tblEnlaces[[#This Row],[Canal]],tblCanales[#All],8,FALSE),tblPesosValorOperativo[Valor],tblPesosValorOperativo[Escalabilidad],0),0)</f>
        <v>0</v>
      </c>
      <c r="P219" s="53">
        <f>tblEnlaces[[#This Row],[Opacidad]]+tblEnlaces[[#This Row],[Escalabilidad]]+tblEnlaces[[#This Row],[Velocidad]]+tblEnlaces[[#This Row],[Trazabilidad]]</f>
        <v>9</v>
      </c>
    </row>
    <row r="220" spans="2:16" ht="16.5" customHeight="1" x14ac:dyDescent="0.25">
      <c r="B220" s="66" t="str">
        <f t="array" ref="B22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>E058</v>
      </c>
      <c r="C220" s="10" t="s">
        <v>83</v>
      </c>
      <c r="D220" s="10" t="str">
        <f>VLOOKUP(tblEnlaces[[#This Row],[Nodo Inicial]],tblNodos[],2,FALSE)</f>
        <v>Coordinación de la red y soporte estratégico</v>
      </c>
      <c r="E220" s="39" t="s">
        <v>85</v>
      </c>
      <c r="F220" s="10" t="str">
        <f>VLOOKUP(tblEnlaces[[#This Row],[Nodo Final]],tblNodos[],2,FALSE)</f>
        <v>Destino operativo final</v>
      </c>
      <c r="G220" s="39" t="s">
        <v>288</v>
      </c>
      <c r="H220" s="39">
        <v>1</v>
      </c>
      <c r="I220" s="53">
        <f>IFERROR(_xlfn.XLOOKUP(VLOOKUP(tblEnlaces[[#This Row],[Canal]],tblCanales[#All],2,FALSE),tblPesosValorOperativo[Valor],tblPesosValorOperativo[Frecuencia de Uso],0),0)</f>
        <v>3</v>
      </c>
      <c r="J220" s="63">
        <f>IF(tblEnlaces[[#This Row],[Activo]]&lt;&gt;1,0,IFERROR(tblEnlaces[[#This Row],[Frecuencia de Uso]]/SUMIFS(tblEnlaces[Frecuencia de Uso],tblEnlaces[Enlace],tblEnlaces[[#This Row],[Enlace]],tblEnlaces[Activo],1),0))</f>
        <v>6.9767441860465115E-2</v>
      </c>
      <c r="K220" s="62">
        <f>IFERROR(_xlfn.XLOOKUP(VLOOKUP(tblEnlaces[[#This Row],[Canal]],tblCanales[#All],3,FALSE),tblPesosCoste[Valor],tblPesosCoste[Peso],0),0)</f>
        <v>5</v>
      </c>
      <c r="L220" s="10">
        <f>IFERROR(_xlfn.XLOOKUP(VLOOKUP(tblEnlaces[[#This Row],[Canal]],tblCanales[#All],5,FALSE),tblPesosValorOperativo[Valor],tblPesosValorOperativo[Opacidad],0),0)</f>
        <v>3</v>
      </c>
      <c r="M220" s="14">
        <f>IFERROR(_xlfn.XLOOKUP(VLOOKUP(tblEnlaces[[#This Row],[Canal]],tblCanales[#All],6,FALSE),tblPesosValorOperativo[Valor],tblPesosValorOperativo[Trazabilidad],0),0)</f>
        <v>1</v>
      </c>
      <c r="N220" s="14">
        <f>IFERROR(_xlfn.XLOOKUP(VLOOKUP(tblEnlaces[[#This Row],[Canal]],tblCanales[#All],7,FALSE),tblPesosValorOperativo[Valor],tblPesosValorOperativo[Velocidad],0),0)</f>
        <v>5</v>
      </c>
      <c r="O220" s="14">
        <f>IFERROR(_xlfn.XLOOKUP(VLOOKUP(tblEnlaces[[#This Row],[Canal]],tblCanales[#All],8,FALSE),tblPesosValorOperativo[Valor],tblPesosValorOperativo[Escalabilidad],0),0)</f>
        <v>0</v>
      </c>
      <c r="P220" s="53">
        <f>tblEnlaces[[#This Row],[Opacidad]]+tblEnlaces[[#This Row],[Escalabilidad]]+tblEnlaces[[#This Row],[Velocidad]]+tblEnlaces[[#This Row],[Trazabilidad]]</f>
        <v>9</v>
      </c>
    </row>
    <row r="221" spans="2:16" ht="16.5" customHeight="1" x14ac:dyDescent="0.25">
      <c r="B221" s="66" t="str">
        <f t="array" ref="B22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21" s="10" t="e">
        <f>VLOOKUP(tblEnlaces[[#This Row],[Nodo Inicial]],tblNodos[],2,FALSE)</f>
        <v>#N/A</v>
      </c>
      <c r="E221" s="39"/>
      <c r="F221" s="10" t="e">
        <f>VLOOKUP(tblEnlaces[[#This Row],[Nodo Final]],tblNodos[],2,FALSE)</f>
        <v>#N/A</v>
      </c>
      <c r="G221" s="39"/>
      <c r="I221" s="53">
        <f>IFERROR(_xlfn.XLOOKUP(VLOOKUP(tblEnlaces[[#This Row],[Canal]],tblCanales[#All],2,FALSE),tblPesosValorOperativo[Valor],tblPesosValorOperativo[Frecuencia de Uso],0),0)</f>
        <v>0</v>
      </c>
      <c r="J22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21" s="64">
        <f>IFERROR(_xlfn.XLOOKUP(VLOOKUP(tblEnlaces[[#This Row],[Canal]],tblCanales[#All],3,FALSE),tblPesosCoste[Valor],tblPesosCoste[Peso],0),0)</f>
        <v>0</v>
      </c>
      <c r="L221" s="10">
        <f>IFERROR(_xlfn.XLOOKUP(VLOOKUP(tblEnlaces[[#This Row],[Canal]],tblCanales[#All],5,FALSE),tblPesosValorOperativo[Valor],tblPesosValorOperativo[Opacidad],0),0)</f>
        <v>0</v>
      </c>
      <c r="M221" s="14">
        <f>IFERROR(_xlfn.XLOOKUP(VLOOKUP(tblEnlaces[[#This Row],[Canal]],tblCanales[#All],6,FALSE),tblPesosValorOperativo[Valor],tblPesosValorOperativo[Trazabilidad],0),0)</f>
        <v>0</v>
      </c>
      <c r="N221" s="14">
        <f>IFERROR(_xlfn.XLOOKUP(VLOOKUP(tblEnlaces[[#This Row],[Canal]],tblCanales[#All],7,FALSE),tblPesosValorOperativo[Valor],tblPesosValorOperativo[Velocidad],0),0)</f>
        <v>0</v>
      </c>
      <c r="O221" s="14">
        <f>IFERROR(_xlfn.XLOOKUP(VLOOKUP(tblEnlaces[[#This Row],[Canal]],tblCanales[#All],8,FALSE),tblPesosValorOperativo[Valor],tblPesosValorOperativo[Escalabilidad],0),0)</f>
        <v>0</v>
      </c>
      <c r="P221" s="53">
        <f>tblEnlaces[[#This Row],[Opacidad]]+tblEnlaces[[#This Row],[Escalabilidad]]+tblEnlaces[[#This Row],[Velocidad]]+tblEnlaces[[#This Row],[Trazabilidad]]</f>
        <v>0</v>
      </c>
    </row>
    <row r="222" spans="2:16" ht="16.5" customHeight="1" x14ac:dyDescent="0.25">
      <c r="B222" s="66" t="str">
        <f t="array" ref="B22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22" s="10" t="e">
        <f>VLOOKUP(tblEnlaces[[#This Row],[Nodo Inicial]],tblNodos[],2,FALSE)</f>
        <v>#N/A</v>
      </c>
      <c r="E222" s="39"/>
      <c r="F222" s="10" t="e">
        <f>VLOOKUP(tblEnlaces[[#This Row],[Nodo Final]],tblNodos[],2,FALSE)</f>
        <v>#N/A</v>
      </c>
      <c r="G222" s="39"/>
      <c r="I222" s="53">
        <f>IFERROR(_xlfn.XLOOKUP(VLOOKUP(tblEnlaces[[#This Row],[Canal]],tblCanales[#All],2,FALSE),tblPesosValorOperativo[Valor],tblPesosValorOperativo[Frecuencia de Uso],0),0)</f>
        <v>0</v>
      </c>
      <c r="J22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22" s="64">
        <f>IFERROR(_xlfn.XLOOKUP(VLOOKUP(tblEnlaces[[#This Row],[Canal]],tblCanales[#All],3,FALSE),tblPesosCoste[Valor],tblPesosCoste[Peso],0),0)</f>
        <v>0</v>
      </c>
      <c r="L222" s="10">
        <f>IFERROR(_xlfn.XLOOKUP(VLOOKUP(tblEnlaces[[#This Row],[Canal]],tblCanales[#All],5,FALSE),tblPesosValorOperativo[Valor],tblPesosValorOperativo[Opacidad],0),0)</f>
        <v>0</v>
      </c>
      <c r="M222" s="14">
        <f>IFERROR(_xlfn.XLOOKUP(VLOOKUP(tblEnlaces[[#This Row],[Canal]],tblCanales[#All],6,FALSE),tblPesosValorOperativo[Valor],tblPesosValorOperativo[Trazabilidad],0),0)</f>
        <v>0</v>
      </c>
      <c r="N222" s="14">
        <f>IFERROR(_xlfn.XLOOKUP(VLOOKUP(tblEnlaces[[#This Row],[Canal]],tblCanales[#All],7,FALSE),tblPesosValorOperativo[Valor],tblPesosValorOperativo[Velocidad],0),0)</f>
        <v>0</v>
      </c>
      <c r="O222" s="14">
        <f>IFERROR(_xlfn.XLOOKUP(VLOOKUP(tblEnlaces[[#This Row],[Canal]],tblCanales[#All],8,FALSE),tblPesosValorOperativo[Valor],tblPesosValorOperativo[Escalabilidad],0),0)</f>
        <v>0</v>
      </c>
      <c r="P222" s="53">
        <f>tblEnlaces[[#This Row],[Opacidad]]+tblEnlaces[[#This Row],[Escalabilidad]]+tblEnlaces[[#This Row],[Velocidad]]+tblEnlaces[[#This Row],[Trazabilidad]]</f>
        <v>0</v>
      </c>
    </row>
    <row r="223" spans="2:16" ht="16.5" customHeight="1" x14ac:dyDescent="0.25">
      <c r="B223" s="66" t="str">
        <f t="array" ref="B22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23" s="10" t="e">
        <f>VLOOKUP(tblEnlaces[[#This Row],[Nodo Inicial]],tblNodos[],2,FALSE)</f>
        <v>#N/A</v>
      </c>
      <c r="E223" s="39"/>
      <c r="F223" s="10" t="e">
        <f>VLOOKUP(tblEnlaces[[#This Row],[Nodo Final]],tblNodos[],2,FALSE)</f>
        <v>#N/A</v>
      </c>
      <c r="G223" s="39"/>
      <c r="I223" s="53">
        <f>IFERROR(_xlfn.XLOOKUP(VLOOKUP(tblEnlaces[[#This Row],[Canal]],tblCanales[#All],2,FALSE),tblPesosValorOperativo[Valor],tblPesosValorOperativo[Frecuencia de Uso],0),0)</f>
        <v>0</v>
      </c>
      <c r="J22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23" s="64">
        <f>IFERROR(_xlfn.XLOOKUP(VLOOKUP(tblEnlaces[[#This Row],[Canal]],tblCanales[#All],3,FALSE),tblPesosCoste[Valor],tblPesosCoste[Peso],0),0)</f>
        <v>0</v>
      </c>
      <c r="L223" s="10">
        <f>IFERROR(_xlfn.XLOOKUP(VLOOKUP(tblEnlaces[[#This Row],[Canal]],tblCanales[#All],5,FALSE),tblPesosValorOperativo[Valor],tblPesosValorOperativo[Opacidad],0),0)</f>
        <v>0</v>
      </c>
      <c r="M223" s="14">
        <f>IFERROR(_xlfn.XLOOKUP(VLOOKUP(tblEnlaces[[#This Row],[Canal]],tblCanales[#All],6,FALSE),tblPesosValorOperativo[Valor],tblPesosValorOperativo[Trazabilidad],0),0)</f>
        <v>0</v>
      </c>
      <c r="N223" s="14">
        <f>IFERROR(_xlfn.XLOOKUP(VLOOKUP(tblEnlaces[[#This Row],[Canal]],tblCanales[#All],7,FALSE),tblPesosValorOperativo[Valor],tblPesosValorOperativo[Velocidad],0),0)</f>
        <v>0</v>
      </c>
      <c r="O223" s="14">
        <f>IFERROR(_xlfn.XLOOKUP(VLOOKUP(tblEnlaces[[#This Row],[Canal]],tblCanales[#All],8,FALSE),tblPesosValorOperativo[Valor],tblPesosValorOperativo[Escalabilidad],0),0)</f>
        <v>0</v>
      </c>
      <c r="P223" s="53">
        <f>tblEnlaces[[#This Row],[Opacidad]]+tblEnlaces[[#This Row],[Escalabilidad]]+tblEnlaces[[#This Row],[Velocidad]]+tblEnlaces[[#This Row],[Trazabilidad]]</f>
        <v>0</v>
      </c>
    </row>
    <row r="224" spans="2:16" ht="16.5" customHeight="1" x14ac:dyDescent="0.25">
      <c r="B224" s="66" t="str">
        <f t="array" ref="B22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24" s="10" t="e">
        <f>VLOOKUP(tblEnlaces[[#This Row],[Nodo Inicial]],tblNodos[],2,FALSE)</f>
        <v>#N/A</v>
      </c>
      <c r="E224" s="39"/>
      <c r="F224" s="10" t="e">
        <f>VLOOKUP(tblEnlaces[[#This Row],[Nodo Final]],tblNodos[],2,FALSE)</f>
        <v>#N/A</v>
      </c>
      <c r="G224" s="39"/>
      <c r="I224" s="53">
        <f>IFERROR(_xlfn.XLOOKUP(VLOOKUP(tblEnlaces[[#This Row],[Canal]],tblCanales[#All],2,FALSE),tblPesosValorOperativo[Valor],tblPesosValorOperativo[Frecuencia de Uso],0),0)</f>
        <v>0</v>
      </c>
      <c r="J22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24" s="64">
        <f>IFERROR(_xlfn.XLOOKUP(VLOOKUP(tblEnlaces[[#This Row],[Canal]],tblCanales[#All],3,FALSE),tblPesosCoste[Valor],tblPesosCoste[Peso],0),0)</f>
        <v>0</v>
      </c>
      <c r="L224" s="10">
        <f>IFERROR(_xlfn.XLOOKUP(VLOOKUP(tblEnlaces[[#This Row],[Canal]],tblCanales[#All],5,FALSE),tblPesosValorOperativo[Valor],tblPesosValorOperativo[Opacidad],0),0)</f>
        <v>0</v>
      </c>
      <c r="M224" s="14">
        <f>IFERROR(_xlfn.XLOOKUP(VLOOKUP(tblEnlaces[[#This Row],[Canal]],tblCanales[#All],6,FALSE),tblPesosValorOperativo[Valor],tblPesosValorOperativo[Trazabilidad],0),0)</f>
        <v>0</v>
      </c>
      <c r="N224" s="14">
        <f>IFERROR(_xlfn.XLOOKUP(VLOOKUP(tblEnlaces[[#This Row],[Canal]],tblCanales[#All],7,FALSE),tblPesosValorOperativo[Valor],tblPesosValorOperativo[Velocidad],0),0)</f>
        <v>0</v>
      </c>
      <c r="O224" s="14">
        <f>IFERROR(_xlfn.XLOOKUP(VLOOKUP(tblEnlaces[[#This Row],[Canal]],tblCanales[#All],8,FALSE),tblPesosValorOperativo[Valor],tblPesosValorOperativo[Escalabilidad],0),0)</f>
        <v>0</v>
      </c>
      <c r="P224" s="53">
        <f>tblEnlaces[[#This Row],[Opacidad]]+tblEnlaces[[#This Row],[Escalabilidad]]+tblEnlaces[[#This Row],[Velocidad]]+tblEnlaces[[#This Row],[Trazabilidad]]</f>
        <v>0</v>
      </c>
    </row>
    <row r="225" spans="2:16" ht="16.5" customHeight="1" x14ac:dyDescent="0.25">
      <c r="B225" s="66" t="str">
        <f t="array" ref="B22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25" s="10" t="e">
        <f>VLOOKUP(tblEnlaces[[#This Row],[Nodo Inicial]],tblNodos[],2,FALSE)</f>
        <v>#N/A</v>
      </c>
      <c r="E225" s="39"/>
      <c r="F225" s="10" t="e">
        <f>VLOOKUP(tblEnlaces[[#This Row],[Nodo Final]],tblNodos[],2,FALSE)</f>
        <v>#N/A</v>
      </c>
      <c r="G225" s="39"/>
      <c r="I225" s="53">
        <f>IFERROR(_xlfn.XLOOKUP(VLOOKUP(tblEnlaces[[#This Row],[Canal]],tblCanales[#All],2,FALSE),tblPesosValorOperativo[Valor],tblPesosValorOperativo[Frecuencia de Uso],0),0)</f>
        <v>0</v>
      </c>
      <c r="J22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25" s="64">
        <f>IFERROR(_xlfn.XLOOKUP(VLOOKUP(tblEnlaces[[#This Row],[Canal]],tblCanales[#All],3,FALSE),tblPesosCoste[Valor],tblPesosCoste[Peso],0),0)</f>
        <v>0</v>
      </c>
      <c r="L225" s="10">
        <f>IFERROR(_xlfn.XLOOKUP(VLOOKUP(tblEnlaces[[#This Row],[Canal]],tblCanales[#All],5,FALSE),tblPesosValorOperativo[Valor],tblPesosValorOperativo[Opacidad],0),0)</f>
        <v>0</v>
      </c>
      <c r="M225" s="14">
        <f>IFERROR(_xlfn.XLOOKUP(VLOOKUP(tblEnlaces[[#This Row],[Canal]],tblCanales[#All],6,FALSE),tblPesosValorOperativo[Valor],tblPesosValorOperativo[Trazabilidad],0),0)</f>
        <v>0</v>
      </c>
      <c r="N225" s="14">
        <f>IFERROR(_xlfn.XLOOKUP(VLOOKUP(tblEnlaces[[#This Row],[Canal]],tblCanales[#All],7,FALSE),tblPesosValorOperativo[Valor],tblPesosValorOperativo[Velocidad],0),0)</f>
        <v>0</v>
      </c>
      <c r="O225" s="14">
        <f>IFERROR(_xlfn.XLOOKUP(VLOOKUP(tblEnlaces[[#This Row],[Canal]],tblCanales[#All],8,FALSE),tblPesosValorOperativo[Valor],tblPesosValorOperativo[Escalabilidad],0),0)</f>
        <v>0</v>
      </c>
      <c r="P225" s="53">
        <f>tblEnlaces[[#This Row],[Opacidad]]+tblEnlaces[[#This Row],[Escalabilidad]]+tblEnlaces[[#This Row],[Velocidad]]+tblEnlaces[[#This Row],[Trazabilidad]]</f>
        <v>0</v>
      </c>
    </row>
    <row r="226" spans="2:16" ht="16.5" customHeight="1" x14ac:dyDescent="0.25">
      <c r="B226" s="66" t="str">
        <f t="array" ref="B22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26" s="10" t="e">
        <f>VLOOKUP(tblEnlaces[[#This Row],[Nodo Inicial]],tblNodos[],2,FALSE)</f>
        <v>#N/A</v>
      </c>
      <c r="E226" s="39"/>
      <c r="F226" s="10" t="e">
        <f>VLOOKUP(tblEnlaces[[#This Row],[Nodo Final]],tblNodos[],2,FALSE)</f>
        <v>#N/A</v>
      </c>
      <c r="G226" s="39"/>
      <c r="I226" s="53">
        <f>IFERROR(_xlfn.XLOOKUP(VLOOKUP(tblEnlaces[[#This Row],[Canal]],tblCanales[#All],2,FALSE),tblPesosValorOperativo[Valor],tblPesosValorOperativo[Frecuencia de Uso],0),0)</f>
        <v>0</v>
      </c>
      <c r="J22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26" s="64">
        <f>IFERROR(_xlfn.XLOOKUP(VLOOKUP(tblEnlaces[[#This Row],[Canal]],tblCanales[#All],3,FALSE),tblPesosCoste[Valor],tblPesosCoste[Peso],0),0)</f>
        <v>0</v>
      </c>
      <c r="L226" s="10">
        <f>IFERROR(_xlfn.XLOOKUP(VLOOKUP(tblEnlaces[[#This Row],[Canal]],tblCanales[#All],5,FALSE),tblPesosValorOperativo[Valor],tblPesosValorOperativo[Opacidad],0),0)</f>
        <v>0</v>
      </c>
      <c r="M226" s="14">
        <f>IFERROR(_xlfn.XLOOKUP(VLOOKUP(tblEnlaces[[#This Row],[Canal]],tblCanales[#All],6,FALSE),tblPesosValorOperativo[Valor],tblPesosValorOperativo[Trazabilidad],0),0)</f>
        <v>0</v>
      </c>
      <c r="N226" s="14">
        <f>IFERROR(_xlfn.XLOOKUP(VLOOKUP(tblEnlaces[[#This Row],[Canal]],tblCanales[#All],7,FALSE),tblPesosValorOperativo[Valor],tblPesosValorOperativo[Velocidad],0),0)</f>
        <v>0</v>
      </c>
      <c r="O226" s="14">
        <f>IFERROR(_xlfn.XLOOKUP(VLOOKUP(tblEnlaces[[#This Row],[Canal]],tblCanales[#All],8,FALSE),tblPesosValorOperativo[Valor],tblPesosValorOperativo[Escalabilidad],0),0)</f>
        <v>0</v>
      </c>
      <c r="P226" s="53">
        <f>tblEnlaces[[#This Row],[Opacidad]]+tblEnlaces[[#This Row],[Escalabilidad]]+tblEnlaces[[#This Row],[Velocidad]]+tblEnlaces[[#This Row],[Trazabilidad]]</f>
        <v>0</v>
      </c>
    </row>
    <row r="227" spans="2:16" ht="16.5" customHeight="1" x14ac:dyDescent="0.25">
      <c r="B227" s="66" t="str">
        <f t="array" ref="B22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27" s="10" t="e">
        <f>VLOOKUP(tblEnlaces[[#This Row],[Nodo Inicial]],tblNodos[],2,FALSE)</f>
        <v>#N/A</v>
      </c>
      <c r="E227" s="39"/>
      <c r="F227" s="10" t="e">
        <f>VLOOKUP(tblEnlaces[[#This Row],[Nodo Final]],tblNodos[],2,FALSE)</f>
        <v>#N/A</v>
      </c>
      <c r="G227" s="39"/>
      <c r="I227" s="53">
        <f>IFERROR(_xlfn.XLOOKUP(VLOOKUP(tblEnlaces[[#This Row],[Canal]],tblCanales[#All],2,FALSE),tblPesosValorOperativo[Valor],tblPesosValorOperativo[Frecuencia de Uso],0),0)</f>
        <v>0</v>
      </c>
      <c r="J22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27" s="64">
        <f>IFERROR(_xlfn.XLOOKUP(VLOOKUP(tblEnlaces[[#This Row],[Canal]],tblCanales[#All],3,FALSE),tblPesosCoste[Valor],tblPesosCoste[Peso],0),0)</f>
        <v>0</v>
      </c>
      <c r="L227" s="10">
        <f>IFERROR(_xlfn.XLOOKUP(VLOOKUP(tblEnlaces[[#This Row],[Canal]],tblCanales[#All],5,FALSE),tblPesosValorOperativo[Valor],tblPesosValorOperativo[Opacidad],0),0)</f>
        <v>0</v>
      </c>
      <c r="M227" s="14">
        <f>IFERROR(_xlfn.XLOOKUP(VLOOKUP(tblEnlaces[[#This Row],[Canal]],tblCanales[#All],6,FALSE),tblPesosValorOperativo[Valor],tblPesosValorOperativo[Trazabilidad],0),0)</f>
        <v>0</v>
      </c>
      <c r="N227" s="14">
        <f>IFERROR(_xlfn.XLOOKUP(VLOOKUP(tblEnlaces[[#This Row],[Canal]],tblCanales[#All],7,FALSE),tblPesosValorOperativo[Valor],tblPesosValorOperativo[Velocidad],0),0)</f>
        <v>0</v>
      </c>
      <c r="O227" s="14">
        <f>IFERROR(_xlfn.XLOOKUP(VLOOKUP(tblEnlaces[[#This Row],[Canal]],tblCanales[#All],8,FALSE),tblPesosValorOperativo[Valor],tblPesosValorOperativo[Escalabilidad],0),0)</f>
        <v>0</v>
      </c>
      <c r="P227" s="53">
        <f>tblEnlaces[[#This Row],[Opacidad]]+tblEnlaces[[#This Row],[Escalabilidad]]+tblEnlaces[[#This Row],[Velocidad]]+tblEnlaces[[#This Row],[Trazabilidad]]</f>
        <v>0</v>
      </c>
    </row>
    <row r="228" spans="2:16" ht="16.5" customHeight="1" x14ac:dyDescent="0.25">
      <c r="B228" s="66" t="str">
        <f t="array" ref="B22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28" s="10" t="e">
        <f>VLOOKUP(tblEnlaces[[#This Row],[Nodo Inicial]],tblNodos[],2,FALSE)</f>
        <v>#N/A</v>
      </c>
      <c r="E228" s="39"/>
      <c r="F228" s="10" t="e">
        <f>VLOOKUP(tblEnlaces[[#This Row],[Nodo Final]],tblNodos[],2,FALSE)</f>
        <v>#N/A</v>
      </c>
      <c r="G228" s="39"/>
      <c r="I228" s="53">
        <f>IFERROR(_xlfn.XLOOKUP(VLOOKUP(tblEnlaces[[#This Row],[Canal]],tblCanales[#All],2,FALSE),tblPesosValorOperativo[Valor],tblPesosValorOperativo[Frecuencia de Uso],0),0)</f>
        <v>0</v>
      </c>
      <c r="J22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28" s="64">
        <f>IFERROR(_xlfn.XLOOKUP(VLOOKUP(tblEnlaces[[#This Row],[Canal]],tblCanales[#All],3,FALSE),tblPesosCoste[Valor],tblPesosCoste[Peso],0),0)</f>
        <v>0</v>
      </c>
      <c r="L228" s="10">
        <f>IFERROR(_xlfn.XLOOKUP(VLOOKUP(tblEnlaces[[#This Row],[Canal]],tblCanales[#All],5,FALSE),tblPesosValorOperativo[Valor],tblPesosValorOperativo[Opacidad],0),0)</f>
        <v>0</v>
      </c>
      <c r="M228" s="14">
        <f>IFERROR(_xlfn.XLOOKUP(VLOOKUP(tblEnlaces[[#This Row],[Canal]],tblCanales[#All],6,FALSE),tblPesosValorOperativo[Valor],tblPesosValorOperativo[Trazabilidad],0),0)</f>
        <v>0</v>
      </c>
      <c r="N228" s="14">
        <f>IFERROR(_xlfn.XLOOKUP(VLOOKUP(tblEnlaces[[#This Row],[Canal]],tblCanales[#All],7,FALSE),tblPesosValorOperativo[Valor],tblPesosValorOperativo[Velocidad],0),0)</f>
        <v>0</v>
      </c>
      <c r="O228" s="14">
        <f>IFERROR(_xlfn.XLOOKUP(VLOOKUP(tblEnlaces[[#This Row],[Canal]],tblCanales[#All],8,FALSE),tblPesosValorOperativo[Valor],tblPesosValorOperativo[Escalabilidad],0),0)</f>
        <v>0</v>
      </c>
      <c r="P228" s="53">
        <f>tblEnlaces[[#This Row],[Opacidad]]+tblEnlaces[[#This Row],[Escalabilidad]]+tblEnlaces[[#This Row],[Velocidad]]+tblEnlaces[[#This Row],[Trazabilidad]]</f>
        <v>0</v>
      </c>
    </row>
    <row r="229" spans="2:16" ht="16.5" customHeight="1" x14ac:dyDescent="0.25">
      <c r="B229" s="66" t="str">
        <f t="array" ref="B22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29" s="10" t="e">
        <f>VLOOKUP(tblEnlaces[[#This Row],[Nodo Inicial]],tblNodos[],2,FALSE)</f>
        <v>#N/A</v>
      </c>
      <c r="E229" s="39"/>
      <c r="F229" s="10" t="e">
        <f>VLOOKUP(tblEnlaces[[#This Row],[Nodo Final]],tblNodos[],2,FALSE)</f>
        <v>#N/A</v>
      </c>
      <c r="G229" s="39"/>
      <c r="I229" s="53">
        <f>IFERROR(_xlfn.XLOOKUP(VLOOKUP(tblEnlaces[[#This Row],[Canal]],tblCanales[#All],2,FALSE),tblPesosValorOperativo[Valor],tblPesosValorOperativo[Frecuencia de Uso],0),0)</f>
        <v>0</v>
      </c>
      <c r="J22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29" s="64">
        <f>IFERROR(_xlfn.XLOOKUP(VLOOKUP(tblEnlaces[[#This Row],[Canal]],tblCanales[#All],3,FALSE),tblPesosCoste[Valor],tblPesosCoste[Peso],0),0)</f>
        <v>0</v>
      </c>
      <c r="L229" s="10">
        <f>IFERROR(_xlfn.XLOOKUP(VLOOKUP(tblEnlaces[[#This Row],[Canal]],tblCanales[#All],5,FALSE),tblPesosValorOperativo[Valor],tblPesosValorOperativo[Opacidad],0),0)</f>
        <v>0</v>
      </c>
      <c r="M229" s="14">
        <f>IFERROR(_xlfn.XLOOKUP(VLOOKUP(tblEnlaces[[#This Row],[Canal]],tblCanales[#All],6,FALSE),tblPesosValorOperativo[Valor],tblPesosValorOperativo[Trazabilidad],0),0)</f>
        <v>0</v>
      </c>
      <c r="N229" s="14">
        <f>IFERROR(_xlfn.XLOOKUP(VLOOKUP(tblEnlaces[[#This Row],[Canal]],tblCanales[#All],7,FALSE),tblPesosValorOperativo[Valor],tblPesosValorOperativo[Velocidad],0),0)</f>
        <v>0</v>
      </c>
      <c r="O229" s="14">
        <f>IFERROR(_xlfn.XLOOKUP(VLOOKUP(tblEnlaces[[#This Row],[Canal]],tblCanales[#All],8,FALSE),tblPesosValorOperativo[Valor],tblPesosValorOperativo[Escalabilidad],0),0)</f>
        <v>0</v>
      </c>
      <c r="P229" s="53">
        <f>tblEnlaces[[#This Row],[Opacidad]]+tblEnlaces[[#This Row],[Escalabilidad]]+tblEnlaces[[#This Row],[Velocidad]]+tblEnlaces[[#This Row],[Trazabilidad]]</f>
        <v>0</v>
      </c>
    </row>
    <row r="230" spans="2:16" ht="16.5" customHeight="1" x14ac:dyDescent="0.25">
      <c r="B230" s="66" t="str">
        <f t="array" ref="B23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30" s="10" t="e">
        <f>VLOOKUP(tblEnlaces[[#This Row],[Nodo Inicial]],tblNodos[],2,FALSE)</f>
        <v>#N/A</v>
      </c>
      <c r="E230" s="39"/>
      <c r="F230" s="10" t="e">
        <f>VLOOKUP(tblEnlaces[[#This Row],[Nodo Final]],tblNodos[],2,FALSE)</f>
        <v>#N/A</v>
      </c>
      <c r="G230" s="39"/>
      <c r="I230" s="53">
        <f>IFERROR(_xlfn.XLOOKUP(VLOOKUP(tblEnlaces[[#This Row],[Canal]],tblCanales[#All],2,FALSE),tblPesosValorOperativo[Valor],tblPesosValorOperativo[Frecuencia de Uso],0),0)</f>
        <v>0</v>
      </c>
      <c r="J23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30" s="64">
        <f>IFERROR(_xlfn.XLOOKUP(VLOOKUP(tblEnlaces[[#This Row],[Canal]],tblCanales[#All],3,FALSE),tblPesosCoste[Valor],tblPesosCoste[Peso],0),0)</f>
        <v>0</v>
      </c>
      <c r="L230" s="10">
        <f>IFERROR(_xlfn.XLOOKUP(VLOOKUP(tblEnlaces[[#This Row],[Canal]],tblCanales[#All],5,FALSE),tblPesosValorOperativo[Valor],tblPesosValorOperativo[Opacidad],0),0)</f>
        <v>0</v>
      </c>
      <c r="M230" s="14">
        <f>IFERROR(_xlfn.XLOOKUP(VLOOKUP(tblEnlaces[[#This Row],[Canal]],tblCanales[#All],6,FALSE),tblPesosValorOperativo[Valor],tblPesosValorOperativo[Trazabilidad],0),0)</f>
        <v>0</v>
      </c>
      <c r="N230" s="14">
        <f>IFERROR(_xlfn.XLOOKUP(VLOOKUP(tblEnlaces[[#This Row],[Canal]],tblCanales[#All],7,FALSE),tblPesosValorOperativo[Valor],tblPesosValorOperativo[Velocidad],0),0)</f>
        <v>0</v>
      </c>
      <c r="O230" s="14">
        <f>IFERROR(_xlfn.XLOOKUP(VLOOKUP(tblEnlaces[[#This Row],[Canal]],tblCanales[#All],8,FALSE),tblPesosValorOperativo[Valor],tblPesosValorOperativo[Escalabilidad],0),0)</f>
        <v>0</v>
      </c>
      <c r="P230" s="53">
        <f>tblEnlaces[[#This Row],[Opacidad]]+tblEnlaces[[#This Row],[Escalabilidad]]+tblEnlaces[[#This Row],[Velocidad]]+tblEnlaces[[#This Row],[Trazabilidad]]</f>
        <v>0</v>
      </c>
    </row>
    <row r="231" spans="2:16" ht="16.5" customHeight="1" x14ac:dyDescent="0.25">
      <c r="B231" s="66" t="str">
        <f t="array" ref="B23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31" s="10" t="e">
        <f>VLOOKUP(tblEnlaces[[#This Row],[Nodo Inicial]],tblNodos[],2,FALSE)</f>
        <v>#N/A</v>
      </c>
      <c r="E231" s="39"/>
      <c r="F231" s="10" t="e">
        <f>VLOOKUP(tblEnlaces[[#This Row],[Nodo Final]],tblNodos[],2,FALSE)</f>
        <v>#N/A</v>
      </c>
      <c r="G231" s="39"/>
      <c r="I231" s="53">
        <f>IFERROR(_xlfn.XLOOKUP(VLOOKUP(tblEnlaces[[#This Row],[Canal]],tblCanales[#All],2,FALSE),tblPesosValorOperativo[Valor],tblPesosValorOperativo[Frecuencia de Uso],0),0)</f>
        <v>0</v>
      </c>
      <c r="J23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31" s="64">
        <f>IFERROR(_xlfn.XLOOKUP(VLOOKUP(tblEnlaces[[#This Row],[Canal]],tblCanales[#All],3,FALSE),tblPesosCoste[Valor],tblPesosCoste[Peso],0),0)</f>
        <v>0</v>
      </c>
      <c r="L231" s="10">
        <f>IFERROR(_xlfn.XLOOKUP(VLOOKUP(tblEnlaces[[#This Row],[Canal]],tblCanales[#All],5,FALSE),tblPesosValorOperativo[Valor],tblPesosValorOperativo[Opacidad],0),0)</f>
        <v>0</v>
      </c>
      <c r="M231" s="14">
        <f>IFERROR(_xlfn.XLOOKUP(VLOOKUP(tblEnlaces[[#This Row],[Canal]],tblCanales[#All],6,FALSE),tblPesosValorOperativo[Valor],tblPesosValorOperativo[Trazabilidad],0),0)</f>
        <v>0</v>
      </c>
      <c r="N231" s="14">
        <f>IFERROR(_xlfn.XLOOKUP(VLOOKUP(tblEnlaces[[#This Row],[Canal]],tblCanales[#All],7,FALSE),tblPesosValorOperativo[Valor],tblPesosValorOperativo[Velocidad],0),0)</f>
        <v>0</v>
      </c>
      <c r="O231" s="14">
        <f>IFERROR(_xlfn.XLOOKUP(VLOOKUP(tblEnlaces[[#This Row],[Canal]],tblCanales[#All],8,FALSE),tblPesosValorOperativo[Valor],tblPesosValorOperativo[Escalabilidad],0),0)</f>
        <v>0</v>
      </c>
      <c r="P231" s="53">
        <f>tblEnlaces[[#This Row],[Opacidad]]+tblEnlaces[[#This Row],[Escalabilidad]]+tblEnlaces[[#This Row],[Velocidad]]+tblEnlaces[[#This Row],[Trazabilidad]]</f>
        <v>0</v>
      </c>
    </row>
    <row r="232" spans="2:16" ht="16.5" customHeight="1" x14ac:dyDescent="0.25">
      <c r="B232" s="66" t="str">
        <f t="array" ref="B23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32" s="10" t="e">
        <f>VLOOKUP(tblEnlaces[[#This Row],[Nodo Inicial]],tblNodos[],2,FALSE)</f>
        <v>#N/A</v>
      </c>
      <c r="E232" s="39"/>
      <c r="F232" s="10" t="e">
        <f>VLOOKUP(tblEnlaces[[#This Row],[Nodo Final]],tblNodos[],2,FALSE)</f>
        <v>#N/A</v>
      </c>
      <c r="G232" s="39"/>
      <c r="I232" s="53">
        <f>IFERROR(_xlfn.XLOOKUP(VLOOKUP(tblEnlaces[[#This Row],[Canal]],tblCanales[#All],2,FALSE),tblPesosValorOperativo[Valor],tblPesosValorOperativo[Frecuencia de Uso],0),0)</f>
        <v>0</v>
      </c>
      <c r="J23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32" s="64">
        <f>IFERROR(_xlfn.XLOOKUP(VLOOKUP(tblEnlaces[[#This Row],[Canal]],tblCanales[#All],3,FALSE),tblPesosCoste[Valor],tblPesosCoste[Peso],0),0)</f>
        <v>0</v>
      </c>
      <c r="L232" s="10">
        <f>IFERROR(_xlfn.XLOOKUP(VLOOKUP(tblEnlaces[[#This Row],[Canal]],tblCanales[#All],5,FALSE),tblPesosValorOperativo[Valor],tblPesosValorOperativo[Opacidad],0),0)</f>
        <v>0</v>
      </c>
      <c r="M232" s="14">
        <f>IFERROR(_xlfn.XLOOKUP(VLOOKUP(tblEnlaces[[#This Row],[Canal]],tblCanales[#All],6,FALSE),tblPesosValorOperativo[Valor],tblPesosValorOperativo[Trazabilidad],0),0)</f>
        <v>0</v>
      </c>
      <c r="N232" s="14">
        <f>IFERROR(_xlfn.XLOOKUP(VLOOKUP(tblEnlaces[[#This Row],[Canal]],tblCanales[#All],7,FALSE),tblPesosValorOperativo[Valor],tblPesosValorOperativo[Velocidad],0),0)</f>
        <v>0</v>
      </c>
      <c r="O232" s="14">
        <f>IFERROR(_xlfn.XLOOKUP(VLOOKUP(tblEnlaces[[#This Row],[Canal]],tblCanales[#All],8,FALSE),tblPesosValorOperativo[Valor],tblPesosValorOperativo[Escalabilidad],0),0)</f>
        <v>0</v>
      </c>
      <c r="P232" s="53">
        <f>tblEnlaces[[#This Row],[Opacidad]]+tblEnlaces[[#This Row],[Escalabilidad]]+tblEnlaces[[#This Row],[Velocidad]]+tblEnlaces[[#This Row],[Trazabilidad]]</f>
        <v>0</v>
      </c>
    </row>
    <row r="233" spans="2:16" ht="16.5" customHeight="1" x14ac:dyDescent="0.25">
      <c r="B233" s="66" t="str">
        <f t="array" ref="B23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33" s="10" t="e">
        <f>VLOOKUP(tblEnlaces[[#This Row],[Nodo Inicial]],tblNodos[],2,FALSE)</f>
        <v>#N/A</v>
      </c>
      <c r="E233" s="39"/>
      <c r="F233" s="10" t="e">
        <f>VLOOKUP(tblEnlaces[[#This Row],[Nodo Final]],tblNodos[],2,FALSE)</f>
        <v>#N/A</v>
      </c>
      <c r="G233" s="39"/>
      <c r="I233" s="53">
        <f>IFERROR(_xlfn.XLOOKUP(VLOOKUP(tblEnlaces[[#This Row],[Canal]],tblCanales[#All],2,FALSE),tblPesosValorOperativo[Valor],tblPesosValorOperativo[Frecuencia de Uso],0),0)</f>
        <v>0</v>
      </c>
      <c r="J23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33" s="64">
        <f>IFERROR(_xlfn.XLOOKUP(VLOOKUP(tblEnlaces[[#This Row],[Canal]],tblCanales[#All],3,FALSE),tblPesosCoste[Valor],tblPesosCoste[Peso],0),0)</f>
        <v>0</v>
      </c>
      <c r="L233" s="10">
        <f>IFERROR(_xlfn.XLOOKUP(VLOOKUP(tblEnlaces[[#This Row],[Canal]],tblCanales[#All],5,FALSE),tblPesosValorOperativo[Valor],tblPesosValorOperativo[Opacidad],0),0)</f>
        <v>0</v>
      </c>
      <c r="M233" s="14">
        <f>IFERROR(_xlfn.XLOOKUP(VLOOKUP(tblEnlaces[[#This Row],[Canal]],tblCanales[#All],6,FALSE),tblPesosValorOperativo[Valor],tblPesosValorOperativo[Trazabilidad],0),0)</f>
        <v>0</v>
      </c>
      <c r="N233" s="14">
        <f>IFERROR(_xlfn.XLOOKUP(VLOOKUP(tblEnlaces[[#This Row],[Canal]],tblCanales[#All],7,FALSE),tblPesosValorOperativo[Valor],tblPesosValorOperativo[Velocidad],0),0)</f>
        <v>0</v>
      </c>
      <c r="O233" s="14">
        <f>IFERROR(_xlfn.XLOOKUP(VLOOKUP(tblEnlaces[[#This Row],[Canal]],tblCanales[#All],8,FALSE),tblPesosValorOperativo[Valor],tblPesosValorOperativo[Escalabilidad],0),0)</f>
        <v>0</v>
      </c>
      <c r="P233" s="53">
        <f>tblEnlaces[[#This Row],[Opacidad]]+tblEnlaces[[#This Row],[Escalabilidad]]+tblEnlaces[[#This Row],[Velocidad]]+tblEnlaces[[#This Row],[Trazabilidad]]</f>
        <v>0</v>
      </c>
    </row>
    <row r="234" spans="2:16" ht="16.5" customHeight="1" x14ac:dyDescent="0.25">
      <c r="B234" s="66" t="str">
        <f t="array" ref="B23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34" s="10" t="e">
        <f>VLOOKUP(tblEnlaces[[#This Row],[Nodo Inicial]],tblNodos[],2,FALSE)</f>
        <v>#N/A</v>
      </c>
      <c r="E234" s="39"/>
      <c r="F234" s="10" t="e">
        <f>VLOOKUP(tblEnlaces[[#This Row],[Nodo Final]],tblNodos[],2,FALSE)</f>
        <v>#N/A</v>
      </c>
      <c r="G234" s="39"/>
      <c r="I234" s="53">
        <f>IFERROR(_xlfn.XLOOKUP(VLOOKUP(tblEnlaces[[#This Row],[Canal]],tblCanales[#All],2,FALSE),tblPesosValorOperativo[Valor],tblPesosValorOperativo[Frecuencia de Uso],0),0)</f>
        <v>0</v>
      </c>
      <c r="J23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34" s="64">
        <f>IFERROR(_xlfn.XLOOKUP(VLOOKUP(tblEnlaces[[#This Row],[Canal]],tblCanales[#All],3,FALSE),tblPesosCoste[Valor],tblPesosCoste[Peso],0),0)</f>
        <v>0</v>
      </c>
      <c r="L234" s="10">
        <f>IFERROR(_xlfn.XLOOKUP(VLOOKUP(tblEnlaces[[#This Row],[Canal]],tblCanales[#All],5,FALSE),tblPesosValorOperativo[Valor],tblPesosValorOperativo[Opacidad],0),0)</f>
        <v>0</v>
      </c>
      <c r="M234" s="14">
        <f>IFERROR(_xlfn.XLOOKUP(VLOOKUP(tblEnlaces[[#This Row],[Canal]],tblCanales[#All],6,FALSE),tblPesosValorOperativo[Valor],tblPesosValorOperativo[Trazabilidad],0),0)</f>
        <v>0</v>
      </c>
      <c r="N234" s="14">
        <f>IFERROR(_xlfn.XLOOKUP(VLOOKUP(tblEnlaces[[#This Row],[Canal]],tblCanales[#All],7,FALSE),tblPesosValorOperativo[Valor],tblPesosValorOperativo[Velocidad],0),0)</f>
        <v>0</v>
      </c>
      <c r="O234" s="14">
        <f>IFERROR(_xlfn.XLOOKUP(VLOOKUP(tblEnlaces[[#This Row],[Canal]],tblCanales[#All],8,FALSE),tblPesosValorOperativo[Valor],tblPesosValorOperativo[Escalabilidad],0),0)</f>
        <v>0</v>
      </c>
      <c r="P234" s="53">
        <f>tblEnlaces[[#This Row],[Opacidad]]+tblEnlaces[[#This Row],[Escalabilidad]]+tblEnlaces[[#This Row],[Velocidad]]+tblEnlaces[[#This Row],[Trazabilidad]]</f>
        <v>0</v>
      </c>
    </row>
    <row r="235" spans="2:16" ht="16.5" customHeight="1" x14ac:dyDescent="0.25">
      <c r="B235" s="66" t="str">
        <f t="array" ref="B23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35" s="10" t="e">
        <f>VLOOKUP(tblEnlaces[[#This Row],[Nodo Inicial]],tblNodos[],2,FALSE)</f>
        <v>#N/A</v>
      </c>
      <c r="E235" s="39"/>
      <c r="F235" s="10" t="e">
        <f>VLOOKUP(tblEnlaces[[#This Row],[Nodo Final]],tblNodos[],2,FALSE)</f>
        <v>#N/A</v>
      </c>
      <c r="G235" s="39"/>
      <c r="I235" s="53">
        <f>IFERROR(_xlfn.XLOOKUP(VLOOKUP(tblEnlaces[[#This Row],[Canal]],tblCanales[#All],2,FALSE),tblPesosValorOperativo[Valor],tblPesosValorOperativo[Frecuencia de Uso],0),0)</f>
        <v>0</v>
      </c>
      <c r="J23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35" s="64">
        <f>IFERROR(_xlfn.XLOOKUP(VLOOKUP(tblEnlaces[[#This Row],[Canal]],tblCanales[#All],3,FALSE),tblPesosCoste[Valor],tblPesosCoste[Peso],0),0)</f>
        <v>0</v>
      </c>
      <c r="L235" s="10">
        <f>IFERROR(_xlfn.XLOOKUP(VLOOKUP(tblEnlaces[[#This Row],[Canal]],tblCanales[#All],5,FALSE),tblPesosValorOperativo[Valor],tblPesosValorOperativo[Opacidad],0),0)</f>
        <v>0</v>
      </c>
      <c r="M235" s="14">
        <f>IFERROR(_xlfn.XLOOKUP(VLOOKUP(tblEnlaces[[#This Row],[Canal]],tblCanales[#All],6,FALSE),tblPesosValorOperativo[Valor],tblPesosValorOperativo[Trazabilidad],0),0)</f>
        <v>0</v>
      </c>
      <c r="N235" s="14">
        <f>IFERROR(_xlfn.XLOOKUP(VLOOKUP(tblEnlaces[[#This Row],[Canal]],tblCanales[#All],7,FALSE),tblPesosValorOperativo[Valor],tblPesosValorOperativo[Velocidad],0),0)</f>
        <v>0</v>
      </c>
      <c r="O235" s="14">
        <f>IFERROR(_xlfn.XLOOKUP(VLOOKUP(tblEnlaces[[#This Row],[Canal]],tblCanales[#All],8,FALSE),tblPesosValorOperativo[Valor],tblPesosValorOperativo[Escalabilidad],0),0)</f>
        <v>0</v>
      </c>
      <c r="P235" s="53">
        <f>tblEnlaces[[#This Row],[Opacidad]]+tblEnlaces[[#This Row],[Escalabilidad]]+tblEnlaces[[#This Row],[Velocidad]]+tblEnlaces[[#This Row],[Trazabilidad]]</f>
        <v>0</v>
      </c>
    </row>
    <row r="236" spans="2:16" ht="16.5" customHeight="1" x14ac:dyDescent="0.25">
      <c r="B236" s="66" t="str">
        <f t="array" ref="B23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36" s="10" t="e">
        <f>VLOOKUP(tblEnlaces[[#This Row],[Nodo Inicial]],tblNodos[],2,FALSE)</f>
        <v>#N/A</v>
      </c>
      <c r="E236" s="39"/>
      <c r="F236" s="10" t="e">
        <f>VLOOKUP(tblEnlaces[[#This Row],[Nodo Final]],tblNodos[],2,FALSE)</f>
        <v>#N/A</v>
      </c>
      <c r="G236" s="39"/>
      <c r="I236" s="53">
        <f>IFERROR(_xlfn.XLOOKUP(VLOOKUP(tblEnlaces[[#This Row],[Canal]],tblCanales[#All],2,FALSE),tblPesosValorOperativo[Valor],tblPesosValorOperativo[Frecuencia de Uso],0),0)</f>
        <v>0</v>
      </c>
      <c r="J23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36" s="64">
        <f>IFERROR(_xlfn.XLOOKUP(VLOOKUP(tblEnlaces[[#This Row],[Canal]],tblCanales[#All],3,FALSE),tblPesosCoste[Valor],tblPesosCoste[Peso],0),0)</f>
        <v>0</v>
      </c>
      <c r="L236" s="10">
        <f>IFERROR(_xlfn.XLOOKUP(VLOOKUP(tblEnlaces[[#This Row],[Canal]],tblCanales[#All],5,FALSE),tblPesosValorOperativo[Valor],tblPesosValorOperativo[Opacidad],0),0)</f>
        <v>0</v>
      </c>
      <c r="M236" s="14">
        <f>IFERROR(_xlfn.XLOOKUP(VLOOKUP(tblEnlaces[[#This Row],[Canal]],tblCanales[#All],6,FALSE),tblPesosValorOperativo[Valor],tblPesosValorOperativo[Trazabilidad],0),0)</f>
        <v>0</v>
      </c>
      <c r="N236" s="14">
        <f>IFERROR(_xlfn.XLOOKUP(VLOOKUP(tblEnlaces[[#This Row],[Canal]],tblCanales[#All],7,FALSE),tblPesosValorOperativo[Valor],tblPesosValorOperativo[Velocidad],0),0)</f>
        <v>0</v>
      </c>
      <c r="O236" s="14">
        <f>IFERROR(_xlfn.XLOOKUP(VLOOKUP(tblEnlaces[[#This Row],[Canal]],tblCanales[#All],8,FALSE),tblPesosValorOperativo[Valor],tblPesosValorOperativo[Escalabilidad],0),0)</f>
        <v>0</v>
      </c>
      <c r="P236" s="53">
        <f>tblEnlaces[[#This Row],[Opacidad]]+tblEnlaces[[#This Row],[Escalabilidad]]+tblEnlaces[[#This Row],[Velocidad]]+tblEnlaces[[#This Row],[Trazabilidad]]</f>
        <v>0</v>
      </c>
    </row>
    <row r="237" spans="2:16" ht="16.5" customHeight="1" x14ac:dyDescent="0.25">
      <c r="B237" s="66" t="str">
        <f t="array" ref="B23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37" s="10" t="e">
        <f>VLOOKUP(tblEnlaces[[#This Row],[Nodo Inicial]],tblNodos[],2,FALSE)</f>
        <v>#N/A</v>
      </c>
      <c r="E237" s="39"/>
      <c r="F237" s="10" t="e">
        <f>VLOOKUP(tblEnlaces[[#This Row],[Nodo Final]],tblNodos[],2,FALSE)</f>
        <v>#N/A</v>
      </c>
      <c r="G237" s="39"/>
      <c r="I237" s="53">
        <f>IFERROR(_xlfn.XLOOKUP(VLOOKUP(tblEnlaces[[#This Row],[Canal]],tblCanales[#All],2,FALSE),tblPesosValorOperativo[Valor],tblPesosValorOperativo[Frecuencia de Uso],0),0)</f>
        <v>0</v>
      </c>
      <c r="J23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37" s="64">
        <f>IFERROR(_xlfn.XLOOKUP(VLOOKUP(tblEnlaces[[#This Row],[Canal]],tblCanales[#All],3,FALSE),tblPesosCoste[Valor],tblPesosCoste[Peso],0),0)</f>
        <v>0</v>
      </c>
      <c r="L237" s="10">
        <f>IFERROR(_xlfn.XLOOKUP(VLOOKUP(tblEnlaces[[#This Row],[Canal]],tblCanales[#All],5,FALSE),tblPesosValorOperativo[Valor],tblPesosValorOperativo[Opacidad],0),0)</f>
        <v>0</v>
      </c>
      <c r="M237" s="14">
        <f>IFERROR(_xlfn.XLOOKUP(VLOOKUP(tblEnlaces[[#This Row],[Canal]],tblCanales[#All],6,FALSE),tblPesosValorOperativo[Valor],tblPesosValorOperativo[Trazabilidad],0),0)</f>
        <v>0</v>
      </c>
      <c r="N237" s="14">
        <f>IFERROR(_xlfn.XLOOKUP(VLOOKUP(tblEnlaces[[#This Row],[Canal]],tblCanales[#All],7,FALSE),tblPesosValorOperativo[Valor],tblPesosValorOperativo[Velocidad],0),0)</f>
        <v>0</v>
      </c>
      <c r="O237" s="14">
        <f>IFERROR(_xlfn.XLOOKUP(VLOOKUP(tblEnlaces[[#This Row],[Canal]],tblCanales[#All],8,FALSE),tblPesosValorOperativo[Valor],tblPesosValorOperativo[Escalabilidad],0),0)</f>
        <v>0</v>
      </c>
      <c r="P237" s="53">
        <f>tblEnlaces[[#This Row],[Opacidad]]+tblEnlaces[[#This Row],[Escalabilidad]]+tblEnlaces[[#This Row],[Velocidad]]+tblEnlaces[[#This Row],[Trazabilidad]]</f>
        <v>0</v>
      </c>
    </row>
    <row r="238" spans="2:16" ht="16.5" customHeight="1" x14ac:dyDescent="0.25">
      <c r="B238" s="66" t="str">
        <f t="array" ref="B23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38" s="10" t="e">
        <f>VLOOKUP(tblEnlaces[[#This Row],[Nodo Inicial]],tblNodos[],2,FALSE)</f>
        <v>#N/A</v>
      </c>
      <c r="E238" s="39"/>
      <c r="F238" s="10" t="e">
        <f>VLOOKUP(tblEnlaces[[#This Row],[Nodo Final]],tblNodos[],2,FALSE)</f>
        <v>#N/A</v>
      </c>
      <c r="G238" s="39"/>
      <c r="I238" s="53">
        <f>IFERROR(_xlfn.XLOOKUP(VLOOKUP(tblEnlaces[[#This Row],[Canal]],tblCanales[#All],2,FALSE),tblPesosValorOperativo[Valor],tblPesosValorOperativo[Frecuencia de Uso],0),0)</f>
        <v>0</v>
      </c>
      <c r="J23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38" s="64">
        <f>IFERROR(_xlfn.XLOOKUP(VLOOKUP(tblEnlaces[[#This Row],[Canal]],tblCanales[#All],3,FALSE),tblPesosCoste[Valor],tblPesosCoste[Peso],0),0)</f>
        <v>0</v>
      </c>
      <c r="L238" s="10">
        <f>IFERROR(_xlfn.XLOOKUP(VLOOKUP(tblEnlaces[[#This Row],[Canal]],tblCanales[#All],5,FALSE),tblPesosValorOperativo[Valor],tblPesosValorOperativo[Opacidad],0),0)</f>
        <v>0</v>
      </c>
      <c r="M238" s="14">
        <f>IFERROR(_xlfn.XLOOKUP(VLOOKUP(tblEnlaces[[#This Row],[Canal]],tblCanales[#All],6,FALSE),tblPesosValorOperativo[Valor],tblPesosValorOperativo[Trazabilidad],0),0)</f>
        <v>0</v>
      </c>
      <c r="N238" s="14">
        <f>IFERROR(_xlfn.XLOOKUP(VLOOKUP(tblEnlaces[[#This Row],[Canal]],tblCanales[#All],7,FALSE),tblPesosValorOperativo[Valor],tblPesosValorOperativo[Velocidad],0),0)</f>
        <v>0</v>
      </c>
      <c r="O238" s="14">
        <f>IFERROR(_xlfn.XLOOKUP(VLOOKUP(tblEnlaces[[#This Row],[Canal]],tblCanales[#All],8,FALSE),tblPesosValorOperativo[Valor],tblPesosValorOperativo[Escalabilidad],0),0)</f>
        <v>0</v>
      </c>
      <c r="P238" s="53">
        <f>tblEnlaces[[#This Row],[Opacidad]]+tblEnlaces[[#This Row],[Escalabilidad]]+tblEnlaces[[#This Row],[Velocidad]]+tblEnlaces[[#This Row],[Trazabilidad]]</f>
        <v>0</v>
      </c>
    </row>
    <row r="239" spans="2:16" ht="16.5" customHeight="1" x14ac:dyDescent="0.25">
      <c r="B239" s="66" t="str">
        <f t="array" ref="B23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39" s="10" t="e">
        <f>VLOOKUP(tblEnlaces[[#This Row],[Nodo Inicial]],tblNodos[],2,FALSE)</f>
        <v>#N/A</v>
      </c>
      <c r="E239" s="39"/>
      <c r="F239" s="10" t="e">
        <f>VLOOKUP(tblEnlaces[[#This Row],[Nodo Final]],tblNodos[],2,FALSE)</f>
        <v>#N/A</v>
      </c>
      <c r="G239" s="39"/>
      <c r="I239" s="53">
        <f>IFERROR(_xlfn.XLOOKUP(VLOOKUP(tblEnlaces[[#This Row],[Canal]],tblCanales[#All],2,FALSE),tblPesosValorOperativo[Valor],tblPesosValorOperativo[Frecuencia de Uso],0),0)</f>
        <v>0</v>
      </c>
      <c r="J23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39" s="64">
        <f>IFERROR(_xlfn.XLOOKUP(VLOOKUP(tblEnlaces[[#This Row],[Canal]],tblCanales[#All],3,FALSE),tblPesosCoste[Valor],tblPesosCoste[Peso],0),0)</f>
        <v>0</v>
      </c>
      <c r="L239" s="10">
        <f>IFERROR(_xlfn.XLOOKUP(VLOOKUP(tblEnlaces[[#This Row],[Canal]],tblCanales[#All],5,FALSE),tblPesosValorOperativo[Valor],tblPesosValorOperativo[Opacidad],0),0)</f>
        <v>0</v>
      </c>
      <c r="M239" s="14">
        <f>IFERROR(_xlfn.XLOOKUP(VLOOKUP(tblEnlaces[[#This Row],[Canal]],tblCanales[#All],6,FALSE),tblPesosValorOperativo[Valor],tblPesosValorOperativo[Trazabilidad],0),0)</f>
        <v>0</v>
      </c>
      <c r="N239" s="14">
        <f>IFERROR(_xlfn.XLOOKUP(VLOOKUP(tblEnlaces[[#This Row],[Canal]],tblCanales[#All],7,FALSE),tblPesosValorOperativo[Valor],tblPesosValorOperativo[Velocidad],0),0)</f>
        <v>0</v>
      </c>
      <c r="O239" s="14">
        <f>IFERROR(_xlfn.XLOOKUP(VLOOKUP(tblEnlaces[[#This Row],[Canal]],tblCanales[#All],8,FALSE),tblPesosValorOperativo[Valor],tblPesosValorOperativo[Escalabilidad],0),0)</f>
        <v>0</v>
      </c>
      <c r="P239" s="53">
        <f>tblEnlaces[[#This Row],[Opacidad]]+tblEnlaces[[#This Row],[Escalabilidad]]+tblEnlaces[[#This Row],[Velocidad]]+tblEnlaces[[#This Row],[Trazabilidad]]</f>
        <v>0</v>
      </c>
    </row>
    <row r="240" spans="2:16" ht="16.5" customHeight="1" x14ac:dyDescent="0.25">
      <c r="B240" s="66" t="str">
        <f t="array" ref="B24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40" s="10" t="e">
        <f>VLOOKUP(tblEnlaces[[#This Row],[Nodo Inicial]],tblNodos[],2,FALSE)</f>
        <v>#N/A</v>
      </c>
      <c r="E240" s="39"/>
      <c r="F240" s="10" t="e">
        <f>VLOOKUP(tblEnlaces[[#This Row],[Nodo Final]],tblNodos[],2,FALSE)</f>
        <v>#N/A</v>
      </c>
      <c r="G240" s="39"/>
      <c r="I240" s="53">
        <f>IFERROR(_xlfn.XLOOKUP(VLOOKUP(tblEnlaces[[#This Row],[Canal]],tblCanales[#All],2,FALSE),tblPesosValorOperativo[Valor],tblPesosValorOperativo[Frecuencia de Uso],0),0)</f>
        <v>0</v>
      </c>
      <c r="J24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40" s="64">
        <f>IFERROR(_xlfn.XLOOKUP(VLOOKUP(tblEnlaces[[#This Row],[Canal]],tblCanales[#All],3,FALSE),tblPesosCoste[Valor],tblPesosCoste[Peso],0),0)</f>
        <v>0</v>
      </c>
      <c r="L240" s="10">
        <f>IFERROR(_xlfn.XLOOKUP(VLOOKUP(tblEnlaces[[#This Row],[Canal]],tblCanales[#All],5,FALSE),tblPesosValorOperativo[Valor],tblPesosValorOperativo[Opacidad],0),0)</f>
        <v>0</v>
      </c>
      <c r="M240" s="14">
        <f>IFERROR(_xlfn.XLOOKUP(VLOOKUP(tblEnlaces[[#This Row],[Canal]],tblCanales[#All],6,FALSE),tblPesosValorOperativo[Valor],tblPesosValorOperativo[Trazabilidad],0),0)</f>
        <v>0</v>
      </c>
      <c r="N240" s="14">
        <f>IFERROR(_xlfn.XLOOKUP(VLOOKUP(tblEnlaces[[#This Row],[Canal]],tblCanales[#All],7,FALSE),tblPesosValorOperativo[Valor],tblPesosValorOperativo[Velocidad],0),0)</f>
        <v>0</v>
      </c>
      <c r="O240" s="14">
        <f>IFERROR(_xlfn.XLOOKUP(VLOOKUP(tblEnlaces[[#This Row],[Canal]],tblCanales[#All],8,FALSE),tblPesosValorOperativo[Valor],tblPesosValorOperativo[Escalabilidad],0),0)</f>
        <v>0</v>
      </c>
      <c r="P240" s="53">
        <f>tblEnlaces[[#This Row],[Opacidad]]+tblEnlaces[[#This Row],[Escalabilidad]]+tblEnlaces[[#This Row],[Velocidad]]+tblEnlaces[[#This Row],[Trazabilidad]]</f>
        <v>0</v>
      </c>
    </row>
    <row r="241" spans="2:16" ht="16.5" customHeight="1" x14ac:dyDescent="0.25">
      <c r="B241" s="66" t="str">
        <f t="array" ref="B24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41" s="10" t="e">
        <f>VLOOKUP(tblEnlaces[[#This Row],[Nodo Inicial]],tblNodos[],2,FALSE)</f>
        <v>#N/A</v>
      </c>
      <c r="E241" s="39"/>
      <c r="F241" s="10" t="e">
        <f>VLOOKUP(tblEnlaces[[#This Row],[Nodo Final]],tblNodos[],2,FALSE)</f>
        <v>#N/A</v>
      </c>
      <c r="G241" s="39"/>
      <c r="I241" s="53">
        <f>IFERROR(_xlfn.XLOOKUP(VLOOKUP(tblEnlaces[[#This Row],[Canal]],tblCanales[#All],2,FALSE),tblPesosValorOperativo[Valor],tblPesosValorOperativo[Frecuencia de Uso],0),0)</f>
        <v>0</v>
      </c>
      <c r="J24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41" s="64">
        <f>IFERROR(_xlfn.XLOOKUP(VLOOKUP(tblEnlaces[[#This Row],[Canal]],tblCanales[#All],3,FALSE),tblPesosCoste[Valor],tblPesosCoste[Peso],0),0)</f>
        <v>0</v>
      </c>
      <c r="L241" s="10">
        <f>IFERROR(_xlfn.XLOOKUP(VLOOKUP(tblEnlaces[[#This Row],[Canal]],tblCanales[#All],5,FALSE),tblPesosValorOperativo[Valor],tblPesosValorOperativo[Opacidad],0),0)</f>
        <v>0</v>
      </c>
      <c r="M241" s="14">
        <f>IFERROR(_xlfn.XLOOKUP(VLOOKUP(tblEnlaces[[#This Row],[Canal]],tblCanales[#All],6,FALSE),tblPesosValorOperativo[Valor],tblPesosValorOperativo[Trazabilidad],0),0)</f>
        <v>0</v>
      </c>
      <c r="N241" s="14">
        <f>IFERROR(_xlfn.XLOOKUP(VLOOKUP(tblEnlaces[[#This Row],[Canal]],tblCanales[#All],7,FALSE),tblPesosValorOperativo[Valor],tblPesosValorOperativo[Velocidad],0),0)</f>
        <v>0</v>
      </c>
      <c r="O241" s="14">
        <f>IFERROR(_xlfn.XLOOKUP(VLOOKUP(tblEnlaces[[#This Row],[Canal]],tblCanales[#All],8,FALSE),tblPesosValorOperativo[Valor],tblPesosValorOperativo[Escalabilidad],0),0)</f>
        <v>0</v>
      </c>
      <c r="P241" s="53">
        <f>tblEnlaces[[#This Row],[Opacidad]]+tblEnlaces[[#This Row],[Escalabilidad]]+tblEnlaces[[#This Row],[Velocidad]]+tblEnlaces[[#This Row],[Trazabilidad]]</f>
        <v>0</v>
      </c>
    </row>
    <row r="242" spans="2:16" ht="16.5" customHeight="1" x14ac:dyDescent="0.25">
      <c r="B242" s="66" t="str">
        <f t="array" ref="B24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42" s="10" t="e">
        <f>VLOOKUP(tblEnlaces[[#This Row],[Nodo Inicial]],tblNodos[],2,FALSE)</f>
        <v>#N/A</v>
      </c>
      <c r="E242" s="39"/>
      <c r="F242" s="10" t="e">
        <f>VLOOKUP(tblEnlaces[[#This Row],[Nodo Final]],tblNodos[],2,FALSE)</f>
        <v>#N/A</v>
      </c>
      <c r="G242" s="39"/>
      <c r="I242" s="53">
        <f>IFERROR(_xlfn.XLOOKUP(VLOOKUP(tblEnlaces[[#This Row],[Canal]],tblCanales[#All],2,FALSE),tblPesosValorOperativo[Valor],tblPesosValorOperativo[Frecuencia de Uso],0),0)</f>
        <v>0</v>
      </c>
      <c r="J24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42" s="64">
        <f>IFERROR(_xlfn.XLOOKUP(VLOOKUP(tblEnlaces[[#This Row],[Canal]],tblCanales[#All],3,FALSE),tblPesosCoste[Valor],tblPesosCoste[Peso],0),0)</f>
        <v>0</v>
      </c>
      <c r="L242" s="10">
        <f>IFERROR(_xlfn.XLOOKUP(VLOOKUP(tblEnlaces[[#This Row],[Canal]],tblCanales[#All],5,FALSE),tblPesosValorOperativo[Valor],tblPesosValorOperativo[Opacidad],0),0)</f>
        <v>0</v>
      </c>
      <c r="M242" s="14">
        <f>IFERROR(_xlfn.XLOOKUP(VLOOKUP(tblEnlaces[[#This Row],[Canal]],tblCanales[#All],6,FALSE),tblPesosValorOperativo[Valor],tblPesosValorOperativo[Trazabilidad],0),0)</f>
        <v>0</v>
      </c>
      <c r="N242" s="14">
        <f>IFERROR(_xlfn.XLOOKUP(VLOOKUP(tblEnlaces[[#This Row],[Canal]],tblCanales[#All],7,FALSE),tblPesosValorOperativo[Valor],tblPesosValorOperativo[Velocidad],0),0)</f>
        <v>0</v>
      </c>
      <c r="O242" s="14">
        <f>IFERROR(_xlfn.XLOOKUP(VLOOKUP(tblEnlaces[[#This Row],[Canal]],tblCanales[#All],8,FALSE),tblPesosValorOperativo[Valor],tblPesosValorOperativo[Escalabilidad],0),0)</f>
        <v>0</v>
      </c>
      <c r="P242" s="53">
        <f>tblEnlaces[[#This Row],[Opacidad]]+tblEnlaces[[#This Row],[Escalabilidad]]+tblEnlaces[[#This Row],[Velocidad]]+tblEnlaces[[#This Row],[Trazabilidad]]</f>
        <v>0</v>
      </c>
    </row>
    <row r="243" spans="2:16" ht="16.5" customHeight="1" x14ac:dyDescent="0.25">
      <c r="B243" s="66" t="str">
        <f t="array" ref="B24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43" s="10" t="e">
        <f>VLOOKUP(tblEnlaces[[#This Row],[Nodo Inicial]],tblNodos[],2,FALSE)</f>
        <v>#N/A</v>
      </c>
      <c r="E243" s="39"/>
      <c r="F243" s="10" t="e">
        <f>VLOOKUP(tblEnlaces[[#This Row],[Nodo Final]],tblNodos[],2,FALSE)</f>
        <v>#N/A</v>
      </c>
      <c r="G243" s="39"/>
      <c r="I243" s="53">
        <f>IFERROR(_xlfn.XLOOKUP(VLOOKUP(tblEnlaces[[#This Row],[Canal]],tblCanales[#All],2,FALSE),tblPesosValorOperativo[Valor],tblPesosValorOperativo[Frecuencia de Uso],0),0)</f>
        <v>0</v>
      </c>
      <c r="J24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43" s="64">
        <f>IFERROR(_xlfn.XLOOKUP(VLOOKUP(tblEnlaces[[#This Row],[Canal]],tblCanales[#All],3,FALSE),tblPesosCoste[Valor],tblPesosCoste[Peso],0),0)</f>
        <v>0</v>
      </c>
      <c r="L243" s="10">
        <f>IFERROR(_xlfn.XLOOKUP(VLOOKUP(tblEnlaces[[#This Row],[Canal]],tblCanales[#All],5,FALSE),tblPesosValorOperativo[Valor],tblPesosValorOperativo[Opacidad],0),0)</f>
        <v>0</v>
      </c>
      <c r="M243" s="14">
        <f>IFERROR(_xlfn.XLOOKUP(VLOOKUP(tblEnlaces[[#This Row],[Canal]],tblCanales[#All],6,FALSE),tblPesosValorOperativo[Valor],tblPesosValorOperativo[Trazabilidad],0),0)</f>
        <v>0</v>
      </c>
      <c r="N243" s="14">
        <f>IFERROR(_xlfn.XLOOKUP(VLOOKUP(tblEnlaces[[#This Row],[Canal]],tblCanales[#All],7,FALSE),tblPesosValorOperativo[Valor],tblPesosValorOperativo[Velocidad],0),0)</f>
        <v>0</v>
      </c>
      <c r="O243" s="14">
        <f>IFERROR(_xlfn.XLOOKUP(VLOOKUP(tblEnlaces[[#This Row],[Canal]],tblCanales[#All],8,FALSE),tblPesosValorOperativo[Valor],tblPesosValorOperativo[Escalabilidad],0),0)</f>
        <v>0</v>
      </c>
      <c r="P243" s="53">
        <f>tblEnlaces[[#This Row],[Opacidad]]+tblEnlaces[[#This Row],[Escalabilidad]]+tblEnlaces[[#This Row],[Velocidad]]+tblEnlaces[[#This Row],[Trazabilidad]]</f>
        <v>0</v>
      </c>
    </row>
    <row r="244" spans="2:16" ht="16.5" customHeight="1" x14ac:dyDescent="0.25">
      <c r="B244" s="66" t="str">
        <f t="array" ref="B24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44" s="10" t="e">
        <f>VLOOKUP(tblEnlaces[[#This Row],[Nodo Inicial]],tblNodos[],2,FALSE)</f>
        <v>#N/A</v>
      </c>
      <c r="E244" s="39"/>
      <c r="F244" s="10" t="e">
        <f>VLOOKUP(tblEnlaces[[#This Row],[Nodo Final]],tblNodos[],2,FALSE)</f>
        <v>#N/A</v>
      </c>
      <c r="G244" s="39"/>
      <c r="I244" s="53">
        <f>IFERROR(_xlfn.XLOOKUP(VLOOKUP(tblEnlaces[[#This Row],[Canal]],tblCanales[#All],2,FALSE),tblPesosValorOperativo[Valor],tblPesosValorOperativo[Frecuencia de Uso],0),0)</f>
        <v>0</v>
      </c>
      <c r="J24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44" s="64">
        <f>IFERROR(_xlfn.XLOOKUP(VLOOKUP(tblEnlaces[[#This Row],[Canal]],tblCanales[#All],3,FALSE),tblPesosCoste[Valor],tblPesosCoste[Peso],0),0)</f>
        <v>0</v>
      </c>
      <c r="L244" s="10">
        <f>IFERROR(_xlfn.XLOOKUP(VLOOKUP(tblEnlaces[[#This Row],[Canal]],tblCanales[#All],5,FALSE),tblPesosValorOperativo[Valor],tblPesosValorOperativo[Opacidad],0),0)</f>
        <v>0</v>
      </c>
      <c r="M244" s="14">
        <f>IFERROR(_xlfn.XLOOKUP(VLOOKUP(tblEnlaces[[#This Row],[Canal]],tblCanales[#All],6,FALSE),tblPesosValorOperativo[Valor],tblPesosValorOperativo[Trazabilidad],0),0)</f>
        <v>0</v>
      </c>
      <c r="N244" s="14">
        <f>IFERROR(_xlfn.XLOOKUP(VLOOKUP(tblEnlaces[[#This Row],[Canal]],tblCanales[#All],7,FALSE),tblPesosValorOperativo[Valor],tblPesosValorOperativo[Velocidad],0),0)</f>
        <v>0</v>
      </c>
      <c r="O244" s="14">
        <f>IFERROR(_xlfn.XLOOKUP(VLOOKUP(tblEnlaces[[#This Row],[Canal]],tblCanales[#All],8,FALSE),tblPesosValorOperativo[Valor],tblPesosValorOperativo[Escalabilidad],0),0)</f>
        <v>0</v>
      </c>
      <c r="P244" s="53">
        <f>tblEnlaces[[#This Row],[Opacidad]]+tblEnlaces[[#This Row],[Escalabilidad]]+tblEnlaces[[#This Row],[Velocidad]]+tblEnlaces[[#This Row],[Trazabilidad]]</f>
        <v>0</v>
      </c>
    </row>
    <row r="245" spans="2:16" ht="16.5" customHeight="1" x14ac:dyDescent="0.25">
      <c r="B245" s="66" t="str">
        <f t="array" ref="B24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45" s="10" t="e">
        <f>VLOOKUP(tblEnlaces[[#This Row],[Nodo Inicial]],tblNodos[],2,FALSE)</f>
        <v>#N/A</v>
      </c>
      <c r="E245" s="39"/>
      <c r="F245" s="10" t="e">
        <f>VLOOKUP(tblEnlaces[[#This Row],[Nodo Final]],tblNodos[],2,FALSE)</f>
        <v>#N/A</v>
      </c>
      <c r="G245" s="39"/>
      <c r="I245" s="53">
        <f>IFERROR(_xlfn.XLOOKUP(VLOOKUP(tblEnlaces[[#This Row],[Canal]],tblCanales[#All],2,FALSE),tblPesosValorOperativo[Valor],tblPesosValorOperativo[Frecuencia de Uso],0),0)</f>
        <v>0</v>
      </c>
      <c r="J24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45" s="64">
        <f>IFERROR(_xlfn.XLOOKUP(VLOOKUP(tblEnlaces[[#This Row],[Canal]],tblCanales[#All],3,FALSE),tblPesosCoste[Valor],tblPesosCoste[Peso],0),0)</f>
        <v>0</v>
      </c>
      <c r="L245" s="10">
        <f>IFERROR(_xlfn.XLOOKUP(VLOOKUP(tblEnlaces[[#This Row],[Canal]],tblCanales[#All],5,FALSE),tblPesosValorOperativo[Valor],tblPesosValorOperativo[Opacidad],0),0)</f>
        <v>0</v>
      </c>
      <c r="M245" s="14">
        <f>IFERROR(_xlfn.XLOOKUP(VLOOKUP(tblEnlaces[[#This Row],[Canal]],tblCanales[#All],6,FALSE),tblPesosValorOperativo[Valor],tblPesosValorOperativo[Trazabilidad],0),0)</f>
        <v>0</v>
      </c>
      <c r="N245" s="14">
        <f>IFERROR(_xlfn.XLOOKUP(VLOOKUP(tblEnlaces[[#This Row],[Canal]],tblCanales[#All],7,FALSE),tblPesosValorOperativo[Valor],tblPesosValorOperativo[Velocidad],0),0)</f>
        <v>0</v>
      </c>
      <c r="O245" s="14">
        <f>IFERROR(_xlfn.XLOOKUP(VLOOKUP(tblEnlaces[[#This Row],[Canal]],tblCanales[#All],8,FALSE),tblPesosValorOperativo[Valor],tblPesosValorOperativo[Escalabilidad],0),0)</f>
        <v>0</v>
      </c>
      <c r="P245" s="53">
        <f>tblEnlaces[[#This Row],[Opacidad]]+tblEnlaces[[#This Row],[Escalabilidad]]+tblEnlaces[[#This Row],[Velocidad]]+tblEnlaces[[#This Row],[Trazabilidad]]</f>
        <v>0</v>
      </c>
    </row>
    <row r="246" spans="2:16" ht="16.5" customHeight="1" x14ac:dyDescent="0.25">
      <c r="B246" s="66" t="str">
        <f t="array" ref="B24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46" s="10" t="e">
        <f>VLOOKUP(tblEnlaces[[#This Row],[Nodo Inicial]],tblNodos[],2,FALSE)</f>
        <v>#N/A</v>
      </c>
      <c r="E246" s="39"/>
      <c r="F246" s="10" t="e">
        <f>VLOOKUP(tblEnlaces[[#This Row],[Nodo Final]],tblNodos[],2,FALSE)</f>
        <v>#N/A</v>
      </c>
      <c r="G246" s="39"/>
      <c r="I246" s="53">
        <f>IFERROR(_xlfn.XLOOKUP(VLOOKUP(tblEnlaces[[#This Row],[Canal]],tblCanales[#All],2,FALSE),tblPesosValorOperativo[Valor],tblPesosValorOperativo[Frecuencia de Uso],0),0)</f>
        <v>0</v>
      </c>
      <c r="J24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46" s="64">
        <f>IFERROR(_xlfn.XLOOKUP(VLOOKUP(tblEnlaces[[#This Row],[Canal]],tblCanales[#All],3,FALSE),tblPesosCoste[Valor],tblPesosCoste[Peso],0),0)</f>
        <v>0</v>
      </c>
      <c r="L246" s="10">
        <f>IFERROR(_xlfn.XLOOKUP(VLOOKUP(tblEnlaces[[#This Row],[Canal]],tblCanales[#All],5,FALSE),tblPesosValorOperativo[Valor],tblPesosValorOperativo[Opacidad],0),0)</f>
        <v>0</v>
      </c>
      <c r="M246" s="14">
        <f>IFERROR(_xlfn.XLOOKUP(VLOOKUP(tblEnlaces[[#This Row],[Canal]],tblCanales[#All],6,FALSE),tblPesosValorOperativo[Valor],tblPesosValorOperativo[Trazabilidad],0),0)</f>
        <v>0</v>
      </c>
      <c r="N246" s="14">
        <f>IFERROR(_xlfn.XLOOKUP(VLOOKUP(tblEnlaces[[#This Row],[Canal]],tblCanales[#All],7,FALSE),tblPesosValorOperativo[Valor],tblPesosValorOperativo[Velocidad],0),0)</f>
        <v>0</v>
      </c>
      <c r="O246" s="14">
        <f>IFERROR(_xlfn.XLOOKUP(VLOOKUP(tblEnlaces[[#This Row],[Canal]],tblCanales[#All],8,FALSE),tblPesosValorOperativo[Valor],tblPesosValorOperativo[Escalabilidad],0),0)</f>
        <v>0</v>
      </c>
      <c r="P246" s="53">
        <f>tblEnlaces[[#This Row],[Opacidad]]+tblEnlaces[[#This Row],[Escalabilidad]]+tblEnlaces[[#This Row],[Velocidad]]+tblEnlaces[[#This Row],[Trazabilidad]]</f>
        <v>0</v>
      </c>
    </row>
    <row r="247" spans="2:16" ht="16.5" customHeight="1" x14ac:dyDescent="0.25">
      <c r="B247" s="66" t="str">
        <f t="array" ref="B24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47" s="10" t="e">
        <f>VLOOKUP(tblEnlaces[[#This Row],[Nodo Inicial]],tblNodos[],2,FALSE)</f>
        <v>#N/A</v>
      </c>
      <c r="E247" s="39"/>
      <c r="F247" s="10" t="e">
        <f>VLOOKUP(tblEnlaces[[#This Row],[Nodo Final]],tblNodos[],2,FALSE)</f>
        <v>#N/A</v>
      </c>
      <c r="G247" s="39"/>
      <c r="I247" s="53">
        <f>IFERROR(_xlfn.XLOOKUP(VLOOKUP(tblEnlaces[[#This Row],[Canal]],tblCanales[#All],2,FALSE),tblPesosValorOperativo[Valor],tblPesosValorOperativo[Frecuencia de Uso],0),0)</f>
        <v>0</v>
      </c>
      <c r="J24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47" s="64">
        <f>IFERROR(_xlfn.XLOOKUP(VLOOKUP(tblEnlaces[[#This Row],[Canal]],tblCanales[#All],3,FALSE),tblPesosCoste[Valor],tblPesosCoste[Peso],0),0)</f>
        <v>0</v>
      </c>
      <c r="L247" s="10">
        <f>IFERROR(_xlfn.XLOOKUP(VLOOKUP(tblEnlaces[[#This Row],[Canal]],tblCanales[#All],5,FALSE),tblPesosValorOperativo[Valor],tblPesosValorOperativo[Opacidad],0),0)</f>
        <v>0</v>
      </c>
      <c r="M247" s="14">
        <f>IFERROR(_xlfn.XLOOKUP(VLOOKUP(tblEnlaces[[#This Row],[Canal]],tblCanales[#All],6,FALSE),tblPesosValorOperativo[Valor],tblPesosValorOperativo[Trazabilidad],0),0)</f>
        <v>0</v>
      </c>
      <c r="N247" s="14">
        <f>IFERROR(_xlfn.XLOOKUP(VLOOKUP(tblEnlaces[[#This Row],[Canal]],tblCanales[#All],7,FALSE),tblPesosValorOperativo[Valor],tblPesosValorOperativo[Velocidad],0),0)</f>
        <v>0</v>
      </c>
      <c r="O247" s="14">
        <f>IFERROR(_xlfn.XLOOKUP(VLOOKUP(tblEnlaces[[#This Row],[Canal]],tblCanales[#All],8,FALSE),tblPesosValorOperativo[Valor],tblPesosValorOperativo[Escalabilidad],0),0)</f>
        <v>0</v>
      </c>
      <c r="P247" s="53">
        <f>tblEnlaces[[#This Row],[Opacidad]]+tblEnlaces[[#This Row],[Escalabilidad]]+tblEnlaces[[#This Row],[Velocidad]]+tblEnlaces[[#This Row],[Trazabilidad]]</f>
        <v>0</v>
      </c>
    </row>
    <row r="248" spans="2:16" ht="16.5" customHeight="1" x14ac:dyDescent="0.25">
      <c r="B248" s="66" t="str">
        <f t="array" ref="B24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48" s="10" t="e">
        <f>VLOOKUP(tblEnlaces[[#This Row],[Nodo Inicial]],tblNodos[],2,FALSE)</f>
        <v>#N/A</v>
      </c>
      <c r="E248" s="39"/>
      <c r="F248" s="10" t="e">
        <f>VLOOKUP(tblEnlaces[[#This Row],[Nodo Final]],tblNodos[],2,FALSE)</f>
        <v>#N/A</v>
      </c>
      <c r="G248" s="39"/>
      <c r="I248" s="53">
        <f>IFERROR(_xlfn.XLOOKUP(VLOOKUP(tblEnlaces[[#This Row],[Canal]],tblCanales[#All],2,FALSE),tblPesosValorOperativo[Valor],tblPesosValorOperativo[Frecuencia de Uso],0),0)</f>
        <v>0</v>
      </c>
      <c r="J24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48" s="64">
        <f>IFERROR(_xlfn.XLOOKUP(VLOOKUP(tblEnlaces[[#This Row],[Canal]],tblCanales[#All],3,FALSE),tblPesosCoste[Valor],tblPesosCoste[Peso],0),0)</f>
        <v>0</v>
      </c>
      <c r="L248" s="10">
        <f>IFERROR(_xlfn.XLOOKUP(VLOOKUP(tblEnlaces[[#This Row],[Canal]],tblCanales[#All],5,FALSE),tblPesosValorOperativo[Valor],tblPesosValorOperativo[Opacidad],0),0)</f>
        <v>0</v>
      </c>
      <c r="M248" s="14">
        <f>IFERROR(_xlfn.XLOOKUP(VLOOKUP(tblEnlaces[[#This Row],[Canal]],tblCanales[#All],6,FALSE),tblPesosValorOperativo[Valor],tblPesosValorOperativo[Trazabilidad],0),0)</f>
        <v>0</v>
      </c>
      <c r="N248" s="14">
        <f>IFERROR(_xlfn.XLOOKUP(VLOOKUP(tblEnlaces[[#This Row],[Canal]],tblCanales[#All],7,FALSE),tblPesosValorOperativo[Valor],tblPesosValorOperativo[Velocidad],0),0)</f>
        <v>0</v>
      </c>
      <c r="O248" s="14">
        <f>IFERROR(_xlfn.XLOOKUP(VLOOKUP(tblEnlaces[[#This Row],[Canal]],tblCanales[#All],8,FALSE),tblPesosValorOperativo[Valor],tblPesosValorOperativo[Escalabilidad],0),0)</f>
        <v>0</v>
      </c>
      <c r="P248" s="53">
        <f>tblEnlaces[[#This Row],[Opacidad]]+tblEnlaces[[#This Row],[Escalabilidad]]+tblEnlaces[[#This Row],[Velocidad]]+tblEnlaces[[#This Row],[Trazabilidad]]</f>
        <v>0</v>
      </c>
    </row>
    <row r="249" spans="2:16" ht="16.5" customHeight="1" x14ac:dyDescent="0.25">
      <c r="B249" s="66" t="str">
        <f t="array" ref="B24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49" s="10" t="e">
        <f>VLOOKUP(tblEnlaces[[#This Row],[Nodo Inicial]],tblNodos[],2,FALSE)</f>
        <v>#N/A</v>
      </c>
      <c r="E249" s="39"/>
      <c r="F249" s="10" t="e">
        <f>VLOOKUP(tblEnlaces[[#This Row],[Nodo Final]],tblNodos[],2,FALSE)</f>
        <v>#N/A</v>
      </c>
      <c r="G249" s="39"/>
      <c r="I249" s="53">
        <f>IFERROR(_xlfn.XLOOKUP(VLOOKUP(tblEnlaces[[#This Row],[Canal]],tblCanales[#All],2,FALSE),tblPesosValorOperativo[Valor],tblPesosValorOperativo[Frecuencia de Uso],0),0)</f>
        <v>0</v>
      </c>
      <c r="J24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49" s="64">
        <f>IFERROR(_xlfn.XLOOKUP(VLOOKUP(tblEnlaces[[#This Row],[Canal]],tblCanales[#All],3,FALSE),tblPesosCoste[Valor],tblPesosCoste[Peso],0),0)</f>
        <v>0</v>
      </c>
      <c r="L249" s="10">
        <f>IFERROR(_xlfn.XLOOKUP(VLOOKUP(tblEnlaces[[#This Row],[Canal]],tblCanales[#All],5,FALSE),tblPesosValorOperativo[Valor],tblPesosValorOperativo[Opacidad],0),0)</f>
        <v>0</v>
      </c>
      <c r="M249" s="14">
        <f>IFERROR(_xlfn.XLOOKUP(VLOOKUP(tblEnlaces[[#This Row],[Canal]],tblCanales[#All],6,FALSE),tblPesosValorOperativo[Valor],tblPesosValorOperativo[Trazabilidad],0),0)</f>
        <v>0</v>
      </c>
      <c r="N249" s="14">
        <f>IFERROR(_xlfn.XLOOKUP(VLOOKUP(tblEnlaces[[#This Row],[Canal]],tblCanales[#All],7,FALSE),tblPesosValorOperativo[Valor],tblPesosValorOperativo[Velocidad],0),0)</f>
        <v>0</v>
      </c>
      <c r="O249" s="14">
        <f>IFERROR(_xlfn.XLOOKUP(VLOOKUP(tblEnlaces[[#This Row],[Canal]],tblCanales[#All],8,FALSE),tblPesosValorOperativo[Valor],tblPesosValorOperativo[Escalabilidad],0),0)</f>
        <v>0</v>
      </c>
      <c r="P249" s="53">
        <f>tblEnlaces[[#This Row],[Opacidad]]+tblEnlaces[[#This Row],[Escalabilidad]]+tblEnlaces[[#This Row],[Velocidad]]+tblEnlaces[[#This Row],[Trazabilidad]]</f>
        <v>0</v>
      </c>
    </row>
    <row r="250" spans="2:16" ht="16.5" customHeight="1" x14ac:dyDescent="0.25">
      <c r="B250" s="66" t="str">
        <f t="array" ref="B25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50" s="10" t="e">
        <f>VLOOKUP(tblEnlaces[[#This Row],[Nodo Inicial]],tblNodos[],2,FALSE)</f>
        <v>#N/A</v>
      </c>
      <c r="E250" s="39"/>
      <c r="F250" s="10" t="e">
        <f>VLOOKUP(tblEnlaces[[#This Row],[Nodo Final]],tblNodos[],2,FALSE)</f>
        <v>#N/A</v>
      </c>
      <c r="G250" s="39"/>
      <c r="I250" s="53">
        <f>IFERROR(_xlfn.XLOOKUP(VLOOKUP(tblEnlaces[[#This Row],[Canal]],tblCanales[#All],2,FALSE),tblPesosValorOperativo[Valor],tblPesosValorOperativo[Frecuencia de Uso],0),0)</f>
        <v>0</v>
      </c>
      <c r="J25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50" s="64">
        <f>IFERROR(_xlfn.XLOOKUP(VLOOKUP(tblEnlaces[[#This Row],[Canal]],tblCanales[#All],3,FALSE),tblPesosCoste[Valor],tblPesosCoste[Peso],0),0)</f>
        <v>0</v>
      </c>
      <c r="L250" s="10">
        <f>IFERROR(_xlfn.XLOOKUP(VLOOKUP(tblEnlaces[[#This Row],[Canal]],tblCanales[#All],5,FALSE),tblPesosValorOperativo[Valor],tblPesosValorOperativo[Opacidad],0),0)</f>
        <v>0</v>
      </c>
      <c r="M250" s="14">
        <f>IFERROR(_xlfn.XLOOKUP(VLOOKUP(tblEnlaces[[#This Row],[Canal]],tblCanales[#All],6,FALSE),tblPesosValorOperativo[Valor],tblPesosValorOperativo[Trazabilidad],0),0)</f>
        <v>0</v>
      </c>
      <c r="N250" s="14">
        <f>IFERROR(_xlfn.XLOOKUP(VLOOKUP(tblEnlaces[[#This Row],[Canal]],tblCanales[#All],7,FALSE),tblPesosValorOperativo[Valor],tblPesosValorOperativo[Velocidad],0),0)</f>
        <v>0</v>
      </c>
      <c r="O250" s="14">
        <f>IFERROR(_xlfn.XLOOKUP(VLOOKUP(tblEnlaces[[#This Row],[Canal]],tblCanales[#All],8,FALSE),tblPesosValorOperativo[Valor],tblPesosValorOperativo[Escalabilidad],0),0)</f>
        <v>0</v>
      </c>
      <c r="P250" s="53">
        <f>tblEnlaces[[#This Row],[Opacidad]]+tblEnlaces[[#This Row],[Escalabilidad]]+tblEnlaces[[#This Row],[Velocidad]]+tblEnlaces[[#This Row],[Trazabilidad]]</f>
        <v>0</v>
      </c>
    </row>
    <row r="251" spans="2:16" ht="16.5" customHeight="1" x14ac:dyDescent="0.25">
      <c r="B251" s="66" t="str">
        <f t="array" ref="B25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51" s="10" t="e">
        <f>VLOOKUP(tblEnlaces[[#This Row],[Nodo Inicial]],tblNodos[],2,FALSE)</f>
        <v>#N/A</v>
      </c>
      <c r="E251" s="39"/>
      <c r="F251" s="10" t="e">
        <f>VLOOKUP(tblEnlaces[[#This Row],[Nodo Final]],tblNodos[],2,FALSE)</f>
        <v>#N/A</v>
      </c>
      <c r="G251" s="39"/>
      <c r="I251" s="53">
        <f>IFERROR(_xlfn.XLOOKUP(VLOOKUP(tblEnlaces[[#This Row],[Canal]],tblCanales[#All],2,FALSE),tblPesosValorOperativo[Valor],tblPesosValorOperativo[Frecuencia de Uso],0),0)</f>
        <v>0</v>
      </c>
      <c r="J25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51" s="64">
        <f>IFERROR(_xlfn.XLOOKUP(VLOOKUP(tblEnlaces[[#This Row],[Canal]],tblCanales[#All],3,FALSE),tblPesosCoste[Valor],tblPesosCoste[Peso],0),0)</f>
        <v>0</v>
      </c>
      <c r="L251" s="10">
        <f>IFERROR(_xlfn.XLOOKUP(VLOOKUP(tblEnlaces[[#This Row],[Canal]],tblCanales[#All],5,FALSE),tblPesosValorOperativo[Valor],tblPesosValorOperativo[Opacidad],0),0)</f>
        <v>0</v>
      </c>
      <c r="M251" s="14">
        <f>IFERROR(_xlfn.XLOOKUP(VLOOKUP(tblEnlaces[[#This Row],[Canal]],tblCanales[#All],6,FALSE),tblPesosValorOperativo[Valor],tblPesosValorOperativo[Trazabilidad],0),0)</f>
        <v>0</v>
      </c>
      <c r="N251" s="14">
        <f>IFERROR(_xlfn.XLOOKUP(VLOOKUP(tblEnlaces[[#This Row],[Canal]],tblCanales[#All],7,FALSE),tblPesosValorOperativo[Valor],tblPesosValorOperativo[Velocidad],0),0)</f>
        <v>0</v>
      </c>
      <c r="O251" s="14">
        <f>IFERROR(_xlfn.XLOOKUP(VLOOKUP(tblEnlaces[[#This Row],[Canal]],tblCanales[#All],8,FALSE),tblPesosValorOperativo[Valor],tblPesosValorOperativo[Escalabilidad],0),0)</f>
        <v>0</v>
      </c>
      <c r="P251" s="53">
        <f>tblEnlaces[[#This Row],[Opacidad]]+tblEnlaces[[#This Row],[Escalabilidad]]+tblEnlaces[[#This Row],[Velocidad]]+tblEnlaces[[#This Row],[Trazabilidad]]</f>
        <v>0</v>
      </c>
    </row>
    <row r="252" spans="2:16" ht="16.5" customHeight="1" x14ac:dyDescent="0.25">
      <c r="B252" s="66" t="str">
        <f t="array" ref="B25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52" s="10" t="e">
        <f>VLOOKUP(tblEnlaces[[#This Row],[Nodo Inicial]],tblNodos[],2,FALSE)</f>
        <v>#N/A</v>
      </c>
      <c r="E252" s="39"/>
      <c r="F252" s="10" t="e">
        <f>VLOOKUP(tblEnlaces[[#This Row],[Nodo Final]],tblNodos[],2,FALSE)</f>
        <v>#N/A</v>
      </c>
      <c r="G252" s="39"/>
      <c r="I252" s="53">
        <f>IFERROR(_xlfn.XLOOKUP(VLOOKUP(tblEnlaces[[#This Row],[Canal]],tblCanales[#All],2,FALSE),tblPesosValorOperativo[Valor],tblPesosValorOperativo[Frecuencia de Uso],0),0)</f>
        <v>0</v>
      </c>
      <c r="J25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52" s="64">
        <f>IFERROR(_xlfn.XLOOKUP(VLOOKUP(tblEnlaces[[#This Row],[Canal]],tblCanales[#All],3,FALSE),tblPesosCoste[Valor],tblPesosCoste[Peso],0),0)</f>
        <v>0</v>
      </c>
      <c r="L252" s="10">
        <f>IFERROR(_xlfn.XLOOKUP(VLOOKUP(tblEnlaces[[#This Row],[Canal]],tblCanales[#All],5,FALSE),tblPesosValorOperativo[Valor],tblPesosValorOperativo[Opacidad],0),0)</f>
        <v>0</v>
      </c>
      <c r="M252" s="14">
        <f>IFERROR(_xlfn.XLOOKUP(VLOOKUP(tblEnlaces[[#This Row],[Canal]],tblCanales[#All],6,FALSE),tblPesosValorOperativo[Valor],tblPesosValorOperativo[Trazabilidad],0),0)</f>
        <v>0</v>
      </c>
      <c r="N252" s="14">
        <f>IFERROR(_xlfn.XLOOKUP(VLOOKUP(tblEnlaces[[#This Row],[Canal]],tblCanales[#All],7,FALSE),tblPesosValorOperativo[Valor],tblPesosValorOperativo[Velocidad],0),0)</f>
        <v>0</v>
      </c>
      <c r="O252" s="14">
        <f>IFERROR(_xlfn.XLOOKUP(VLOOKUP(tblEnlaces[[#This Row],[Canal]],tblCanales[#All],8,FALSE),tblPesosValorOperativo[Valor],tblPesosValorOperativo[Escalabilidad],0),0)</f>
        <v>0</v>
      </c>
      <c r="P252" s="53">
        <f>tblEnlaces[[#This Row],[Opacidad]]+tblEnlaces[[#This Row],[Escalabilidad]]+tblEnlaces[[#This Row],[Velocidad]]+tblEnlaces[[#This Row],[Trazabilidad]]</f>
        <v>0</v>
      </c>
    </row>
    <row r="253" spans="2:16" ht="16.5" customHeight="1" x14ac:dyDescent="0.25">
      <c r="B253" s="66" t="str">
        <f t="array" ref="B25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53" s="10" t="e">
        <f>VLOOKUP(tblEnlaces[[#This Row],[Nodo Inicial]],tblNodos[],2,FALSE)</f>
        <v>#N/A</v>
      </c>
      <c r="E253" s="39"/>
      <c r="F253" s="10" t="e">
        <f>VLOOKUP(tblEnlaces[[#This Row],[Nodo Final]],tblNodos[],2,FALSE)</f>
        <v>#N/A</v>
      </c>
      <c r="G253" s="39"/>
      <c r="I253" s="53">
        <f>IFERROR(_xlfn.XLOOKUP(VLOOKUP(tblEnlaces[[#This Row],[Canal]],tblCanales[#All],2,FALSE),tblPesosValorOperativo[Valor],tblPesosValorOperativo[Frecuencia de Uso],0),0)</f>
        <v>0</v>
      </c>
      <c r="J25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53" s="64">
        <f>IFERROR(_xlfn.XLOOKUP(VLOOKUP(tblEnlaces[[#This Row],[Canal]],tblCanales[#All],3,FALSE),tblPesosCoste[Valor],tblPesosCoste[Peso],0),0)</f>
        <v>0</v>
      </c>
      <c r="L253" s="10">
        <f>IFERROR(_xlfn.XLOOKUP(VLOOKUP(tblEnlaces[[#This Row],[Canal]],tblCanales[#All],5,FALSE),tblPesosValorOperativo[Valor],tblPesosValorOperativo[Opacidad],0),0)</f>
        <v>0</v>
      </c>
      <c r="M253" s="14">
        <f>IFERROR(_xlfn.XLOOKUP(VLOOKUP(tblEnlaces[[#This Row],[Canal]],tblCanales[#All],6,FALSE),tblPesosValorOperativo[Valor],tblPesosValorOperativo[Trazabilidad],0),0)</f>
        <v>0</v>
      </c>
      <c r="N253" s="14">
        <f>IFERROR(_xlfn.XLOOKUP(VLOOKUP(tblEnlaces[[#This Row],[Canal]],tblCanales[#All],7,FALSE),tblPesosValorOperativo[Valor],tblPesosValorOperativo[Velocidad],0),0)</f>
        <v>0</v>
      </c>
      <c r="O253" s="14">
        <f>IFERROR(_xlfn.XLOOKUP(VLOOKUP(tblEnlaces[[#This Row],[Canal]],tblCanales[#All],8,FALSE),tblPesosValorOperativo[Valor],tblPesosValorOperativo[Escalabilidad],0),0)</f>
        <v>0</v>
      </c>
      <c r="P253" s="53">
        <f>tblEnlaces[[#This Row],[Opacidad]]+tblEnlaces[[#This Row],[Escalabilidad]]+tblEnlaces[[#This Row],[Velocidad]]+tblEnlaces[[#This Row],[Trazabilidad]]</f>
        <v>0</v>
      </c>
    </row>
    <row r="254" spans="2:16" ht="16.5" customHeight="1" x14ac:dyDescent="0.25">
      <c r="B254" s="66" t="str">
        <f t="array" ref="B25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54" s="10" t="e">
        <f>VLOOKUP(tblEnlaces[[#This Row],[Nodo Inicial]],tblNodos[],2,FALSE)</f>
        <v>#N/A</v>
      </c>
      <c r="E254" s="39"/>
      <c r="F254" s="10" t="e">
        <f>VLOOKUP(tblEnlaces[[#This Row],[Nodo Final]],tblNodos[],2,FALSE)</f>
        <v>#N/A</v>
      </c>
      <c r="G254" s="39"/>
      <c r="I254" s="53">
        <f>IFERROR(_xlfn.XLOOKUP(VLOOKUP(tblEnlaces[[#This Row],[Canal]],tblCanales[#All],2,FALSE),tblPesosValorOperativo[Valor],tblPesosValorOperativo[Frecuencia de Uso],0),0)</f>
        <v>0</v>
      </c>
      <c r="J25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54" s="64">
        <f>IFERROR(_xlfn.XLOOKUP(VLOOKUP(tblEnlaces[[#This Row],[Canal]],tblCanales[#All],3,FALSE),tblPesosCoste[Valor],tblPesosCoste[Peso],0),0)</f>
        <v>0</v>
      </c>
      <c r="L254" s="10">
        <f>IFERROR(_xlfn.XLOOKUP(VLOOKUP(tblEnlaces[[#This Row],[Canal]],tblCanales[#All],5,FALSE),tblPesosValorOperativo[Valor],tblPesosValorOperativo[Opacidad],0),0)</f>
        <v>0</v>
      </c>
      <c r="M254" s="14">
        <f>IFERROR(_xlfn.XLOOKUP(VLOOKUP(tblEnlaces[[#This Row],[Canal]],tblCanales[#All],6,FALSE),tblPesosValorOperativo[Valor],tblPesosValorOperativo[Trazabilidad],0),0)</f>
        <v>0</v>
      </c>
      <c r="N254" s="14">
        <f>IFERROR(_xlfn.XLOOKUP(VLOOKUP(tblEnlaces[[#This Row],[Canal]],tblCanales[#All],7,FALSE),tblPesosValorOperativo[Valor],tblPesosValorOperativo[Velocidad],0),0)</f>
        <v>0</v>
      </c>
      <c r="O254" s="14">
        <f>IFERROR(_xlfn.XLOOKUP(VLOOKUP(tblEnlaces[[#This Row],[Canal]],tblCanales[#All],8,FALSE),tblPesosValorOperativo[Valor],tblPesosValorOperativo[Escalabilidad],0),0)</f>
        <v>0</v>
      </c>
      <c r="P254" s="53">
        <f>tblEnlaces[[#This Row],[Opacidad]]+tblEnlaces[[#This Row],[Escalabilidad]]+tblEnlaces[[#This Row],[Velocidad]]+tblEnlaces[[#This Row],[Trazabilidad]]</f>
        <v>0</v>
      </c>
    </row>
    <row r="255" spans="2:16" ht="16.5" customHeight="1" x14ac:dyDescent="0.25">
      <c r="B255" s="66" t="str">
        <f t="array" ref="B25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55" s="10" t="e">
        <f>VLOOKUP(tblEnlaces[[#This Row],[Nodo Inicial]],tblNodos[],2,FALSE)</f>
        <v>#N/A</v>
      </c>
      <c r="E255" s="39"/>
      <c r="F255" s="10" t="e">
        <f>VLOOKUP(tblEnlaces[[#This Row],[Nodo Final]],tblNodos[],2,FALSE)</f>
        <v>#N/A</v>
      </c>
      <c r="G255" s="39"/>
      <c r="I255" s="53">
        <f>IFERROR(_xlfn.XLOOKUP(VLOOKUP(tblEnlaces[[#This Row],[Canal]],tblCanales[#All],2,FALSE),tblPesosValorOperativo[Valor],tblPesosValorOperativo[Frecuencia de Uso],0),0)</f>
        <v>0</v>
      </c>
      <c r="J25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55" s="64">
        <f>IFERROR(_xlfn.XLOOKUP(VLOOKUP(tblEnlaces[[#This Row],[Canal]],tblCanales[#All],3,FALSE),tblPesosCoste[Valor],tblPesosCoste[Peso],0),0)</f>
        <v>0</v>
      </c>
      <c r="L255" s="10">
        <f>IFERROR(_xlfn.XLOOKUP(VLOOKUP(tblEnlaces[[#This Row],[Canal]],tblCanales[#All],5,FALSE),tblPesosValorOperativo[Valor],tblPesosValorOperativo[Opacidad],0),0)</f>
        <v>0</v>
      </c>
      <c r="M255" s="14">
        <f>IFERROR(_xlfn.XLOOKUP(VLOOKUP(tblEnlaces[[#This Row],[Canal]],tblCanales[#All],6,FALSE),tblPesosValorOperativo[Valor],tblPesosValorOperativo[Trazabilidad],0),0)</f>
        <v>0</v>
      </c>
      <c r="N255" s="14">
        <f>IFERROR(_xlfn.XLOOKUP(VLOOKUP(tblEnlaces[[#This Row],[Canal]],tblCanales[#All],7,FALSE),tblPesosValorOperativo[Valor],tblPesosValorOperativo[Velocidad],0),0)</f>
        <v>0</v>
      </c>
      <c r="O255" s="14">
        <f>IFERROR(_xlfn.XLOOKUP(VLOOKUP(tblEnlaces[[#This Row],[Canal]],tblCanales[#All],8,FALSE),tblPesosValorOperativo[Valor],tblPesosValorOperativo[Escalabilidad],0),0)</f>
        <v>0</v>
      </c>
      <c r="P255" s="53">
        <f>tblEnlaces[[#This Row],[Opacidad]]+tblEnlaces[[#This Row],[Escalabilidad]]+tblEnlaces[[#This Row],[Velocidad]]+tblEnlaces[[#This Row],[Trazabilidad]]</f>
        <v>0</v>
      </c>
    </row>
    <row r="256" spans="2:16" ht="16.5" customHeight="1" x14ac:dyDescent="0.25">
      <c r="B256" s="66" t="str">
        <f t="array" ref="B25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56" s="10" t="e">
        <f>VLOOKUP(tblEnlaces[[#This Row],[Nodo Inicial]],tblNodos[],2,FALSE)</f>
        <v>#N/A</v>
      </c>
      <c r="E256" s="39"/>
      <c r="F256" s="10" t="e">
        <f>VLOOKUP(tblEnlaces[[#This Row],[Nodo Final]],tblNodos[],2,FALSE)</f>
        <v>#N/A</v>
      </c>
      <c r="G256" s="39"/>
      <c r="I256" s="53">
        <f>IFERROR(_xlfn.XLOOKUP(VLOOKUP(tblEnlaces[[#This Row],[Canal]],tblCanales[#All],2,FALSE),tblPesosValorOperativo[Valor],tblPesosValorOperativo[Frecuencia de Uso],0),0)</f>
        <v>0</v>
      </c>
      <c r="J25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56" s="64">
        <f>IFERROR(_xlfn.XLOOKUP(VLOOKUP(tblEnlaces[[#This Row],[Canal]],tblCanales[#All],3,FALSE),tblPesosCoste[Valor],tblPesosCoste[Peso],0),0)</f>
        <v>0</v>
      </c>
      <c r="L256" s="10">
        <f>IFERROR(_xlfn.XLOOKUP(VLOOKUP(tblEnlaces[[#This Row],[Canal]],tblCanales[#All],5,FALSE),tblPesosValorOperativo[Valor],tblPesosValorOperativo[Opacidad],0),0)</f>
        <v>0</v>
      </c>
      <c r="M256" s="14">
        <f>IFERROR(_xlfn.XLOOKUP(VLOOKUP(tblEnlaces[[#This Row],[Canal]],tblCanales[#All],6,FALSE),tblPesosValorOperativo[Valor],tblPesosValorOperativo[Trazabilidad],0),0)</f>
        <v>0</v>
      </c>
      <c r="N256" s="14">
        <f>IFERROR(_xlfn.XLOOKUP(VLOOKUP(tblEnlaces[[#This Row],[Canal]],tblCanales[#All],7,FALSE),tblPesosValorOperativo[Valor],tblPesosValorOperativo[Velocidad],0),0)</f>
        <v>0</v>
      </c>
      <c r="O256" s="14">
        <f>IFERROR(_xlfn.XLOOKUP(VLOOKUP(tblEnlaces[[#This Row],[Canal]],tblCanales[#All],8,FALSE),tblPesosValorOperativo[Valor],tblPesosValorOperativo[Escalabilidad],0),0)</f>
        <v>0</v>
      </c>
      <c r="P256" s="53">
        <f>tblEnlaces[[#This Row],[Opacidad]]+tblEnlaces[[#This Row],[Escalabilidad]]+tblEnlaces[[#This Row],[Velocidad]]+tblEnlaces[[#This Row],[Trazabilidad]]</f>
        <v>0</v>
      </c>
    </row>
    <row r="257" spans="2:16" ht="16.5" customHeight="1" x14ac:dyDescent="0.25">
      <c r="B257" s="66" t="str">
        <f t="array" ref="B25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57" s="10" t="e">
        <f>VLOOKUP(tblEnlaces[[#This Row],[Nodo Inicial]],tblNodos[],2,FALSE)</f>
        <v>#N/A</v>
      </c>
      <c r="E257" s="39"/>
      <c r="F257" s="10" t="e">
        <f>VLOOKUP(tblEnlaces[[#This Row],[Nodo Final]],tblNodos[],2,FALSE)</f>
        <v>#N/A</v>
      </c>
      <c r="G257" s="39"/>
      <c r="I257" s="53">
        <f>IFERROR(_xlfn.XLOOKUP(VLOOKUP(tblEnlaces[[#This Row],[Canal]],tblCanales[#All],2,FALSE),tblPesosValorOperativo[Valor],tblPesosValorOperativo[Frecuencia de Uso],0),0)</f>
        <v>0</v>
      </c>
      <c r="J25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57" s="64">
        <f>IFERROR(_xlfn.XLOOKUP(VLOOKUP(tblEnlaces[[#This Row],[Canal]],tblCanales[#All],3,FALSE),tblPesosCoste[Valor],tblPesosCoste[Peso],0),0)</f>
        <v>0</v>
      </c>
      <c r="L257" s="10">
        <f>IFERROR(_xlfn.XLOOKUP(VLOOKUP(tblEnlaces[[#This Row],[Canal]],tblCanales[#All],5,FALSE),tblPesosValorOperativo[Valor],tblPesosValorOperativo[Opacidad],0),0)</f>
        <v>0</v>
      </c>
      <c r="M257" s="14">
        <f>IFERROR(_xlfn.XLOOKUP(VLOOKUP(tblEnlaces[[#This Row],[Canal]],tblCanales[#All],6,FALSE),tblPesosValorOperativo[Valor],tblPesosValorOperativo[Trazabilidad],0),0)</f>
        <v>0</v>
      </c>
      <c r="N257" s="14">
        <f>IFERROR(_xlfn.XLOOKUP(VLOOKUP(tblEnlaces[[#This Row],[Canal]],tblCanales[#All],7,FALSE),tblPesosValorOperativo[Valor],tblPesosValorOperativo[Velocidad],0),0)</f>
        <v>0</v>
      </c>
      <c r="O257" s="14">
        <f>IFERROR(_xlfn.XLOOKUP(VLOOKUP(tblEnlaces[[#This Row],[Canal]],tblCanales[#All],8,FALSE),tblPesosValorOperativo[Valor],tblPesosValorOperativo[Escalabilidad],0),0)</f>
        <v>0</v>
      </c>
      <c r="P257" s="53">
        <f>tblEnlaces[[#This Row],[Opacidad]]+tblEnlaces[[#This Row],[Escalabilidad]]+tblEnlaces[[#This Row],[Velocidad]]+tblEnlaces[[#This Row],[Trazabilidad]]</f>
        <v>0</v>
      </c>
    </row>
    <row r="258" spans="2:16" ht="16.5" customHeight="1" x14ac:dyDescent="0.25">
      <c r="B258" s="66" t="str">
        <f t="array" ref="B25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58" s="10" t="e">
        <f>VLOOKUP(tblEnlaces[[#This Row],[Nodo Inicial]],tblNodos[],2,FALSE)</f>
        <v>#N/A</v>
      </c>
      <c r="E258" s="39"/>
      <c r="F258" s="10" t="e">
        <f>VLOOKUP(tblEnlaces[[#This Row],[Nodo Final]],tblNodos[],2,FALSE)</f>
        <v>#N/A</v>
      </c>
      <c r="G258" s="39"/>
      <c r="I258" s="53">
        <f>IFERROR(_xlfn.XLOOKUP(VLOOKUP(tblEnlaces[[#This Row],[Canal]],tblCanales[#All],2,FALSE),tblPesosValorOperativo[Valor],tblPesosValorOperativo[Frecuencia de Uso],0),0)</f>
        <v>0</v>
      </c>
      <c r="J25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58" s="64">
        <f>IFERROR(_xlfn.XLOOKUP(VLOOKUP(tblEnlaces[[#This Row],[Canal]],tblCanales[#All],3,FALSE),tblPesosCoste[Valor],tblPesosCoste[Peso],0),0)</f>
        <v>0</v>
      </c>
      <c r="L258" s="10">
        <f>IFERROR(_xlfn.XLOOKUP(VLOOKUP(tblEnlaces[[#This Row],[Canal]],tblCanales[#All],5,FALSE),tblPesosValorOperativo[Valor],tblPesosValorOperativo[Opacidad],0),0)</f>
        <v>0</v>
      </c>
      <c r="M258" s="14">
        <f>IFERROR(_xlfn.XLOOKUP(VLOOKUP(tblEnlaces[[#This Row],[Canal]],tblCanales[#All],6,FALSE),tblPesosValorOperativo[Valor],tblPesosValorOperativo[Trazabilidad],0),0)</f>
        <v>0</v>
      </c>
      <c r="N258" s="14">
        <f>IFERROR(_xlfn.XLOOKUP(VLOOKUP(tblEnlaces[[#This Row],[Canal]],tblCanales[#All],7,FALSE),tblPesosValorOperativo[Valor],tblPesosValorOperativo[Velocidad],0),0)</f>
        <v>0</v>
      </c>
      <c r="O258" s="14">
        <f>IFERROR(_xlfn.XLOOKUP(VLOOKUP(tblEnlaces[[#This Row],[Canal]],tblCanales[#All],8,FALSE),tblPesosValorOperativo[Valor],tblPesosValorOperativo[Escalabilidad],0),0)</f>
        <v>0</v>
      </c>
      <c r="P258" s="53">
        <f>tblEnlaces[[#This Row],[Opacidad]]+tblEnlaces[[#This Row],[Escalabilidad]]+tblEnlaces[[#This Row],[Velocidad]]+tblEnlaces[[#This Row],[Trazabilidad]]</f>
        <v>0</v>
      </c>
    </row>
    <row r="259" spans="2:16" ht="16.5" customHeight="1" x14ac:dyDescent="0.25">
      <c r="B259" s="66" t="str">
        <f t="array" ref="B25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59" s="10" t="e">
        <f>VLOOKUP(tblEnlaces[[#This Row],[Nodo Inicial]],tblNodos[],2,FALSE)</f>
        <v>#N/A</v>
      </c>
      <c r="E259" s="39"/>
      <c r="F259" s="10" t="e">
        <f>VLOOKUP(tblEnlaces[[#This Row],[Nodo Final]],tblNodos[],2,FALSE)</f>
        <v>#N/A</v>
      </c>
      <c r="G259" s="39"/>
      <c r="I259" s="53">
        <f>IFERROR(_xlfn.XLOOKUP(VLOOKUP(tblEnlaces[[#This Row],[Canal]],tblCanales[#All],2,FALSE),tblPesosValorOperativo[Valor],tblPesosValorOperativo[Frecuencia de Uso],0),0)</f>
        <v>0</v>
      </c>
      <c r="J25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59" s="64">
        <f>IFERROR(_xlfn.XLOOKUP(VLOOKUP(tblEnlaces[[#This Row],[Canal]],tblCanales[#All],3,FALSE),tblPesosCoste[Valor],tblPesosCoste[Peso],0),0)</f>
        <v>0</v>
      </c>
      <c r="L259" s="10">
        <f>IFERROR(_xlfn.XLOOKUP(VLOOKUP(tblEnlaces[[#This Row],[Canal]],tblCanales[#All],5,FALSE),tblPesosValorOperativo[Valor],tblPesosValorOperativo[Opacidad],0),0)</f>
        <v>0</v>
      </c>
      <c r="M259" s="14">
        <f>IFERROR(_xlfn.XLOOKUP(VLOOKUP(tblEnlaces[[#This Row],[Canal]],tblCanales[#All],6,FALSE),tblPesosValorOperativo[Valor],tblPesosValorOperativo[Trazabilidad],0),0)</f>
        <v>0</v>
      </c>
      <c r="N259" s="14">
        <f>IFERROR(_xlfn.XLOOKUP(VLOOKUP(tblEnlaces[[#This Row],[Canal]],tblCanales[#All],7,FALSE),tblPesosValorOperativo[Valor],tblPesosValorOperativo[Velocidad],0),0)</f>
        <v>0</v>
      </c>
      <c r="O259" s="14">
        <f>IFERROR(_xlfn.XLOOKUP(VLOOKUP(tblEnlaces[[#This Row],[Canal]],tblCanales[#All],8,FALSE),tblPesosValorOperativo[Valor],tblPesosValorOperativo[Escalabilidad],0),0)</f>
        <v>0</v>
      </c>
      <c r="P259" s="53">
        <f>tblEnlaces[[#This Row],[Opacidad]]+tblEnlaces[[#This Row],[Escalabilidad]]+tblEnlaces[[#This Row],[Velocidad]]+tblEnlaces[[#This Row],[Trazabilidad]]</f>
        <v>0</v>
      </c>
    </row>
    <row r="260" spans="2:16" ht="16.5" customHeight="1" x14ac:dyDescent="0.25">
      <c r="B260" s="66" t="str">
        <f t="array" ref="B26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60" s="10" t="e">
        <f>VLOOKUP(tblEnlaces[[#This Row],[Nodo Inicial]],tblNodos[],2,FALSE)</f>
        <v>#N/A</v>
      </c>
      <c r="E260" s="39"/>
      <c r="F260" s="10" t="e">
        <f>VLOOKUP(tblEnlaces[[#This Row],[Nodo Final]],tblNodos[],2,FALSE)</f>
        <v>#N/A</v>
      </c>
      <c r="G260" s="39"/>
      <c r="I260" s="53">
        <f>IFERROR(_xlfn.XLOOKUP(VLOOKUP(tblEnlaces[[#This Row],[Canal]],tblCanales[#All],2,FALSE),tblPesosValorOperativo[Valor],tblPesosValorOperativo[Frecuencia de Uso],0),0)</f>
        <v>0</v>
      </c>
      <c r="J26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60" s="64">
        <f>IFERROR(_xlfn.XLOOKUP(VLOOKUP(tblEnlaces[[#This Row],[Canal]],tblCanales[#All],3,FALSE),tblPesosCoste[Valor],tblPesosCoste[Peso],0),0)</f>
        <v>0</v>
      </c>
      <c r="L260" s="10">
        <f>IFERROR(_xlfn.XLOOKUP(VLOOKUP(tblEnlaces[[#This Row],[Canal]],tblCanales[#All],5,FALSE),tblPesosValorOperativo[Valor],tblPesosValorOperativo[Opacidad],0),0)</f>
        <v>0</v>
      </c>
      <c r="M260" s="14">
        <f>IFERROR(_xlfn.XLOOKUP(VLOOKUP(tblEnlaces[[#This Row],[Canal]],tblCanales[#All],6,FALSE),tblPesosValorOperativo[Valor],tblPesosValorOperativo[Trazabilidad],0),0)</f>
        <v>0</v>
      </c>
      <c r="N260" s="14">
        <f>IFERROR(_xlfn.XLOOKUP(VLOOKUP(tblEnlaces[[#This Row],[Canal]],tblCanales[#All],7,FALSE),tblPesosValorOperativo[Valor],tblPesosValorOperativo[Velocidad],0),0)</f>
        <v>0</v>
      </c>
      <c r="O260" s="14">
        <f>IFERROR(_xlfn.XLOOKUP(VLOOKUP(tblEnlaces[[#This Row],[Canal]],tblCanales[#All],8,FALSE),tblPesosValorOperativo[Valor],tblPesosValorOperativo[Escalabilidad],0),0)</f>
        <v>0</v>
      </c>
      <c r="P260" s="53">
        <f>tblEnlaces[[#This Row],[Opacidad]]+tblEnlaces[[#This Row],[Escalabilidad]]+tblEnlaces[[#This Row],[Velocidad]]+tblEnlaces[[#This Row],[Trazabilidad]]</f>
        <v>0</v>
      </c>
    </row>
    <row r="261" spans="2:16" ht="16.5" customHeight="1" x14ac:dyDescent="0.25">
      <c r="B261" s="66" t="str">
        <f t="array" ref="B26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61" s="10" t="e">
        <f>VLOOKUP(tblEnlaces[[#This Row],[Nodo Inicial]],tblNodos[],2,FALSE)</f>
        <v>#N/A</v>
      </c>
      <c r="E261" s="39"/>
      <c r="F261" s="10" t="e">
        <f>VLOOKUP(tblEnlaces[[#This Row],[Nodo Final]],tblNodos[],2,FALSE)</f>
        <v>#N/A</v>
      </c>
      <c r="G261" s="39"/>
      <c r="I261" s="53">
        <f>IFERROR(_xlfn.XLOOKUP(VLOOKUP(tblEnlaces[[#This Row],[Canal]],tblCanales[#All],2,FALSE),tblPesosValorOperativo[Valor],tblPesosValorOperativo[Frecuencia de Uso],0),0)</f>
        <v>0</v>
      </c>
      <c r="J26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61" s="64">
        <f>IFERROR(_xlfn.XLOOKUP(VLOOKUP(tblEnlaces[[#This Row],[Canal]],tblCanales[#All],3,FALSE),tblPesosCoste[Valor],tblPesosCoste[Peso],0),0)</f>
        <v>0</v>
      </c>
      <c r="L261" s="10">
        <f>IFERROR(_xlfn.XLOOKUP(VLOOKUP(tblEnlaces[[#This Row],[Canal]],tblCanales[#All],5,FALSE),tblPesosValorOperativo[Valor],tblPesosValorOperativo[Opacidad],0),0)</f>
        <v>0</v>
      </c>
      <c r="M261" s="14">
        <f>IFERROR(_xlfn.XLOOKUP(VLOOKUP(tblEnlaces[[#This Row],[Canal]],tblCanales[#All],6,FALSE),tblPesosValorOperativo[Valor],tblPesosValorOperativo[Trazabilidad],0),0)</f>
        <v>0</v>
      </c>
      <c r="N261" s="14">
        <f>IFERROR(_xlfn.XLOOKUP(VLOOKUP(tblEnlaces[[#This Row],[Canal]],tblCanales[#All],7,FALSE),tblPesosValorOperativo[Valor],tblPesosValorOperativo[Velocidad],0),0)</f>
        <v>0</v>
      </c>
      <c r="O261" s="14">
        <f>IFERROR(_xlfn.XLOOKUP(VLOOKUP(tblEnlaces[[#This Row],[Canal]],tblCanales[#All],8,FALSE),tblPesosValorOperativo[Valor],tblPesosValorOperativo[Escalabilidad],0),0)</f>
        <v>0</v>
      </c>
      <c r="P261" s="53">
        <f>tblEnlaces[[#This Row],[Opacidad]]+tblEnlaces[[#This Row],[Escalabilidad]]+tblEnlaces[[#This Row],[Velocidad]]+tblEnlaces[[#This Row],[Trazabilidad]]</f>
        <v>0</v>
      </c>
    </row>
    <row r="262" spans="2:16" ht="16.5" customHeight="1" x14ac:dyDescent="0.25">
      <c r="B262" s="66" t="str">
        <f t="array" ref="B26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62" s="10" t="e">
        <f>VLOOKUP(tblEnlaces[[#This Row],[Nodo Inicial]],tblNodos[],2,FALSE)</f>
        <v>#N/A</v>
      </c>
      <c r="E262" s="39"/>
      <c r="F262" s="10" t="e">
        <f>VLOOKUP(tblEnlaces[[#This Row],[Nodo Final]],tblNodos[],2,FALSE)</f>
        <v>#N/A</v>
      </c>
      <c r="G262" s="39"/>
      <c r="I262" s="53">
        <f>IFERROR(_xlfn.XLOOKUP(VLOOKUP(tblEnlaces[[#This Row],[Canal]],tblCanales[#All],2,FALSE),tblPesosValorOperativo[Valor],tblPesosValorOperativo[Frecuencia de Uso],0),0)</f>
        <v>0</v>
      </c>
      <c r="J26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62" s="64">
        <f>IFERROR(_xlfn.XLOOKUP(VLOOKUP(tblEnlaces[[#This Row],[Canal]],tblCanales[#All],3,FALSE),tblPesosCoste[Valor],tblPesosCoste[Peso],0),0)</f>
        <v>0</v>
      </c>
      <c r="L262" s="10">
        <f>IFERROR(_xlfn.XLOOKUP(VLOOKUP(tblEnlaces[[#This Row],[Canal]],tblCanales[#All],5,FALSE),tblPesosValorOperativo[Valor],tblPesosValorOperativo[Opacidad],0),0)</f>
        <v>0</v>
      </c>
      <c r="M262" s="14">
        <f>IFERROR(_xlfn.XLOOKUP(VLOOKUP(tblEnlaces[[#This Row],[Canal]],tblCanales[#All],6,FALSE),tblPesosValorOperativo[Valor],tblPesosValorOperativo[Trazabilidad],0),0)</f>
        <v>0</v>
      </c>
      <c r="N262" s="14">
        <f>IFERROR(_xlfn.XLOOKUP(VLOOKUP(tblEnlaces[[#This Row],[Canal]],tblCanales[#All],7,FALSE),tblPesosValorOperativo[Valor],tblPesosValorOperativo[Velocidad],0),0)</f>
        <v>0</v>
      </c>
      <c r="O262" s="14">
        <f>IFERROR(_xlfn.XLOOKUP(VLOOKUP(tblEnlaces[[#This Row],[Canal]],tblCanales[#All],8,FALSE),tblPesosValorOperativo[Valor],tblPesosValorOperativo[Escalabilidad],0),0)</f>
        <v>0</v>
      </c>
      <c r="P262" s="53">
        <f>tblEnlaces[[#This Row],[Opacidad]]+tblEnlaces[[#This Row],[Escalabilidad]]+tblEnlaces[[#This Row],[Velocidad]]+tblEnlaces[[#This Row],[Trazabilidad]]</f>
        <v>0</v>
      </c>
    </row>
    <row r="263" spans="2:16" ht="16.5" customHeight="1" x14ac:dyDescent="0.25">
      <c r="B263" s="66" t="str">
        <f t="array" ref="B26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63" s="10" t="e">
        <f>VLOOKUP(tblEnlaces[[#This Row],[Nodo Inicial]],tblNodos[],2,FALSE)</f>
        <v>#N/A</v>
      </c>
      <c r="E263" s="39"/>
      <c r="F263" s="10" t="e">
        <f>VLOOKUP(tblEnlaces[[#This Row],[Nodo Final]],tblNodos[],2,FALSE)</f>
        <v>#N/A</v>
      </c>
      <c r="G263" s="39"/>
      <c r="I263" s="53">
        <f>IFERROR(_xlfn.XLOOKUP(VLOOKUP(tblEnlaces[[#This Row],[Canal]],tblCanales[#All],2,FALSE),tblPesosValorOperativo[Valor],tblPesosValorOperativo[Frecuencia de Uso],0),0)</f>
        <v>0</v>
      </c>
      <c r="J26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63" s="64">
        <f>IFERROR(_xlfn.XLOOKUP(VLOOKUP(tblEnlaces[[#This Row],[Canal]],tblCanales[#All],3,FALSE),tblPesosCoste[Valor],tblPesosCoste[Peso],0),0)</f>
        <v>0</v>
      </c>
      <c r="L263" s="10">
        <f>IFERROR(_xlfn.XLOOKUP(VLOOKUP(tblEnlaces[[#This Row],[Canal]],tblCanales[#All],5,FALSE),tblPesosValorOperativo[Valor],tblPesosValorOperativo[Opacidad],0),0)</f>
        <v>0</v>
      </c>
      <c r="M263" s="14">
        <f>IFERROR(_xlfn.XLOOKUP(VLOOKUP(tblEnlaces[[#This Row],[Canal]],tblCanales[#All],6,FALSE),tblPesosValorOperativo[Valor],tblPesosValorOperativo[Trazabilidad],0),0)</f>
        <v>0</v>
      </c>
      <c r="N263" s="14">
        <f>IFERROR(_xlfn.XLOOKUP(VLOOKUP(tblEnlaces[[#This Row],[Canal]],tblCanales[#All],7,FALSE),tblPesosValorOperativo[Valor],tblPesosValorOperativo[Velocidad],0),0)</f>
        <v>0</v>
      </c>
      <c r="O263" s="14">
        <f>IFERROR(_xlfn.XLOOKUP(VLOOKUP(tblEnlaces[[#This Row],[Canal]],tblCanales[#All],8,FALSE),tblPesosValorOperativo[Valor],tblPesosValorOperativo[Escalabilidad],0),0)</f>
        <v>0</v>
      </c>
      <c r="P263" s="53">
        <f>tblEnlaces[[#This Row],[Opacidad]]+tblEnlaces[[#This Row],[Escalabilidad]]+tblEnlaces[[#This Row],[Velocidad]]+tblEnlaces[[#This Row],[Trazabilidad]]</f>
        <v>0</v>
      </c>
    </row>
    <row r="264" spans="2:16" ht="16.5" customHeight="1" x14ac:dyDescent="0.25">
      <c r="B264" s="66" t="str">
        <f t="array" ref="B26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64" s="10" t="e">
        <f>VLOOKUP(tblEnlaces[[#This Row],[Nodo Inicial]],tblNodos[],2,FALSE)</f>
        <v>#N/A</v>
      </c>
      <c r="E264" s="39"/>
      <c r="F264" s="10" t="e">
        <f>VLOOKUP(tblEnlaces[[#This Row],[Nodo Final]],tblNodos[],2,FALSE)</f>
        <v>#N/A</v>
      </c>
      <c r="G264" s="39"/>
      <c r="I264" s="53">
        <f>IFERROR(_xlfn.XLOOKUP(VLOOKUP(tblEnlaces[[#This Row],[Canal]],tblCanales[#All],2,FALSE),tblPesosValorOperativo[Valor],tblPesosValorOperativo[Frecuencia de Uso],0),0)</f>
        <v>0</v>
      </c>
      <c r="J26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64" s="64">
        <f>IFERROR(_xlfn.XLOOKUP(VLOOKUP(tblEnlaces[[#This Row],[Canal]],tblCanales[#All],3,FALSE),tblPesosCoste[Valor],tblPesosCoste[Peso],0),0)</f>
        <v>0</v>
      </c>
      <c r="L264" s="10">
        <f>IFERROR(_xlfn.XLOOKUP(VLOOKUP(tblEnlaces[[#This Row],[Canal]],tblCanales[#All],5,FALSE),tblPesosValorOperativo[Valor],tblPesosValorOperativo[Opacidad],0),0)</f>
        <v>0</v>
      </c>
      <c r="M264" s="14">
        <f>IFERROR(_xlfn.XLOOKUP(VLOOKUP(tblEnlaces[[#This Row],[Canal]],tblCanales[#All],6,FALSE),tblPesosValorOperativo[Valor],tblPesosValorOperativo[Trazabilidad],0),0)</f>
        <v>0</v>
      </c>
      <c r="N264" s="14">
        <f>IFERROR(_xlfn.XLOOKUP(VLOOKUP(tblEnlaces[[#This Row],[Canal]],tblCanales[#All],7,FALSE),tblPesosValorOperativo[Valor],tblPesosValorOperativo[Velocidad],0),0)</f>
        <v>0</v>
      </c>
      <c r="O264" s="14">
        <f>IFERROR(_xlfn.XLOOKUP(VLOOKUP(tblEnlaces[[#This Row],[Canal]],tblCanales[#All],8,FALSE),tblPesosValorOperativo[Valor],tblPesosValorOperativo[Escalabilidad],0),0)</f>
        <v>0</v>
      </c>
      <c r="P264" s="53">
        <f>tblEnlaces[[#This Row],[Opacidad]]+tblEnlaces[[#This Row],[Escalabilidad]]+tblEnlaces[[#This Row],[Velocidad]]+tblEnlaces[[#This Row],[Trazabilidad]]</f>
        <v>0</v>
      </c>
    </row>
    <row r="265" spans="2:16" ht="16.5" customHeight="1" x14ac:dyDescent="0.25">
      <c r="B265" s="66" t="str">
        <f t="array" ref="B26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65" s="10" t="e">
        <f>VLOOKUP(tblEnlaces[[#This Row],[Nodo Inicial]],tblNodos[],2,FALSE)</f>
        <v>#N/A</v>
      </c>
      <c r="E265" s="39"/>
      <c r="F265" s="10" t="e">
        <f>VLOOKUP(tblEnlaces[[#This Row],[Nodo Final]],tblNodos[],2,FALSE)</f>
        <v>#N/A</v>
      </c>
      <c r="G265" s="39"/>
      <c r="I265" s="53">
        <f>IFERROR(_xlfn.XLOOKUP(VLOOKUP(tblEnlaces[[#This Row],[Canal]],tblCanales[#All],2,FALSE),tblPesosValorOperativo[Valor],tblPesosValorOperativo[Frecuencia de Uso],0),0)</f>
        <v>0</v>
      </c>
      <c r="J26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65" s="64">
        <f>IFERROR(_xlfn.XLOOKUP(VLOOKUP(tblEnlaces[[#This Row],[Canal]],tblCanales[#All],3,FALSE),tblPesosCoste[Valor],tblPesosCoste[Peso],0),0)</f>
        <v>0</v>
      </c>
      <c r="L265" s="10">
        <f>IFERROR(_xlfn.XLOOKUP(VLOOKUP(tblEnlaces[[#This Row],[Canal]],tblCanales[#All],5,FALSE),tblPesosValorOperativo[Valor],tblPesosValorOperativo[Opacidad],0),0)</f>
        <v>0</v>
      </c>
      <c r="M265" s="14">
        <f>IFERROR(_xlfn.XLOOKUP(VLOOKUP(tblEnlaces[[#This Row],[Canal]],tblCanales[#All],6,FALSE),tblPesosValorOperativo[Valor],tblPesosValorOperativo[Trazabilidad],0),0)</f>
        <v>0</v>
      </c>
      <c r="N265" s="14">
        <f>IFERROR(_xlfn.XLOOKUP(VLOOKUP(tblEnlaces[[#This Row],[Canal]],tblCanales[#All],7,FALSE),tblPesosValorOperativo[Valor],tblPesosValorOperativo[Velocidad],0),0)</f>
        <v>0</v>
      </c>
      <c r="O265" s="14">
        <f>IFERROR(_xlfn.XLOOKUP(VLOOKUP(tblEnlaces[[#This Row],[Canal]],tblCanales[#All],8,FALSE),tblPesosValorOperativo[Valor],tblPesosValorOperativo[Escalabilidad],0),0)</f>
        <v>0</v>
      </c>
      <c r="P265" s="53">
        <f>tblEnlaces[[#This Row],[Opacidad]]+tblEnlaces[[#This Row],[Escalabilidad]]+tblEnlaces[[#This Row],[Velocidad]]+tblEnlaces[[#This Row],[Trazabilidad]]</f>
        <v>0</v>
      </c>
    </row>
    <row r="266" spans="2:16" ht="16.5" customHeight="1" x14ac:dyDescent="0.25">
      <c r="B266" s="66" t="str">
        <f t="array" ref="B26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66" s="10" t="e">
        <f>VLOOKUP(tblEnlaces[[#This Row],[Nodo Inicial]],tblNodos[],2,FALSE)</f>
        <v>#N/A</v>
      </c>
      <c r="E266" s="39"/>
      <c r="F266" s="10" t="e">
        <f>VLOOKUP(tblEnlaces[[#This Row],[Nodo Final]],tblNodos[],2,FALSE)</f>
        <v>#N/A</v>
      </c>
      <c r="G266" s="39"/>
      <c r="I266" s="53">
        <f>IFERROR(_xlfn.XLOOKUP(VLOOKUP(tblEnlaces[[#This Row],[Canal]],tblCanales[#All],2,FALSE),tblPesosValorOperativo[Valor],tblPesosValorOperativo[Frecuencia de Uso],0),0)</f>
        <v>0</v>
      </c>
      <c r="J26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66" s="64">
        <f>IFERROR(_xlfn.XLOOKUP(VLOOKUP(tblEnlaces[[#This Row],[Canal]],tblCanales[#All],3,FALSE),tblPesosCoste[Valor],tblPesosCoste[Peso],0),0)</f>
        <v>0</v>
      </c>
      <c r="L266" s="10">
        <f>IFERROR(_xlfn.XLOOKUP(VLOOKUP(tblEnlaces[[#This Row],[Canal]],tblCanales[#All],5,FALSE),tblPesosValorOperativo[Valor],tblPesosValorOperativo[Opacidad],0),0)</f>
        <v>0</v>
      </c>
      <c r="M266" s="14">
        <f>IFERROR(_xlfn.XLOOKUP(VLOOKUP(tblEnlaces[[#This Row],[Canal]],tblCanales[#All],6,FALSE),tblPesosValorOperativo[Valor],tblPesosValorOperativo[Trazabilidad],0),0)</f>
        <v>0</v>
      </c>
      <c r="N266" s="14">
        <f>IFERROR(_xlfn.XLOOKUP(VLOOKUP(tblEnlaces[[#This Row],[Canal]],tblCanales[#All],7,FALSE),tblPesosValorOperativo[Valor],tblPesosValorOperativo[Velocidad],0),0)</f>
        <v>0</v>
      </c>
      <c r="O266" s="14">
        <f>IFERROR(_xlfn.XLOOKUP(VLOOKUP(tblEnlaces[[#This Row],[Canal]],tblCanales[#All],8,FALSE),tblPesosValorOperativo[Valor],tblPesosValorOperativo[Escalabilidad],0),0)</f>
        <v>0</v>
      </c>
      <c r="P266" s="53">
        <f>tblEnlaces[[#This Row],[Opacidad]]+tblEnlaces[[#This Row],[Escalabilidad]]+tblEnlaces[[#This Row],[Velocidad]]+tblEnlaces[[#This Row],[Trazabilidad]]</f>
        <v>0</v>
      </c>
    </row>
    <row r="267" spans="2:16" ht="16.5" customHeight="1" x14ac:dyDescent="0.25">
      <c r="B267" s="66" t="str">
        <f t="array" ref="B26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67" s="10" t="e">
        <f>VLOOKUP(tblEnlaces[[#This Row],[Nodo Inicial]],tblNodos[],2,FALSE)</f>
        <v>#N/A</v>
      </c>
      <c r="E267" s="39"/>
      <c r="F267" s="10" t="e">
        <f>VLOOKUP(tblEnlaces[[#This Row],[Nodo Final]],tblNodos[],2,FALSE)</f>
        <v>#N/A</v>
      </c>
      <c r="G267" s="39"/>
      <c r="I267" s="53">
        <f>IFERROR(_xlfn.XLOOKUP(VLOOKUP(tblEnlaces[[#This Row],[Canal]],tblCanales[#All],2,FALSE),tblPesosValorOperativo[Valor],tblPesosValorOperativo[Frecuencia de Uso],0),0)</f>
        <v>0</v>
      </c>
      <c r="J26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67" s="64">
        <f>IFERROR(_xlfn.XLOOKUP(VLOOKUP(tblEnlaces[[#This Row],[Canal]],tblCanales[#All],3,FALSE),tblPesosCoste[Valor],tblPesosCoste[Peso],0),0)</f>
        <v>0</v>
      </c>
      <c r="L267" s="10">
        <f>IFERROR(_xlfn.XLOOKUP(VLOOKUP(tblEnlaces[[#This Row],[Canal]],tblCanales[#All],5,FALSE),tblPesosValorOperativo[Valor],tblPesosValorOperativo[Opacidad],0),0)</f>
        <v>0</v>
      </c>
      <c r="M267" s="14">
        <f>IFERROR(_xlfn.XLOOKUP(VLOOKUP(tblEnlaces[[#This Row],[Canal]],tblCanales[#All],6,FALSE),tblPesosValorOperativo[Valor],tblPesosValorOperativo[Trazabilidad],0),0)</f>
        <v>0</v>
      </c>
      <c r="N267" s="14">
        <f>IFERROR(_xlfn.XLOOKUP(VLOOKUP(tblEnlaces[[#This Row],[Canal]],tblCanales[#All],7,FALSE),tblPesosValorOperativo[Valor],tblPesosValorOperativo[Velocidad],0),0)</f>
        <v>0</v>
      </c>
      <c r="O267" s="14">
        <f>IFERROR(_xlfn.XLOOKUP(VLOOKUP(tblEnlaces[[#This Row],[Canal]],tblCanales[#All],8,FALSE),tblPesosValorOperativo[Valor],tblPesosValorOperativo[Escalabilidad],0),0)</f>
        <v>0</v>
      </c>
      <c r="P267" s="53">
        <f>tblEnlaces[[#This Row],[Opacidad]]+tblEnlaces[[#This Row],[Escalabilidad]]+tblEnlaces[[#This Row],[Velocidad]]+tblEnlaces[[#This Row],[Trazabilidad]]</f>
        <v>0</v>
      </c>
    </row>
    <row r="268" spans="2:16" ht="16.5" customHeight="1" x14ac:dyDescent="0.25">
      <c r="B268" s="66" t="str">
        <f t="array" ref="B26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68" s="10" t="e">
        <f>VLOOKUP(tblEnlaces[[#This Row],[Nodo Inicial]],tblNodos[],2,FALSE)</f>
        <v>#N/A</v>
      </c>
      <c r="E268" s="39"/>
      <c r="F268" s="10" t="e">
        <f>VLOOKUP(tblEnlaces[[#This Row],[Nodo Final]],tblNodos[],2,FALSE)</f>
        <v>#N/A</v>
      </c>
      <c r="G268" s="39"/>
      <c r="I268" s="53">
        <f>IFERROR(_xlfn.XLOOKUP(VLOOKUP(tblEnlaces[[#This Row],[Canal]],tblCanales[#All],2,FALSE),tblPesosValorOperativo[Valor],tblPesosValorOperativo[Frecuencia de Uso],0),0)</f>
        <v>0</v>
      </c>
      <c r="J26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68" s="64">
        <f>IFERROR(_xlfn.XLOOKUP(VLOOKUP(tblEnlaces[[#This Row],[Canal]],tblCanales[#All],3,FALSE),tblPesosCoste[Valor],tblPesosCoste[Peso],0),0)</f>
        <v>0</v>
      </c>
      <c r="L268" s="10">
        <f>IFERROR(_xlfn.XLOOKUP(VLOOKUP(tblEnlaces[[#This Row],[Canal]],tblCanales[#All],5,FALSE),tblPesosValorOperativo[Valor],tblPesosValorOperativo[Opacidad],0),0)</f>
        <v>0</v>
      </c>
      <c r="M268" s="14">
        <f>IFERROR(_xlfn.XLOOKUP(VLOOKUP(tblEnlaces[[#This Row],[Canal]],tblCanales[#All],6,FALSE),tblPesosValorOperativo[Valor],tblPesosValorOperativo[Trazabilidad],0),0)</f>
        <v>0</v>
      </c>
      <c r="N268" s="14">
        <f>IFERROR(_xlfn.XLOOKUP(VLOOKUP(tblEnlaces[[#This Row],[Canal]],tblCanales[#All],7,FALSE),tblPesosValorOperativo[Valor],tblPesosValorOperativo[Velocidad],0),0)</f>
        <v>0</v>
      </c>
      <c r="O268" s="14">
        <f>IFERROR(_xlfn.XLOOKUP(VLOOKUP(tblEnlaces[[#This Row],[Canal]],tblCanales[#All],8,FALSE),tblPesosValorOperativo[Valor],tblPesosValorOperativo[Escalabilidad],0),0)</f>
        <v>0</v>
      </c>
      <c r="P268" s="53">
        <f>tblEnlaces[[#This Row],[Opacidad]]+tblEnlaces[[#This Row],[Escalabilidad]]+tblEnlaces[[#This Row],[Velocidad]]+tblEnlaces[[#This Row],[Trazabilidad]]</f>
        <v>0</v>
      </c>
    </row>
    <row r="269" spans="2:16" ht="16.5" customHeight="1" x14ac:dyDescent="0.25">
      <c r="B269" s="66" t="str">
        <f t="array" ref="B26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69" s="10" t="e">
        <f>VLOOKUP(tblEnlaces[[#This Row],[Nodo Inicial]],tblNodos[],2,FALSE)</f>
        <v>#N/A</v>
      </c>
      <c r="E269" s="39"/>
      <c r="F269" s="10" t="e">
        <f>VLOOKUP(tblEnlaces[[#This Row],[Nodo Final]],tblNodos[],2,FALSE)</f>
        <v>#N/A</v>
      </c>
      <c r="G269" s="39"/>
      <c r="I269" s="53">
        <f>IFERROR(_xlfn.XLOOKUP(VLOOKUP(tblEnlaces[[#This Row],[Canal]],tblCanales[#All],2,FALSE),tblPesosValorOperativo[Valor],tblPesosValorOperativo[Frecuencia de Uso],0),0)</f>
        <v>0</v>
      </c>
      <c r="J26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69" s="64">
        <f>IFERROR(_xlfn.XLOOKUP(VLOOKUP(tblEnlaces[[#This Row],[Canal]],tblCanales[#All],3,FALSE),tblPesosCoste[Valor],tblPesosCoste[Peso],0),0)</f>
        <v>0</v>
      </c>
      <c r="L269" s="10">
        <f>IFERROR(_xlfn.XLOOKUP(VLOOKUP(tblEnlaces[[#This Row],[Canal]],tblCanales[#All],5,FALSE),tblPesosValorOperativo[Valor],tblPesosValorOperativo[Opacidad],0),0)</f>
        <v>0</v>
      </c>
      <c r="M269" s="14">
        <f>IFERROR(_xlfn.XLOOKUP(VLOOKUP(tblEnlaces[[#This Row],[Canal]],tblCanales[#All],6,FALSE),tblPesosValorOperativo[Valor],tblPesosValorOperativo[Trazabilidad],0),0)</f>
        <v>0</v>
      </c>
      <c r="N269" s="14">
        <f>IFERROR(_xlfn.XLOOKUP(VLOOKUP(tblEnlaces[[#This Row],[Canal]],tblCanales[#All],7,FALSE),tblPesosValorOperativo[Valor],tblPesosValorOperativo[Velocidad],0),0)</f>
        <v>0</v>
      </c>
      <c r="O269" s="14">
        <f>IFERROR(_xlfn.XLOOKUP(VLOOKUP(tblEnlaces[[#This Row],[Canal]],tblCanales[#All],8,FALSE),tblPesosValorOperativo[Valor],tblPesosValorOperativo[Escalabilidad],0),0)</f>
        <v>0</v>
      </c>
      <c r="P269" s="53">
        <f>tblEnlaces[[#This Row],[Opacidad]]+tblEnlaces[[#This Row],[Escalabilidad]]+tblEnlaces[[#This Row],[Velocidad]]+tblEnlaces[[#This Row],[Trazabilidad]]</f>
        <v>0</v>
      </c>
    </row>
    <row r="270" spans="2:16" ht="16.5" customHeight="1" x14ac:dyDescent="0.25">
      <c r="B270" s="66" t="str">
        <f t="array" ref="B27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70" s="10" t="e">
        <f>VLOOKUP(tblEnlaces[[#This Row],[Nodo Inicial]],tblNodos[],2,FALSE)</f>
        <v>#N/A</v>
      </c>
      <c r="E270" s="39"/>
      <c r="F270" s="10" t="e">
        <f>VLOOKUP(tblEnlaces[[#This Row],[Nodo Final]],tblNodos[],2,FALSE)</f>
        <v>#N/A</v>
      </c>
      <c r="G270" s="39"/>
      <c r="I270" s="53">
        <f>IFERROR(_xlfn.XLOOKUP(VLOOKUP(tblEnlaces[[#This Row],[Canal]],tblCanales[#All],2,FALSE),tblPesosValorOperativo[Valor],tblPesosValorOperativo[Frecuencia de Uso],0),0)</f>
        <v>0</v>
      </c>
      <c r="J27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70" s="64">
        <f>IFERROR(_xlfn.XLOOKUP(VLOOKUP(tblEnlaces[[#This Row],[Canal]],tblCanales[#All],3,FALSE),tblPesosCoste[Valor],tblPesosCoste[Peso],0),0)</f>
        <v>0</v>
      </c>
      <c r="L270" s="10">
        <f>IFERROR(_xlfn.XLOOKUP(VLOOKUP(tblEnlaces[[#This Row],[Canal]],tblCanales[#All],5,FALSE),tblPesosValorOperativo[Valor],tblPesosValorOperativo[Opacidad],0),0)</f>
        <v>0</v>
      </c>
      <c r="M270" s="14">
        <f>IFERROR(_xlfn.XLOOKUP(VLOOKUP(tblEnlaces[[#This Row],[Canal]],tblCanales[#All],6,FALSE),tblPesosValorOperativo[Valor],tblPesosValorOperativo[Trazabilidad],0),0)</f>
        <v>0</v>
      </c>
      <c r="N270" s="14">
        <f>IFERROR(_xlfn.XLOOKUP(VLOOKUP(tblEnlaces[[#This Row],[Canal]],tblCanales[#All],7,FALSE),tblPesosValorOperativo[Valor],tblPesosValorOperativo[Velocidad],0),0)</f>
        <v>0</v>
      </c>
      <c r="O270" s="14">
        <f>IFERROR(_xlfn.XLOOKUP(VLOOKUP(tblEnlaces[[#This Row],[Canal]],tblCanales[#All],8,FALSE),tblPesosValorOperativo[Valor],tblPesosValorOperativo[Escalabilidad],0),0)</f>
        <v>0</v>
      </c>
      <c r="P270" s="53">
        <f>tblEnlaces[[#This Row],[Opacidad]]+tblEnlaces[[#This Row],[Escalabilidad]]+tblEnlaces[[#This Row],[Velocidad]]+tblEnlaces[[#This Row],[Trazabilidad]]</f>
        <v>0</v>
      </c>
    </row>
    <row r="271" spans="2:16" ht="16.5" customHeight="1" x14ac:dyDescent="0.25">
      <c r="B271" s="66" t="str">
        <f t="array" ref="B27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71" s="10" t="e">
        <f>VLOOKUP(tblEnlaces[[#This Row],[Nodo Inicial]],tblNodos[],2,FALSE)</f>
        <v>#N/A</v>
      </c>
      <c r="E271" s="39"/>
      <c r="F271" s="10" t="e">
        <f>VLOOKUP(tblEnlaces[[#This Row],[Nodo Final]],tblNodos[],2,FALSE)</f>
        <v>#N/A</v>
      </c>
      <c r="G271" s="39"/>
      <c r="I271" s="53">
        <f>IFERROR(_xlfn.XLOOKUP(VLOOKUP(tblEnlaces[[#This Row],[Canal]],tblCanales[#All],2,FALSE),tblPesosValorOperativo[Valor],tblPesosValorOperativo[Frecuencia de Uso],0),0)</f>
        <v>0</v>
      </c>
      <c r="J27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71" s="64">
        <f>IFERROR(_xlfn.XLOOKUP(VLOOKUP(tblEnlaces[[#This Row],[Canal]],tblCanales[#All],3,FALSE),tblPesosCoste[Valor],tblPesosCoste[Peso],0),0)</f>
        <v>0</v>
      </c>
      <c r="L271" s="10">
        <f>IFERROR(_xlfn.XLOOKUP(VLOOKUP(tblEnlaces[[#This Row],[Canal]],tblCanales[#All],5,FALSE),tblPesosValorOperativo[Valor],tblPesosValorOperativo[Opacidad],0),0)</f>
        <v>0</v>
      </c>
      <c r="M271" s="14">
        <f>IFERROR(_xlfn.XLOOKUP(VLOOKUP(tblEnlaces[[#This Row],[Canal]],tblCanales[#All],6,FALSE),tblPesosValorOperativo[Valor],tblPesosValorOperativo[Trazabilidad],0),0)</f>
        <v>0</v>
      </c>
      <c r="N271" s="14">
        <f>IFERROR(_xlfn.XLOOKUP(VLOOKUP(tblEnlaces[[#This Row],[Canal]],tblCanales[#All],7,FALSE),tblPesosValorOperativo[Valor],tblPesosValorOperativo[Velocidad],0),0)</f>
        <v>0</v>
      </c>
      <c r="O271" s="14">
        <f>IFERROR(_xlfn.XLOOKUP(VLOOKUP(tblEnlaces[[#This Row],[Canal]],tblCanales[#All],8,FALSE),tblPesosValorOperativo[Valor],tblPesosValorOperativo[Escalabilidad],0),0)</f>
        <v>0</v>
      </c>
      <c r="P271" s="53">
        <f>tblEnlaces[[#This Row],[Opacidad]]+tblEnlaces[[#This Row],[Escalabilidad]]+tblEnlaces[[#This Row],[Velocidad]]+tblEnlaces[[#This Row],[Trazabilidad]]</f>
        <v>0</v>
      </c>
    </row>
    <row r="272" spans="2:16" ht="16.5" customHeight="1" x14ac:dyDescent="0.25">
      <c r="B272" s="66" t="str">
        <f t="array" ref="B27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72" s="10" t="e">
        <f>VLOOKUP(tblEnlaces[[#This Row],[Nodo Inicial]],tblNodos[],2,FALSE)</f>
        <v>#N/A</v>
      </c>
      <c r="E272" s="39"/>
      <c r="F272" s="10" t="e">
        <f>VLOOKUP(tblEnlaces[[#This Row],[Nodo Final]],tblNodos[],2,FALSE)</f>
        <v>#N/A</v>
      </c>
      <c r="G272" s="39"/>
      <c r="I272" s="53">
        <f>IFERROR(_xlfn.XLOOKUP(VLOOKUP(tblEnlaces[[#This Row],[Canal]],tblCanales[#All],2,FALSE),tblPesosValorOperativo[Valor],tblPesosValorOperativo[Frecuencia de Uso],0),0)</f>
        <v>0</v>
      </c>
      <c r="J27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72" s="64">
        <f>IFERROR(_xlfn.XLOOKUP(VLOOKUP(tblEnlaces[[#This Row],[Canal]],tblCanales[#All],3,FALSE),tblPesosCoste[Valor],tblPesosCoste[Peso],0),0)</f>
        <v>0</v>
      </c>
      <c r="L272" s="10">
        <f>IFERROR(_xlfn.XLOOKUP(VLOOKUP(tblEnlaces[[#This Row],[Canal]],tblCanales[#All],5,FALSE),tblPesosValorOperativo[Valor],tblPesosValorOperativo[Opacidad],0),0)</f>
        <v>0</v>
      </c>
      <c r="M272" s="14">
        <f>IFERROR(_xlfn.XLOOKUP(VLOOKUP(tblEnlaces[[#This Row],[Canal]],tblCanales[#All],6,FALSE),tblPesosValorOperativo[Valor],tblPesosValorOperativo[Trazabilidad],0),0)</f>
        <v>0</v>
      </c>
      <c r="N272" s="14">
        <f>IFERROR(_xlfn.XLOOKUP(VLOOKUP(tblEnlaces[[#This Row],[Canal]],tblCanales[#All],7,FALSE),tblPesosValorOperativo[Valor],tblPesosValorOperativo[Velocidad],0),0)</f>
        <v>0</v>
      </c>
      <c r="O272" s="14">
        <f>IFERROR(_xlfn.XLOOKUP(VLOOKUP(tblEnlaces[[#This Row],[Canal]],tblCanales[#All],8,FALSE),tblPesosValorOperativo[Valor],tblPesosValorOperativo[Escalabilidad],0),0)</f>
        <v>0</v>
      </c>
      <c r="P272" s="53">
        <f>tblEnlaces[[#This Row],[Opacidad]]+tblEnlaces[[#This Row],[Escalabilidad]]+tblEnlaces[[#This Row],[Velocidad]]+tblEnlaces[[#This Row],[Trazabilidad]]</f>
        <v>0</v>
      </c>
    </row>
    <row r="273" spans="2:16" ht="16.5" customHeight="1" x14ac:dyDescent="0.25">
      <c r="B273" s="66" t="str">
        <f t="array" ref="B27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73" s="10" t="e">
        <f>VLOOKUP(tblEnlaces[[#This Row],[Nodo Inicial]],tblNodos[],2,FALSE)</f>
        <v>#N/A</v>
      </c>
      <c r="E273" s="39"/>
      <c r="F273" s="10" t="e">
        <f>VLOOKUP(tblEnlaces[[#This Row],[Nodo Final]],tblNodos[],2,FALSE)</f>
        <v>#N/A</v>
      </c>
      <c r="G273" s="39"/>
      <c r="I273" s="53">
        <f>IFERROR(_xlfn.XLOOKUP(VLOOKUP(tblEnlaces[[#This Row],[Canal]],tblCanales[#All],2,FALSE),tblPesosValorOperativo[Valor],tblPesosValorOperativo[Frecuencia de Uso],0),0)</f>
        <v>0</v>
      </c>
      <c r="J27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73" s="64">
        <f>IFERROR(_xlfn.XLOOKUP(VLOOKUP(tblEnlaces[[#This Row],[Canal]],tblCanales[#All],3,FALSE),tblPesosCoste[Valor],tblPesosCoste[Peso],0),0)</f>
        <v>0</v>
      </c>
      <c r="L273" s="10">
        <f>IFERROR(_xlfn.XLOOKUP(VLOOKUP(tblEnlaces[[#This Row],[Canal]],tblCanales[#All],5,FALSE),tblPesosValorOperativo[Valor],tblPesosValorOperativo[Opacidad],0),0)</f>
        <v>0</v>
      </c>
      <c r="M273" s="14">
        <f>IFERROR(_xlfn.XLOOKUP(VLOOKUP(tblEnlaces[[#This Row],[Canal]],tblCanales[#All],6,FALSE),tblPesosValorOperativo[Valor],tblPesosValorOperativo[Trazabilidad],0),0)</f>
        <v>0</v>
      </c>
      <c r="N273" s="14">
        <f>IFERROR(_xlfn.XLOOKUP(VLOOKUP(tblEnlaces[[#This Row],[Canal]],tblCanales[#All],7,FALSE),tblPesosValorOperativo[Valor],tblPesosValorOperativo[Velocidad],0),0)</f>
        <v>0</v>
      </c>
      <c r="O273" s="14">
        <f>IFERROR(_xlfn.XLOOKUP(VLOOKUP(tblEnlaces[[#This Row],[Canal]],tblCanales[#All],8,FALSE),tblPesosValorOperativo[Valor],tblPesosValorOperativo[Escalabilidad],0),0)</f>
        <v>0</v>
      </c>
      <c r="P273" s="53">
        <f>tblEnlaces[[#This Row],[Opacidad]]+tblEnlaces[[#This Row],[Escalabilidad]]+tblEnlaces[[#This Row],[Velocidad]]+tblEnlaces[[#This Row],[Trazabilidad]]</f>
        <v>0</v>
      </c>
    </row>
    <row r="274" spans="2:16" ht="16.5" customHeight="1" x14ac:dyDescent="0.25">
      <c r="B274" s="66" t="str">
        <f t="array" ref="B27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74" s="10" t="e">
        <f>VLOOKUP(tblEnlaces[[#This Row],[Nodo Inicial]],tblNodos[],2,FALSE)</f>
        <v>#N/A</v>
      </c>
      <c r="E274" s="39"/>
      <c r="F274" s="10" t="e">
        <f>VLOOKUP(tblEnlaces[[#This Row],[Nodo Final]],tblNodos[],2,FALSE)</f>
        <v>#N/A</v>
      </c>
      <c r="G274" s="39"/>
      <c r="I274" s="53">
        <f>IFERROR(_xlfn.XLOOKUP(VLOOKUP(tblEnlaces[[#This Row],[Canal]],tblCanales[#All],2,FALSE),tblPesosValorOperativo[Valor],tblPesosValorOperativo[Frecuencia de Uso],0),0)</f>
        <v>0</v>
      </c>
      <c r="J27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74" s="64">
        <f>IFERROR(_xlfn.XLOOKUP(VLOOKUP(tblEnlaces[[#This Row],[Canal]],tblCanales[#All],3,FALSE),tblPesosCoste[Valor],tblPesosCoste[Peso],0),0)</f>
        <v>0</v>
      </c>
      <c r="L274" s="10">
        <f>IFERROR(_xlfn.XLOOKUP(VLOOKUP(tblEnlaces[[#This Row],[Canal]],tblCanales[#All],5,FALSE),tblPesosValorOperativo[Valor],tblPesosValorOperativo[Opacidad],0),0)</f>
        <v>0</v>
      </c>
      <c r="M274" s="14">
        <f>IFERROR(_xlfn.XLOOKUP(VLOOKUP(tblEnlaces[[#This Row],[Canal]],tblCanales[#All],6,FALSE),tblPesosValorOperativo[Valor],tblPesosValorOperativo[Trazabilidad],0),0)</f>
        <v>0</v>
      </c>
      <c r="N274" s="14">
        <f>IFERROR(_xlfn.XLOOKUP(VLOOKUP(tblEnlaces[[#This Row],[Canal]],tblCanales[#All],7,FALSE),tblPesosValorOperativo[Valor],tblPesosValorOperativo[Velocidad],0),0)</f>
        <v>0</v>
      </c>
      <c r="O274" s="14">
        <f>IFERROR(_xlfn.XLOOKUP(VLOOKUP(tblEnlaces[[#This Row],[Canal]],tblCanales[#All],8,FALSE),tblPesosValorOperativo[Valor],tblPesosValorOperativo[Escalabilidad],0),0)</f>
        <v>0</v>
      </c>
      <c r="P274" s="53">
        <f>tblEnlaces[[#This Row],[Opacidad]]+tblEnlaces[[#This Row],[Escalabilidad]]+tblEnlaces[[#This Row],[Velocidad]]+tblEnlaces[[#This Row],[Trazabilidad]]</f>
        <v>0</v>
      </c>
    </row>
    <row r="275" spans="2:16" ht="16.5" customHeight="1" x14ac:dyDescent="0.25">
      <c r="B275" s="66" t="str">
        <f t="array" ref="B27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75" s="10" t="e">
        <f>VLOOKUP(tblEnlaces[[#This Row],[Nodo Inicial]],tblNodos[],2,FALSE)</f>
        <v>#N/A</v>
      </c>
      <c r="E275" s="39"/>
      <c r="F275" s="10" t="e">
        <f>VLOOKUP(tblEnlaces[[#This Row],[Nodo Final]],tblNodos[],2,FALSE)</f>
        <v>#N/A</v>
      </c>
      <c r="G275" s="39"/>
      <c r="I275" s="53">
        <f>IFERROR(_xlfn.XLOOKUP(VLOOKUP(tblEnlaces[[#This Row],[Canal]],tblCanales[#All],2,FALSE),tblPesosValorOperativo[Valor],tblPesosValorOperativo[Frecuencia de Uso],0),0)</f>
        <v>0</v>
      </c>
      <c r="J27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75" s="64">
        <f>IFERROR(_xlfn.XLOOKUP(VLOOKUP(tblEnlaces[[#This Row],[Canal]],tblCanales[#All],3,FALSE),tblPesosCoste[Valor],tblPesosCoste[Peso],0),0)</f>
        <v>0</v>
      </c>
      <c r="L275" s="10">
        <f>IFERROR(_xlfn.XLOOKUP(VLOOKUP(tblEnlaces[[#This Row],[Canal]],tblCanales[#All],5,FALSE),tblPesosValorOperativo[Valor],tblPesosValorOperativo[Opacidad],0),0)</f>
        <v>0</v>
      </c>
      <c r="M275" s="14">
        <f>IFERROR(_xlfn.XLOOKUP(VLOOKUP(tblEnlaces[[#This Row],[Canal]],tblCanales[#All],6,FALSE),tblPesosValorOperativo[Valor],tblPesosValorOperativo[Trazabilidad],0),0)</f>
        <v>0</v>
      </c>
      <c r="N275" s="14">
        <f>IFERROR(_xlfn.XLOOKUP(VLOOKUP(tblEnlaces[[#This Row],[Canal]],tblCanales[#All],7,FALSE),tblPesosValorOperativo[Valor],tblPesosValorOperativo[Velocidad],0),0)</f>
        <v>0</v>
      </c>
      <c r="O275" s="14">
        <f>IFERROR(_xlfn.XLOOKUP(VLOOKUP(tblEnlaces[[#This Row],[Canal]],tblCanales[#All],8,FALSE),tblPesosValorOperativo[Valor],tblPesosValorOperativo[Escalabilidad],0),0)</f>
        <v>0</v>
      </c>
      <c r="P275" s="53">
        <f>tblEnlaces[[#This Row],[Opacidad]]+tblEnlaces[[#This Row],[Escalabilidad]]+tblEnlaces[[#This Row],[Velocidad]]+tblEnlaces[[#This Row],[Trazabilidad]]</f>
        <v>0</v>
      </c>
    </row>
    <row r="276" spans="2:16" ht="16.5" customHeight="1" x14ac:dyDescent="0.25">
      <c r="B276" s="66" t="str">
        <f t="array" ref="B27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76" s="10" t="e">
        <f>VLOOKUP(tblEnlaces[[#This Row],[Nodo Inicial]],tblNodos[],2,FALSE)</f>
        <v>#N/A</v>
      </c>
      <c r="E276" s="39"/>
      <c r="F276" s="10" t="e">
        <f>VLOOKUP(tblEnlaces[[#This Row],[Nodo Final]],tblNodos[],2,FALSE)</f>
        <v>#N/A</v>
      </c>
      <c r="G276" s="39"/>
      <c r="I276" s="53">
        <f>IFERROR(_xlfn.XLOOKUP(VLOOKUP(tblEnlaces[[#This Row],[Canal]],tblCanales[#All],2,FALSE),tblPesosValorOperativo[Valor],tblPesosValorOperativo[Frecuencia de Uso],0),0)</f>
        <v>0</v>
      </c>
      <c r="J27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76" s="64">
        <f>IFERROR(_xlfn.XLOOKUP(VLOOKUP(tblEnlaces[[#This Row],[Canal]],tblCanales[#All],3,FALSE),tblPesosCoste[Valor],tblPesosCoste[Peso],0),0)</f>
        <v>0</v>
      </c>
      <c r="L276" s="10">
        <f>IFERROR(_xlfn.XLOOKUP(VLOOKUP(tblEnlaces[[#This Row],[Canal]],tblCanales[#All],5,FALSE),tblPesosValorOperativo[Valor],tblPesosValorOperativo[Opacidad],0),0)</f>
        <v>0</v>
      </c>
      <c r="M276" s="14">
        <f>IFERROR(_xlfn.XLOOKUP(VLOOKUP(tblEnlaces[[#This Row],[Canal]],tblCanales[#All],6,FALSE),tblPesosValorOperativo[Valor],tblPesosValorOperativo[Trazabilidad],0),0)</f>
        <v>0</v>
      </c>
      <c r="N276" s="14">
        <f>IFERROR(_xlfn.XLOOKUP(VLOOKUP(tblEnlaces[[#This Row],[Canal]],tblCanales[#All],7,FALSE),tblPesosValorOperativo[Valor],tblPesosValorOperativo[Velocidad],0),0)</f>
        <v>0</v>
      </c>
      <c r="O276" s="14">
        <f>IFERROR(_xlfn.XLOOKUP(VLOOKUP(tblEnlaces[[#This Row],[Canal]],tblCanales[#All],8,FALSE),tblPesosValorOperativo[Valor],tblPesosValorOperativo[Escalabilidad],0),0)</f>
        <v>0</v>
      </c>
      <c r="P276" s="53">
        <f>tblEnlaces[[#This Row],[Opacidad]]+tblEnlaces[[#This Row],[Escalabilidad]]+tblEnlaces[[#This Row],[Velocidad]]+tblEnlaces[[#This Row],[Trazabilidad]]</f>
        <v>0</v>
      </c>
    </row>
    <row r="277" spans="2:16" ht="16.5" customHeight="1" x14ac:dyDescent="0.25">
      <c r="B277" s="66" t="str">
        <f t="array" ref="B27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77" s="10" t="e">
        <f>VLOOKUP(tblEnlaces[[#This Row],[Nodo Inicial]],tblNodos[],2,FALSE)</f>
        <v>#N/A</v>
      </c>
      <c r="E277" s="39"/>
      <c r="F277" s="10" t="e">
        <f>VLOOKUP(tblEnlaces[[#This Row],[Nodo Final]],tblNodos[],2,FALSE)</f>
        <v>#N/A</v>
      </c>
      <c r="G277" s="39"/>
      <c r="I277" s="53">
        <f>IFERROR(_xlfn.XLOOKUP(VLOOKUP(tblEnlaces[[#This Row],[Canal]],tblCanales[#All],2,FALSE),tblPesosValorOperativo[Valor],tblPesosValorOperativo[Frecuencia de Uso],0),0)</f>
        <v>0</v>
      </c>
      <c r="J27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77" s="64">
        <f>IFERROR(_xlfn.XLOOKUP(VLOOKUP(tblEnlaces[[#This Row],[Canal]],tblCanales[#All],3,FALSE),tblPesosCoste[Valor],tblPesosCoste[Peso],0),0)</f>
        <v>0</v>
      </c>
      <c r="L277" s="10">
        <f>IFERROR(_xlfn.XLOOKUP(VLOOKUP(tblEnlaces[[#This Row],[Canal]],tblCanales[#All],5,FALSE),tblPesosValorOperativo[Valor],tblPesosValorOperativo[Opacidad],0),0)</f>
        <v>0</v>
      </c>
      <c r="M277" s="14">
        <f>IFERROR(_xlfn.XLOOKUP(VLOOKUP(tblEnlaces[[#This Row],[Canal]],tblCanales[#All],6,FALSE),tblPesosValorOperativo[Valor],tblPesosValorOperativo[Trazabilidad],0),0)</f>
        <v>0</v>
      </c>
      <c r="N277" s="14">
        <f>IFERROR(_xlfn.XLOOKUP(VLOOKUP(tblEnlaces[[#This Row],[Canal]],tblCanales[#All],7,FALSE),tblPesosValorOperativo[Valor],tblPesosValorOperativo[Velocidad],0),0)</f>
        <v>0</v>
      </c>
      <c r="O277" s="14">
        <f>IFERROR(_xlfn.XLOOKUP(VLOOKUP(tblEnlaces[[#This Row],[Canal]],tblCanales[#All],8,FALSE),tblPesosValorOperativo[Valor],tblPesosValorOperativo[Escalabilidad],0),0)</f>
        <v>0</v>
      </c>
      <c r="P277" s="53">
        <f>tblEnlaces[[#This Row],[Opacidad]]+tblEnlaces[[#This Row],[Escalabilidad]]+tblEnlaces[[#This Row],[Velocidad]]+tblEnlaces[[#This Row],[Trazabilidad]]</f>
        <v>0</v>
      </c>
    </row>
    <row r="278" spans="2:16" ht="16.5" customHeight="1" x14ac:dyDescent="0.25">
      <c r="B278" s="66" t="str">
        <f t="array" ref="B27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78" s="10" t="e">
        <f>VLOOKUP(tblEnlaces[[#This Row],[Nodo Inicial]],tblNodos[],2,FALSE)</f>
        <v>#N/A</v>
      </c>
      <c r="E278" s="39"/>
      <c r="F278" s="10" t="e">
        <f>VLOOKUP(tblEnlaces[[#This Row],[Nodo Final]],tblNodos[],2,FALSE)</f>
        <v>#N/A</v>
      </c>
      <c r="G278" s="39"/>
      <c r="I278" s="53">
        <f>IFERROR(_xlfn.XLOOKUP(VLOOKUP(tblEnlaces[[#This Row],[Canal]],tblCanales[#All],2,FALSE),tblPesosValorOperativo[Valor],tblPesosValorOperativo[Frecuencia de Uso],0),0)</f>
        <v>0</v>
      </c>
      <c r="J27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78" s="64">
        <f>IFERROR(_xlfn.XLOOKUP(VLOOKUP(tblEnlaces[[#This Row],[Canal]],tblCanales[#All],3,FALSE),tblPesosCoste[Valor],tblPesosCoste[Peso],0),0)</f>
        <v>0</v>
      </c>
      <c r="L278" s="10">
        <f>IFERROR(_xlfn.XLOOKUP(VLOOKUP(tblEnlaces[[#This Row],[Canal]],tblCanales[#All],5,FALSE),tblPesosValorOperativo[Valor],tblPesosValorOperativo[Opacidad],0),0)</f>
        <v>0</v>
      </c>
      <c r="M278" s="14">
        <f>IFERROR(_xlfn.XLOOKUP(VLOOKUP(tblEnlaces[[#This Row],[Canal]],tblCanales[#All],6,FALSE),tblPesosValorOperativo[Valor],tblPesosValorOperativo[Trazabilidad],0),0)</f>
        <v>0</v>
      </c>
      <c r="N278" s="14">
        <f>IFERROR(_xlfn.XLOOKUP(VLOOKUP(tblEnlaces[[#This Row],[Canal]],tblCanales[#All],7,FALSE),tblPesosValorOperativo[Valor],tblPesosValorOperativo[Velocidad],0),0)</f>
        <v>0</v>
      </c>
      <c r="O278" s="14">
        <f>IFERROR(_xlfn.XLOOKUP(VLOOKUP(tblEnlaces[[#This Row],[Canal]],tblCanales[#All],8,FALSE),tblPesosValorOperativo[Valor],tblPesosValorOperativo[Escalabilidad],0),0)</f>
        <v>0</v>
      </c>
      <c r="P278" s="53">
        <f>tblEnlaces[[#This Row],[Opacidad]]+tblEnlaces[[#This Row],[Escalabilidad]]+tblEnlaces[[#This Row],[Velocidad]]+tblEnlaces[[#This Row],[Trazabilidad]]</f>
        <v>0</v>
      </c>
    </row>
    <row r="279" spans="2:16" ht="16.5" customHeight="1" x14ac:dyDescent="0.25">
      <c r="B279" s="66" t="str">
        <f t="array" ref="B27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79" s="10" t="e">
        <f>VLOOKUP(tblEnlaces[[#This Row],[Nodo Inicial]],tblNodos[],2,FALSE)</f>
        <v>#N/A</v>
      </c>
      <c r="E279" s="39"/>
      <c r="F279" s="10" t="e">
        <f>VLOOKUP(tblEnlaces[[#This Row],[Nodo Final]],tblNodos[],2,FALSE)</f>
        <v>#N/A</v>
      </c>
      <c r="G279" s="39"/>
      <c r="I279" s="53">
        <f>IFERROR(_xlfn.XLOOKUP(VLOOKUP(tblEnlaces[[#This Row],[Canal]],tblCanales[#All],2,FALSE),tblPesosValorOperativo[Valor],tblPesosValorOperativo[Frecuencia de Uso],0),0)</f>
        <v>0</v>
      </c>
      <c r="J27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79" s="64">
        <f>IFERROR(_xlfn.XLOOKUP(VLOOKUP(tblEnlaces[[#This Row],[Canal]],tblCanales[#All],3,FALSE),tblPesosCoste[Valor],tblPesosCoste[Peso],0),0)</f>
        <v>0</v>
      </c>
      <c r="L279" s="10">
        <f>IFERROR(_xlfn.XLOOKUP(VLOOKUP(tblEnlaces[[#This Row],[Canal]],tblCanales[#All],5,FALSE),tblPesosValorOperativo[Valor],tblPesosValorOperativo[Opacidad],0),0)</f>
        <v>0</v>
      </c>
      <c r="M279" s="14">
        <f>IFERROR(_xlfn.XLOOKUP(VLOOKUP(tblEnlaces[[#This Row],[Canal]],tblCanales[#All],6,FALSE),tblPesosValorOperativo[Valor],tblPesosValorOperativo[Trazabilidad],0),0)</f>
        <v>0</v>
      </c>
      <c r="N279" s="14">
        <f>IFERROR(_xlfn.XLOOKUP(VLOOKUP(tblEnlaces[[#This Row],[Canal]],tblCanales[#All],7,FALSE),tblPesosValorOperativo[Valor],tblPesosValorOperativo[Velocidad],0),0)</f>
        <v>0</v>
      </c>
      <c r="O279" s="14">
        <f>IFERROR(_xlfn.XLOOKUP(VLOOKUP(tblEnlaces[[#This Row],[Canal]],tblCanales[#All],8,FALSE),tblPesosValorOperativo[Valor],tblPesosValorOperativo[Escalabilidad],0),0)</f>
        <v>0</v>
      </c>
      <c r="P279" s="53">
        <f>tblEnlaces[[#This Row],[Opacidad]]+tblEnlaces[[#This Row],[Escalabilidad]]+tblEnlaces[[#This Row],[Velocidad]]+tblEnlaces[[#This Row],[Trazabilidad]]</f>
        <v>0</v>
      </c>
    </row>
    <row r="280" spans="2:16" ht="16.5" customHeight="1" x14ac:dyDescent="0.25">
      <c r="B280" s="66" t="str">
        <f t="array" ref="B28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80" s="10" t="e">
        <f>VLOOKUP(tblEnlaces[[#This Row],[Nodo Inicial]],tblNodos[],2,FALSE)</f>
        <v>#N/A</v>
      </c>
      <c r="E280" s="39"/>
      <c r="F280" s="10" t="e">
        <f>VLOOKUP(tblEnlaces[[#This Row],[Nodo Final]],tblNodos[],2,FALSE)</f>
        <v>#N/A</v>
      </c>
      <c r="G280" s="39"/>
      <c r="I280" s="53">
        <f>IFERROR(_xlfn.XLOOKUP(VLOOKUP(tblEnlaces[[#This Row],[Canal]],tblCanales[#All],2,FALSE),tblPesosValorOperativo[Valor],tblPesosValorOperativo[Frecuencia de Uso],0),0)</f>
        <v>0</v>
      </c>
      <c r="J28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80" s="64">
        <f>IFERROR(_xlfn.XLOOKUP(VLOOKUP(tblEnlaces[[#This Row],[Canal]],tblCanales[#All],3,FALSE),tblPesosCoste[Valor],tblPesosCoste[Peso],0),0)</f>
        <v>0</v>
      </c>
      <c r="L280" s="10">
        <f>IFERROR(_xlfn.XLOOKUP(VLOOKUP(tblEnlaces[[#This Row],[Canal]],tblCanales[#All],5,FALSE),tblPesosValorOperativo[Valor],tblPesosValorOperativo[Opacidad],0),0)</f>
        <v>0</v>
      </c>
      <c r="M280" s="14">
        <f>IFERROR(_xlfn.XLOOKUP(VLOOKUP(tblEnlaces[[#This Row],[Canal]],tblCanales[#All],6,FALSE),tblPesosValorOperativo[Valor],tblPesosValorOperativo[Trazabilidad],0),0)</f>
        <v>0</v>
      </c>
      <c r="N280" s="14">
        <f>IFERROR(_xlfn.XLOOKUP(VLOOKUP(tblEnlaces[[#This Row],[Canal]],tblCanales[#All],7,FALSE),tblPesosValorOperativo[Valor],tblPesosValorOperativo[Velocidad],0),0)</f>
        <v>0</v>
      </c>
      <c r="O280" s="14">
        <f>IFERROR(_xlfn.XLOOKUP(VLOOKUP(tblEnlaces[[#This Row],[Canal]],tblCanales[#All],8,FALSE),tblPesosValorOperativo[Valor],tblPesosValorOperativo[Escalabilidad],0),0)</f>
        <v>0</v>
      </c>
      <c r="P280" s="53">
        <f>tblEnlaces[[#This Row],[Opacidad]]+tblEnlaces[[#This Row],[Escalabilidad]]+tblEnlaces[[#This Row],[Velocidad]]+tblEnlaces[[#This Row],[Trazabilidad]]</f>
        <v>0</v>
      </c>
    </row>
    <row r="281" spans="2:16" ht="16.5" customHeight="1" x14ac:dyDescent="0.25">
      <c r="B281" s="66" t="str">
        <f t="array" ref="B28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81" s="10" t="e">
        <f>VLOOKUP(tblEnlaces[[#This Row],[Nodo Inicial]],tblNodos[],2,FALSE)</f>
        <v>#N/A</v>
      </c>
      <c r="E281" s="39"/>
      <c r="F281" s="10" t="e">
        <f>VLOOKUP(tblEnlaces[[#This Row],[Nodo Final]],tblNodos[],2,FALSE)</f>
        <v>#N/A</v>
      </c>
      <c r="G281" s="39"/>
      <c r="I281" s="53">
        <f>IFERROR(_xlfn.XLOOKUP(VLOOKUP(tblEnlaces[[#This Row],[Canal]],tblCanales[#All],2,FALSE),tblPesosValorOperativo[Valor],tblPesosValorOperativo[Frecuencia de Uso],0),0)</f>
        <v>0</v>
      </c>
      <c r="J28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81" s="64">
        <f>IFERROR(_xlfn.XLOOKUP(VLOOKUP(tblEnlaces[[#This Row],[Canal]],tblCanales[#All],3,FALSE),tblPesosCoste[Valor],tblPesosCoste[Peso],0),0)</f>
        <v>0</v>
      </c>
      <c r="L281" s="10">
        <f>IFERROR(_xlfn.XLOOKUP(VLOOKUP(tblEnlaces[[#This Row],[Canal]],tblCanales[#All],5,FALSE),tblPesosValorOperativo[Valor],tblPesosValorOperativo[Opacidad],0),0)</f>
        <v>0</v>
      </c>
      <c r="M281" s="14">
        <f>IFERROR(_xlfn.XLOOKUP(VLOOKUP(tblEnlaces[[#This Row],[Canal]],tblCanales[#All],6,FALSE),tblPesosValorOperativo[Valor],tblPesosValorOperativo[Trazabilidad],0),0)</f>
        <v>0</v>
      </c>
      <c r="N281" s="14">
        <f>IFERROR(_xlfn.XLOOKUP(VLOOKUP(tblEnlaces[[#This Row],[Canal]],tblCanales[#All],7,FALSE),tblPesosValorOperativo[Valor],tblPesosValorOperativo[Velocidad],0),0)</f>
        <v>0</v>
      </c>
      <c r="O281" s="14">
        <f>IFERROR(_xlfn.XLOOKUP(VLOOKUP(tblEnlaces[[#This Row],[Canal]],tblCanales[#All],8,FALSE),tblPesosValorOperativo[Valor],tblPesosValorOperativo[Escalabilidad],0),0)</f>
        <v>0</v>
      </c>
      <c r="P281" s="53">
        <f>tblEnlaces[[#This Row],[Opacidad]]+tblEnlaces[[#This Row],[Escalabilidad]]+tblEnlaces[[#This Row],[Velocidad]]+tblEnlaces[[#This Row],[Trazabilidad]]</f>
        <v>0</v>
      </c>
    </row>
    <row r="282" spans="2:16" ht="16.5" customHeight="1" x14ac:dyDescent="0.25">
      <c r="B282" s="66" t="str">
        <f t="array" ref="B28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82" s="10" t="e">
        <f>VLOOKUP(tblEnlaces[[#This Row],[Nodo Inicial]],tblNodos[],2,FALSE)</f>
        <v>#N/A</v>
      </c>
      <c r="E282" s="39"/>
      <c r="F282" s="10" t="e">
        <f>VLOOKUP(tblEnlaces[[#This Row],[Nodo Final]],tblNodos[],2,FALSE)</f>
        <v>#N/A</v>
      </c>
      <c r="G282" s="39"/>
      <c r="I282" s="53">
        <f>IFERROR(_xlfn.XLOOKUP(VLOOKUP(tblEnlaces[[#This Row],[Canal]],tblCanales[#All],2,FALSE),tblPesosValorOperativo[Valor],tblPesosValorOperativo[Frecuencia de Uso],0),0)</f>
        <v>0</v>
      </c>
      <c r="J28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82" s="64">
        <f>IFERROR(_xlfn.XLOOKUP(VLOOKUP(tblEnlaces[[#This Row],[Canal]],tblCanales[#All],3,FALSE),tblPesosCoste[Valor],tblPesosCoste[Peso],0),0)</f>
        <v>0</v>
      </c>
      <c r="L282" s="10">
        <f>IFERROR(_xlfn.XLOOKUP(VLOOKUP(tblEnlaces[[#This Row],[Canal]],tblCanales[#All],5,FALSE),tblPesosValorOperativo[Valor],tblPesosValorOperativo[Opacidad],0),0)</f>
        <v>0</v>
      </c>
      <c r="M282" s="14">
        <f>IFERROR(_xlfn.XLOOKUP(VLOOKUP(tblEnlaces[[#This Row],[Canal]],tblCanales[#All],6,FALSE),tblPesosValorOperativo[Valor],tblPesosValorOperativo[Trazabilidad],0),0)</f>
        <v>0</v>
      </c>
      <c r="N282" s="14">
        <f>IFERROR(_xlfn.XLOOKUP(VLOOKUP(tblEnlaces[[#This Row],[Canal]],tblCanales[#All],7,FALSE),tblPesosValorOperativo[Valor],tblPesosValorOperativo[Velocidad],0),0)</f>
        <v>0</v>
      </c>
      <c r="O282" s="14">
        <f>IFERROR(_xlfn.XLOOKUP(VLOOKUP(tblEnlaces[[#This Row],[Canal]],tblCanales[#All],8,FALSE),tblPesosValorOperativo[Valor],tblPesosValorOperativo[Escalabilidad],0),0)</f>
        <v>0</v>
      </c>
      <c r="P282" s="53">
        <f>tblEnlaces[[#This Row],[Opacidad]]+tblEnlaces[[#This Row],[Escalabilidad]]+tblEnlaces[[#This Row],[Velocidad]]+tblEnlaces[[#This Row],[Trazabilidad]]</f>
        <v>0</v>
      </c>
    </row>
    <row r="283" spans="2:16" ht="16.5" customHeight="1" x14ac:dyDescent="0.25">
      <c r="B283" s="66" t="str">
        <f t="array" ref="B28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83" s="10" t="e">
        <f>VLOOKUP(tblEnlaces[[#This Row],[Nodo Inicial]],tblNodos[],2,FALSE)</f>
        <v>#N/A</v>
      </c>
      <c r="E283" s="39"/>
      <c r="F283" s="10" t="e">
        <f>VLOOKUP(tblEnlaces[[#This Row],[Nodo Final]],tblNodos[],2,FALSE)</f>
        <v>#N/A</v>
      </c>
      <c r="G283" s="39"/>
      <c r="I283" s="53">
        <f>IFERROR(_xlfn.XLOOKUP(VLOOKUP(tblEnlaces[[#This Row],[Canal]],tblCanales[#All],2,FALSE),tblPesosValorOperativo[Valor],tblPesosValorOperativo[Frecuencia de Uso],0),0)</f>
        <v>0</v>
      </c>
      <c r="J28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83" s="64">
        <f>IFERROR(_xlfn.XLOOKUP(VLOOKUP(tblEnlaces[[#This Row],[Canal]],tblCanales[#All],3,FALSE),tblPesosCoste[Valor],tblPesosCoste[Peso],0),0)</f>
        <v>0</v>
      </c>
      <c r="L283" s="10">
        <f>IFERROR(_xlfn.XLOOKUP(VLOOKUP(tblEnlaces[[#This Row],[Canal]],tblCanales[#All],5,FALSE),tblPesosValorOperativo[Valor],tblPesosValorOperativo[Opacidad],0),0)</f>
        <v>0</v>
      </c>
      <c r="M283" s="14">
        <f>IFERROR(_xlfn.XLOOKUP(VLOOKUP(tblEnlaces[[#This Row],[Canal]],tblCanales[#All],6,FALSE),tblPesosValorOperativo[Valor],tblPesosValorOperativo[Trazabilidad],0),0)</f>
        <v>0</v>
      </c>
      <c r="N283" s="14">
        <f>IFERROR(_xlfn.XLOOKUP(VLOOKUP(tblEnlaces[[#This Row],[Canal]],tblCanales[#All],7,FALSE),tblPesosValorOperativo[Valor],tblPesosValorOperativo[Velocidad],0),0)</f>
        <v>0</v>
      </c>
      <c r="O283" s="14">
        <f>IFERROR(_xlfn.XLOOKUP(VLOOKUP(tblEnlaces[[#This Row],[Canal]],tblCanales[#All],8,FALSE),tblPesosValorOperativo[Valor],tblPesosValorOperativo[Escalabilidad],0),0)</f>
        <v>0</v>
      </c>
      <c r="P283" s="53">
        <f>tblEnlaces[[#This Row],[Opacidad]]+tblEnlaces[[#This Row],[Escalabilidad]]+tblEnlaces[[#This Row],[Velocidad]]+tblEnlaces[[#This Row],[Trazabilidad]]</f>
        <v>0</v>
      </c>
    </row>
    <row r="284" spans="2:16" ht="16.5" customHeight="1" x14ac:dyDescent="0.25">
      <c r="B284" s="66" t="str">
        <f t="array" ref="B28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84" s="10" t="e">
        <f>VLOOKUP(tblEnlaces[[#This Row],[Nodo Inicial]],tblNodos[],2,FALSE)</f>
        <v>#N/A</v>
      </c>
      <c r="E284" s="39"/>
      <c r="F284" s="10" t="e">
        <f>VLOOKUP(tblEnlaces[[#This Row],[Nodo Final]],tblNodos[],2,FALSE)</f>
        <v>#N/A</v>
      </c>
      <c r="G284" s="39"/>
      <c r="I284" s="53">
        <f>IFERROR(_xlfn.XLOOKUP(VLOOKUP(tblEnlaces[[#This Row],[Canal]],tblCanales[#All],2,FALSE),tblPesosValorOperativo[Valor],tblPesosValorOperativo[Frecuencia de Uso],0),0)</f>
        <v>0</v>
      </c>
      <c r="J28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84" s="64">
        <f>IFERROR(_xlfn.XLOOKUP(VLOOKUP(tblEnlaces[[#This Row],[Canal]],tblCanales[#All],3,FALSE),tblPesosCoste[Valor],tblPesosCoste[Peso],0),0)</f>
        <v>0</v>
      </c>
      <c r="L284" s="10">
        <f>IFERROR(_xlfn.XLOOKUP(VLOOKUP(tblEnlaces[[#This Row],[Canal]],tblCanales[#All],5,FALSE),tblPesosValorOperativo[Valor],tblPesosValorOperativo[Opacidad],0),0)</f>
        <v>0</v>
      </c>
      <c r="M284" s="14">
        <f>IFERROR(_xlfn.XLOOKUP(VLOOKUP(tblEnlaces[[#This Row],[Canal]],tblCanales[#All],6,FALSE),tblPesosValorOperativo[Valor],tblPesosValorOperativo[Trazabilidad],0),0)</f>
        <v>0</v>
      </c>
      <c r="N284" s="14">
        <f>IFERROR(_xlfn.XLOOKUP(VLOOKUP(tblEnlaces[[#This Row],[Canal]],tblCanales[#All],7,FALSE),tblPesosValorOperativo[Valor],tblPesosValorOperativo[Velocidad],0),0)</f>
        <v>0</v>
      </c>
      <c r="O284" s="14">
        <f>IFERROR(_xlfn.XLOOKUP(VLOOKUP(tblEnlaces[[#This Row],[Canal]],tblCanales[#All],8,FALSE),tblPesosValorOperativo[Valor],tblPesosValorOperativo[Escalabilidad],0),0)</f>
        <v>0</v>
      </c>
      <c r="P284" s="53">
        <f>tblEnlaces[[#This Row],[Opacidad]]+tblEnlaces[[#This Row],[Escalabilidad]]+tblEnlaces[[#This Row],[Velocidad]]+tblEnlaces[[#This Row],[Trazabilidad]]</f>
        <v>0</v>
      </c>
    </row>
    <row r="285" spans="2:16" ht="16.5" customHeight="1" x14ac:dyDescent="0.25">
      <c r="B285" s="66" t="str">
        <f t="array" ref="B28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85" s="10" t="e">
        <f>VLOOKUP(tblEnlaces[[#This Row],[Nodo Inicial]],tblNodos[],2,FALSE)</f>
        <v>#N/A</v>
      </c>
      <c r="E285" s="39"/>
      <c r="F285" s="10" t="e">
        <f>VLOOKUP(tblEnlaces[[#This Row],[Nodo Final]],tblNodos[],2,FALSE)</f>
        <v>#N/A</v>
      </c>
      <c r="G285" s="39"/>
      <c r="I285" s="53">
        <f>IFERROR(_xlfn.XLOOKUP(VLOOKUP(tblEnlaces[[#This Row],[Canal]],tblCanales[#All],2,FALSE),tblPesosValorOperativo[Valor],tblPesosValorOperativo[Frecuencia de Uso],0),0)</f>
        <v>0</v>
      </c>
      <c r="J28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85" s="64">
        <f>IFERROR(_xlfn.XLOOKUP(VLOOKUP(tblEnlaces[[#This Row],[Canal]],tblCanales[#All],3,FALSE),tblPesosCoste[Valor],tblPesosCoste[Peso],0),0)</f>
        <v>0</v>
      </c>
      <c r="L285" s="10">
        <f>IFERROR(_xlfn.XLOOKUP(VLOOKUP(tblEnlaces[[#This Row],[Canal]],tblCanales[#All],5,FALSE),tblPesosValorOperativo[Valor],tblPesosValorOperativo[Opacidad],0),0)</f>
        <v>0</v>
      </c>
      <c r="M285" s="14">
        <f>IFERROR(_xlfn.XLOOKUP(VLOOKUP(tblEnlaces[[#This Row],[Canal]],tblCanales[#All],6,FALSE),tblPesosValorOperativo[Valor],tblPesosValorOperativo[Trazabilidad],0),0)</f>
        <v>0</v>
      </c>
      <c r="N285" s="14">
        <f>IFERROR(_xlfn.XLOOKUP(VLOOKUP(tblEnlaces[[#This Row],[Canal]],tblCanales[#All],7,FALSE),tblPesosValorOperativo[Valor],tblPesosValorOperativo[Velocidad],0),0)</f>
        <v>0</v>
      </c>
      <c r="O285" s="14">
        <f>IFERROR(_xlfn.XLOOKUP(VLOOKUP(tblEnlaces[[#This Row],[Canal]],tblCanales[#All],8,FALSE),tblPesosValorOperativo[Valor],tblPesosValorOperativo[Escalabilidad],0),0)</f>
        <v>0</v>
      </c>
      <c r="P285" s="53">
        <f>tblEnlaces[[#This Row],[Opacidad]]+tblEnlaces[[#This Row],[Escalabilidad]]+tblEnlaces[[#This Row],[Velocidad]]+tblEnlaces[[#This Row],[Trazabilidad]]</f>
        <v>0</v>
      </c>
    </row>
    <row r="286" spans="2:16" ht="16.5" customHeight="1" x14ac:dyDescent="0.25">
      <c r="B286" s="66" t="str">
        <f t="array" ref="B28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86" s="10" t="e">
        <f>VLOOKUP(tblEnlaces[[#This Row],[Nodo Inicial]],tblNodos[],2,FALSE)</f>
        <v>#N/A</v>
      </c>
      <c r="E286" s="39"/>
      <c r="F286" s="10" t="e">
        <f>VLOOKUP(tblEnlaces[[#This Row],[Nodo Final]],tblNodos[],2,FALSE)</f>
        <v>#N/A</v>
      </c>
      <c r="G286" s="39"/>
      <c r="I286" s="53">
        <f>IFERROR(_xlfn.XLOOKUP(VLOOKUP(tblEnlaces[[#This Row],[Canal]],tblCanales[#All],2,FALSE),tblPesosValorOperativo[Valor],tblPesosValorOperativo[Frecuencia de Uso],0),0)</f>
        <v>0</v>
      </c>
      <c r="J28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86" s="64">
        <f>IFERROR(_xlfn.XLOOKUP(VLOOKUP(tblEnlaces[[#This Row],[Canal]],tblCanales[#All],3,FALSE),tblPesosCoste[Valor],tblPesosCoste[Peso],0),0)</f>
        <v>0</v>
      </c>
      <c r="L286" s="10">
        <f>IFERROR(_xlfn.XLOOKUP(VLOOKUP(tblEnlaces[[#This Row],[Canal]],tblCanales[#All],5,FALSE),tblPesosValorOperativo[Valor],tblPesosValorOperativo[Opacidad],0),0)</f>
        <v>0</v>
      </c>
      <c r="M286" s="14">
        <f>IFERROR(_xlfn.XLOOKUP(VLOOKUP(tblEnlaces[[#This Row],[Canal]],tblCanales[#All],6,FALSE),tblPesosValorOperativo[Valor],tblPesosValorOperativo[Trazabilidad],0),0)</f>
        <v>0</v>
      </c>
      <c r="N286" s="14">
        <f>IFERROR(_xlfn.XLOOKUP(VLOOKUP(tblEnlaces[[#This Row],[Canal]],tblCanales[#All],7,FALSE),tblPesosValorOperativo[Valor],tblPesosValorOperativo[Velocidad],0),0)</f>
        <v>0</v>
      </c>
      <c r="O286" s="14">
        <f>IFERROR(_xlfn.XLOOKUP(VLOOKUP(tblEnlaces[[#This Row],[Canal]],tblCanales[#All],8,FALSE),tblPesosValorOperativo[Valor],tblPesosValorOperativo[Escalabilidad],0),0)</f>
        <v>0</v>
      </c>
      <c r="P286" s="53">
        <f>tblEnlaces[[#This Row],[Opacidad]]+tblEnlaces[[#This Row],[Escalabilidad]]+tblEnlaces[[#This Row],[Velocidad]]+tblEnlaces[[#This Row],[Trazabilidad]]</f>
        <v>0</v>
      </c>
    </row>
    <row r="287" spans="2:16" ht="16.5" customHeight="1" x14ac:dyDescent="0.25">
      <c r="B287" s="66" t="str">
        <f t="array" ref="B28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87" s="10" t="e">
        <f>VLOOKUP(tblEnlaces[[#This Row],[Nodo Inicial]],tblNodos[],2,FALSE)</f>
        <v>#N/A</v>
      </c>
      <c r="E287" s="39"/>
      <c r="F287" s="10" t="e">
        <f>VLOOKUP(tblEnlaces[[#This Row],[Nodo Final]],tblNodos[],2,FALSE)</f>
        <v>#N/A</v>
      </c>
      <c r="G287" s="39"/>
      <c r="I287" s="53">
        <f>IFERROR(_xlfn.XLOOKUP(VLOOKUP(tblEnlaces[[#This Row],[Canal]],tblCanales[#All],2,FALSE),tblPesosValorOperativo[Valor],tblPesosValorOperativo[Frecuencia de Uso],0),0)</f>
        <v>0</v>
      </c>
      <c r="J28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87" s="64">
        <f>IFERROR(_xlfn.XLOOKUP(VLOOKUP(tblEnlaces[[#This Row],[Canal]],tblCanales[#All],3,FALSE),tblPesosCoste[Valor],tblPesosCoste[Peso],0),0)</f>
        <v>0</v>
      </c>
      <c r="L287" s="10">
        <f>IFERROR(_xlfn.XLOOKUP(VLOOKUP(tblEnlaces[[#This Row],[Canal]],tblCanales[#All],5,FALSE),tblPesosValorOperativo[Valor],tblPesosValorOperativo[Opacidad],0),0)</f>
        <v>0</v>
      </c>
      <c r="M287" s="14">
        <f>IFERROR(_xlfn.XLOOKUP(VLOOKUP(tblEnlaces[[#This Row],[Canal]],tblCanales[#All],6,FALSE),tblPesosValorOperativo[Valor],tblPesosValorOperativo[Trazabilidad],0),0)</f>
        <v>0</v>
      </c>
      <c r="N287" s="14">
        <f>IFERROR(_xlfn.XLOOKUP(VLOOKUP(tblEnlaces[[#This Row],[Canal]],tblCanales[#All],7,FALSE),tblPesosValorOperativo[Valor],tblPesosValorOperativo[Velocidad],0),0)</f>
        <v>0</v>
      </c>
      <c r="O287" s="14">
        <f>IFERROR(_xlfn.XLOOKUP(VLOOKUP(tblEnlaces[[#This Row],[Canal]],tblCanales[#All],8,FALSE),tblPesosValorOperativo[Valor],tblPesosValorOperativo[Escalabilidad],0),0)</f>
        <v>0</v>
      </c>
      <c r="P287" s="53">
        <f>tblEnlaces[[#This Row],[Opacidad]]+tblEnlaces[[#This Row],[Escalabilidad]]+tblEnlaces[[#This Row],[Velocidad]]+tblEnlaces[[#This Row],[Trazabilidad]]</f>
        <v>0</v>
      </c>
    </row>
    <row r="288" spans="2:16" ht="16.5" customHeight="1" x14ac:dyDescent="0.25">
      <c r="B288" s="66" t="str">
        <f t="array" ref="B28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88" s="10" t="e">
        <f>VLOOKUP(tblEnlaces[[#This Row],[Nodo Inicial]],tblNodos[],2,FALSE)</f>
        <v>#N/A</v>
      </c>
      <c r="E288" s="39"/>
      <c r="F288" s="10" t="e">
        <f>VLOOKUP(tblEnlaces[[#This Row],[Nodo Final]],tblNodos[],2,FALSE)</f>
        <v>#N/A</v>
      </c>
      <c r="G288" s="39"/>
      <c r="I288" s="53">
        <f>IFERROR(_xlfn.XLOOKUP(VLOOKUP(tblEnlaces[[#This Row],[Canal]],tblCanales[#All],2,FALSE),tblPesosValorOperativo[Valor],tblPesosValorOperativo[Frecuencia de Uso],0),0)</f>
        <v>0</v>
      </c>
      <c r="J28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88" s="64">
        <f>IFERROR(_xlfn.XLOOKUP(VLOOKUP(tblEnlaces[[#This Row],[Canal]],tblCanales[#All],3,FALSE),tblPesosCoste[Valor],tblPesosCoste[Peso],0),0)</f>
        <v>0</v>
      </c>
      <c r="L288" s="10">
        <f>IFERROR(_xlfn.XLOOKUP(VLOOKUP(tblEnlaces[[#This Row],[Canal]],tblCanales[#All],5,FALSE),tblPesosValorOperativo[Valor],tblPesosValorOperativo[Opacidad],0),0)</f>
        <v>0</v>
      </c>
      <c r="M288" s="14">
        <f>IFERROR(_xlfn.XLOOKUP(VLOOKUP(tblEnlaces[[#This Row],[Canal]],tblCanales[#All],6,FALSE),tblPesosValorOperativo[Valor],tblPesosValorOperativo[Trazabilidad],0),0)</f>
        <v>0</v>
      </c>
      <c r="N288" s="14">
        <f>IFERROR(_xlfn.XLOOKUP(VLOOKUP(tblEnlaces[[#This Row],[Canal]],tblCanales[#All],7,FALSE),tblPesosValorOperativo[Valor],tblPesosValorOperativo[Velocidad],0),0)</f>
        <v>0</v>
      </c>
      <c r="O288" s="14">
        <f>IFERROR(_xlfn.XLOOKUP(VLOOKUP(tblEnlaces[[#This Row],[Canal]],tblCanales[#All],8,FALSE),tblPesosValorOperativo[Valor],tblPesosValorOperativo[Escalabilidad],0),0)</f>
        <v>0</v>
      </c>
      <c r="P288" s="53">
        <f>tblEnlaces[[#This Row],[Opacidad]]+tblEnlaces[[#This Row],[Escalabilidad]]+tblEnlaces[[#This Row],[Velocidad]]+tblEnlaces[[#This Row],[Trazabilidad]]</f>
        <v>0</v>
      </c>
    </row>
    <row r="289" spans="2:16" ht="16.5" customHeight="1" x14ac:dyDescent="0.25">
      <c r="B289" s="66" t="str">
        <f t="array" ref="B28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89" s="10" t="e">
        <f>VLOOKUP(tblEnlaces[[#This Row],[Nodo Inicial]],tblNodos[],2,FALSE)</f>
        <v>#N/A</v>
      </c>
      <c r="E289" s="39"/>
      <c r="F289" s="10" t="e">
        <f>VLOOKUP(tblEnlaces[[#This Row],[Nodo Final]],tblNodos[],2,FALSE)</f>
        <v>#N/A</v>
      </c>
      <c r="G289" s="39"/>
      <c r="I289" s="53">
        <f>IFERROR(_xlfn.XLOOKUP(VLOOKUP(tblEnlaces[[#This Row],[Canal]],tblCanales[#All],2,FALSE),tblPesosValorOperativo[Valor],tblPesosValorOperativo[Frecuencia de Uso],0),0)</f>
        <v>0</v>
      </c>
      <c r="J28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89" s="64">
        <f>IFERROR(_xlfn.XLOOKUP(VLOOKUP(tblEnlaces[[#This Row],[Canal]],tblCanales[#All],3,FALSE),tblPesosCoste[Valor],tblPesosCoste[Peso],0),0)</f>
        <v>0</v>
      </c>
      <c r="L289" s="10">
        <f>IFERROR(_xlfn.XLOOKUP(VLOOKUP(tblEnlaces[[#This Row],[Canal]],tblCanales[#All],5,FALSE),tblPesosValorOperativo[Valor],tblPesosValorOperativo[Opacidad],0),0)</f>
        <v>0</v>
      </c>
      <c r="M289" s="14">
        <f>IFERROR(_xlfn.XLOOKUP(VLOOKUP(tblEnlaces[[#This Row],[Canal]],tblCanales[#All],6,FALSE),tblPesosValorOperativo[Valor],tblPesosValorOperativo[Trazabilidad],0),0)</f>
        <v>0</v>
      </c>
      <c r="N289" s="14">
        <f>IFERROR(_xlfn.XLOOKUP(VLOOKUP(tblEnlaces[[#This Row],[Canal]],tblCanales[#All],7,FALSE),tblPesosValorOperativo[Valor],tblPesosValorOperativo[Velocidad],0),0)</f>
        <v>0</v>
      </c>
      <c r="O289" s="14">
        <f>IFERROR(_xlfn.XLOOKUP(VLOOKUP(tblEnlaces[[#This Row],[Canal]],tblCanales[#All],8,FALSE),tblPesosValorOperativo[Valor],tblPesosValorOperativo[Escalabilidad],0),0)</f>
        <v>0</v>
      </c>
      <c r="P289" s="53">
        <f>tblEnlaces[[#This Row],[Opacidad]]+tblEnlaces[[#This Row],[Escalabilidad]]+tblEnlaces[[#This Row],[Velocidad]]+tblEnlaces[[#This Row],[Trazabilidad]]</f>
        <v>0</v>
      </c>
    </row>
    <row r="290" spans="2:16" ht="16.5" customHeight="1" x14ac:dyDescent="0.25">
      <c r="B290" s="66" t="str">
        <f t="array" ref="B29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90" s="10" t="e">
        <f>VLOOKUP(tblEnlaces[[#This Row],[Nodo Inicial]],tblNodos[],2,FALSE)</f>
        <v>#N/A</v>
      </c>
      <c r="E290" s="39"/>
      <c r="F290" s="10" t="e">
        <f>VLOOKUP(tblEnlaces[[#This Row],[Nodo Final]],tblNodos[],2,FALSE)</f>
        <v>#N/A</v>
      </c>
      <c r="G290" s="39"/>
      <c r="I290" s="53">
        <f>IFERROR(_xlfn.XLOOKUP(VLOOKUP(tblEnlaces[[#This Row],[Canal]],tblCanales[#All],2,FALSE),tblPesosValorOperativo[Valor],tblPesosValorOperativo[Frecuencia de Uso],0),0)</f>
        <v>0</v>
      </c>
      <c r="J29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90" s="64">
        <f>IFERROR(_xlfn.XLOOKUP(VLOOKUP(tblEnlaces[[#This Row],[Canal]],tblCanales[#All],3,FALSE),tblPesosCoste[Valor],tblPesosCoste[Peso],0),0)</f>
        <v>0</v>
      </c>
      <c r="L290" s="10">
        <f>IFERROR(_xlfn.XLOOKUP(VLOOKUP(tblEnlaces[[#This Row],[Canal]],tblCanales[#All],5,FALSE),tblPesosValorOperativo[Valor],tblPesosValorOperativo[Opacidad],0),0)</f>
        <v>0</v>
      </c>
      <c r="M290" s="14">
        <f>IFERROR(_xlfn.XLOOKUP(VLOOKUP(tblEnlaces[[#This Row],[Canal]],tblCanales[#All],6,FALSE),tblPesosValorOperativo[Valor],tblPesosValorOperativo[Trazabilidad],0),0)</f>
        <v>0</v>
      </c>
      <c r="N290" s="14">
        <f>IFERROR(_xlfn.XLOOKUP(VLOOKUP(tblEnlaces[[#This Row],[Canal]],tblCanales[#All],7,FALSE),tblPesosValorOperativo[Valor],tblPesosValorOperativo[Velocidad],0),0)</f>
        <v>0</v>
      </c>
      <c r="O290" s="14">
        <f>IFERROR(_xlfn.XLOOKUP(VLOOKUP(tblEnlaces[[#This Row],[Canal]],tblCanales[#All],8,FALSE),tblPesosValorOperativo[Valor],tblPesosValorOperativo[Escalabilidad],0),0)</f>
        <v>0</v>
      </c>
      <c r="P290" s="53">
        <f>tblEnlaces[[#This Row],[Opacidad]]+tblEnlaces[[#This Row],[Escalabilidad]]+tblEnlaces[[#This Row],[Velocidad]]+tblEnlaces[[#This Row],[Trazabilidad]]</f>
        <v>0</v>
      </c>
    </row>
    <row r="291" spans="2:16" ht="16.5" customHeight="1" x14ac:dyDescent="0.25">
      <c r="B291" s="66" t="str">
        <f t="array" ref="B29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91" s="10" t="e">
        <f>VLOOKUP(tblEnlaces[[#This Row],[Nodo Inicial]],tblNodos[],2,FALSE)</f>
        <v>#N/A</v>
      </c>
      <c r="E291" s="39"/>
      <c r="F291" s="10" t="e">
        <f>VLOOKUP(tblEnlaces[[#This Row],[Nodo Final]],tblNodos[],2,FALSE)</f>
        <v>#N/A</v>
      </c>
      <c r="G291" s="39"/>
      <c r="I291" s="53">
        <f>IFERROR(_xlfn.XLOOKUP(VLOOKUP(tblEnlaces[[#This Row],[Canal]],tblCanales[#All],2,FALSE),tblPesosValorOperativo[Valor],tblPesosValorOperativo[Frecuencia de Uso],0),0)</f>
        <v>0</v>
      </c>
      <c r="J29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91" s="64">
        <f>IFERROR(_xlfn.XLOOKUP(VLOOKUP(tblEnlaces[[#This Row],[Canal]],tblCanales[#All],3,FALSE),tblPesosCoste[Valor],tblPesosCoste[Peso],0),0)</f>
        <v>0</v>
      </c>
      <c r="L291" s="10">
        <f>IFERROR(_xlfn.XLOOKUP(VLOOKUP(tblEnlaces[[#This Row],[Canal]],tblCanales[#All],5,FALSE),tblPesosValorOperativo[Valor],tblPesosValorOperativo[Opacidad],0),0)</f>
        <v>0</v>
      </c>
      <c r="M291" s="14">
        <f>IFERROR(_xlfn.XLOOKUP(VLOOKUP(tblEnlaces[[#This Row],[Canal]],tblCanales[#All],6,FALSE),tblPesosValorOperativo[Valor],tblPesosValorOperativo[Trazabilidad],0),0)</f>
        <v>0</v>
      </c>
      <c r="N291" s="14">
        <f>IFERROR(_xlfn.XLOOKUP(VLOOKUP(tblEnlaces[[#This Row],[Canal]],tblCanales[#All],7,FALSE),tblPesosValorOperativo[Valor],tblPesosValorOperativo[Velocidad],0),0)</f>
        <v>0</v>
      </c>
      <c r="O291" s="14">
        <f>IFERROR(_xlfn.XLOOKUP(VLOOKUP(tblEnlaces[[#This Row],[Canal]],tblCanales[#All],8,FALSE),tblPesosValorOperativo[Valor],tblPesosValorOperativo[Escalabilidad],0),0)</f>
        <v>0</v>
      </c>
      <c r="P291" s="53">
        <f>tblEnlaces[[#This Row],[Opacidad]]+tblEnlaces[[#This Row],[Escalabilidad]]+tblEnlaces[[#This Row],[Velocidad]]+tblEnlaces[[#This Row],[Trazabilidad]]</f>
        <v>0</v>
      </c>
    </row>
    <row r="292" spans="2:16" ht="16.5" customHeight="1" x14ac:dyDescent="0.25">
      <c r="B292" s="66" t="str">
        <f t="array" ref="B29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92" s="10" t="e">
        <f>VLOOKUP(tblEnlaces[[#This Row],[Nodo Inicial]],tblNodos[],2,FALSE)</f>
        <v>#N/A</v>
      </c>
      <c r="E292" s="39"/>
      <c r="F292" s="10" t="e">
        <f>VLOOKUP(tblEnlaces[[#This Row],[Nodo Final]],tblNodos[],2,FALSE)</f>
        <v>#N/A</v>
      </c>
      <c r="G292" s="39"/>
      <c r="I292" s="53">
        <f>IFERROR(_xlfn.XLOOKUP(VLOOKUP(tblEnlaces[[#This Row],[Canal]],tblCanales[#All],2,FALSE),tblPesosValorOperativo[Valor],tblPesosValorOperativo[Frecuencia de Uso],0),0)</f>
        <v>0</v>
      </c>
      <c r="J29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92" s="64">
        <f>IFERROR(_xlfn.XLOOKUP(VLOOKUP(tblEnlaces[[#This Row],[Canal]],tblCanales[#All],3,FALSE),tblPesosCoste[Valor],tblPesosCoste[Peso],0),0)</f>
        <v>0</v>
      </c>
      <c r="L292" s="10">
        <f>IFERROR(_xlfn.XLOOKUP(VLOOKUP(tblEnlaces[[#This Row],[Canal]],tblCanales[#All],5,FALSE),tblPesosValorOperativo[Valor],tblPesosValorOperativo[Opacidad],0),0)</f>
        <v>0</v>
      </c>
      <c r="M292" s="14">
        <f>IFERROR(_xlfn.XLOOKUP(VLOOKUP(tblEnlaces[[#This Row],[Canal]],tblCanales[#All],6,FALSE),tblPesosValorOperativo[Valor],tblPesosValorOperativo[Trazabilidad],0),0)</f>
        <v>0</v>
      </c>
      <c r="N292" s="14">
        <f>IFERROR(_xlfn.XLOOKUP(VLOOKUP(tblEnlaces[[#This Row],[Canal]],tblCanales[#All],7,FALSE),tblPesosValorOperativo[Valor],tblPesosValorOperativo[Velocidad],0),0)</f>
        <v>0</v>
      </c>
      <c r="O292" s="14">
        <f>IFERROR(_xlfn.XLOOKUP(VLOOKUP(tblEnlaces[[#This Row],[Canal]],tblCanales[#All],8,FALSE),tblPesosValorOperativo[Valor],tblPesosValorOperativo[Escalabilidad],0),0)</f>
        <v>0</v>
      </c>
      <c r="P292" s="53">
        <f>tblEnlaces[[#This Row],[Opacidad]]+tblEnlaces[[#This Row],[Escalabilidad]]+tblEnlaces[[#This Row],[Velocidad]]+tblEnlaces[[#This Row],[Trazabilidad]]</f>
        <v>0</v>
      </c>
    </row>
    <row r="293" spans="2:16" ht="16.5" customHeight="1" x14ac:dyDescent="0.25">
      <c r="B293" s="66" t="str">
        <f t="array" ref="B29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93" s="10" t="e">
        <f>VLOOKUP(tblEnlaces[[#This Row],[Nodo Inicial]],tblNodos[],2,FALSE)</f>
        <v>#N/A</v>
      </c>
      <c r="E293" s="39"/>
      <c r="F293" s="10" t="e">
        <f>VLOOKUP(tblEnlaces[[#This Row],[Nodo Final]],tblNodos[],2,FALSE)</f>
        <v>#N/A</v>
      </c>
      <c r="G293" s="39"/>
      <c r="I293" s="53">
        <f>IFERROR(_xlfn.XLOOKUP(VLOOKUP(tblEnlaces[[#This Row],[Canal]],tblCanales[#All],2,FALSE),tblPesosValorOperativo[Valor],tblPesosValorOperativo[Frecuencia de Uso],0),0)</f>
        <v>0</v>
      </c>
      <c r="J29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93" s="64">
        <f>IFERROR(_xlfn.XLOOKUP(VLOOKUP(tblEnlaces[[#This Row],[Canal]],tblCanales[#All],3,FALSE),tblPesosCoste[Valor],tblPesosCoste[Peso],0),0)</f>
        <v>0</v>
      </c>
      <c r="L293" s="10">
        <f>IFERROR(_xlfn.XLOOKUP(VLOOKUP(tblEnlaces[[#This Row],[Canal]],tblCanales[#All],5,FALSE),tblPesosValorOperativo[Valor],tblPesosValorOperativo[Opacidad],0),0)</f>
        <v>0</v>
      </c>
      <c r="M293" s="14">
        <f>IFERROR(_xlfn.XLOOKUP(VLOOKUP(tblEnlaces[[#This Row],[Canal]],tblCanales[#All],6,FALSE),tblPesosValorOperativo[Valor],tblPesosValorOperativo[Trazabilidad],0),0)</f>
        <v>0</v>
      </c>
      <c r="N293" s="14">
        <f>IFERROR(_xlfn.XLOOKUP(VLOOKUP(tblEnlaces[[#This Row],[Canal]],tblCanales[#All],7,FALSE),tblPesosValorOperativo[Valor],tblPesosValorOperativo[Velocidad],0),0)</f>
        <v>0</v>
      </c>
      <c r="O293" s="14">
        <f>IFERROR(_xlfn.XLOOKUP(VLOOKUP(tblEnlaces[[#This Row],[Canal]],tblCanales[#All],8,FALSE),tblPesosValorOperativo[Valor],tblPesosValorOperativo[Escalabilidad],0),0)</f>
        <v>0</v>
      </c>
      <c r="P293" s="53">
        <f>tblEnlaces[[#This Row],[Opacidad]]+tblEnlaces[[#This Row],[Escalabilidad]]+tblEnlaces[[#This Row],[Velocidad]]+tblEnlaces[[#This Row],[Trazabilidad]]</f>
        <v>0</v>
      </c>
    </row>
    <row r="294" spans="2:16" ht="16.5" customHeight="1" x14ac:dyDescent="0.25">
      <c r="B294" s="66" t="str">
        <f t="array" ref="B29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94" s="10" t="e">
        <f>VLOOKUP(tblEnlaces[[#This Row],[Nodo Inicial]],tblNodos[],2,FALSE)</f>
        <v>#N/A</v>
      </c>
      <c r="E294" s="39"/>
      <c r="F294" s="10" t="e">
        <f>VLOOKUP(tblEnlaces[[#This Row],[Nodo Final]],tblNodos[],2,FALSE)</f>
        <v>#N/A</v>
      </c>
      <c r="G294" s="39"/>
      <c r="I294" s="53">
        <f>IFERROR(_xlfn.XLOOKUP(VLOOKUP(tblEnlaces[[#This Row],[Canal]],tblCanales[#All],2,FALSE),tblPesosValorOperativo[Valor],tblPesosValorOperativo[Frecuencia de Uso],0),0)</f>
        <v>0</v>
      </c>
      <c r="J29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94" s="64">
        <f>IFERROR(_xlfn.XLOOKUP(VLOOKUP(tblEnlaces[[#This Row],[Canal]],tblCanales[#All],3,FALSE),tblPesosCoste[Valor],tblPesosCoste[Peso],0),0)</f>
        <v>0</v>
      </c>
      <c r="L294" s="10">
        <f>IFERROR(_xlfn.XLOOKUP(VLOOKUP(tblEnlaces[[#This Row],[Canal]],tblCanales[#All],5,FALSE),tblPesosValorOperativo[Valor],tblPesosValorOperativo[Opacidad],0),0)</f>
        <v>0</v>
      </c>
      <c r="M294" s="14">
        <f>IFERROR(_xlfn.XLOOKUP(VLOOKUP(tblEnlaces[[#This Row],[Canal]],tblCanales[#All],6,FALSE),tblPesosValorOperativo[Valor],tblPesosValorOperativo[Trazabilidad],0),0)</f>
        <v>0</v>
      </c>
      <c r="N294" s="14">
        <f>IFERROR(_xlfn.XLOOKUP(VLOOKUP(tblEnlaces[[#This Row],[Canal]],tblCanales[#All],7,FALSE),tblPesosValorOperativo[Valor],tblPesosValorOperativo[Velocidad],0),0)</f>
        <v>0</v>
      </c>
      <c r="O294" s="14">
        <f>IFERROR(_xlfn.XLOOKUP(VLOOKUP(tblEnlaces[[#This Row],[Canal]],tblCanales[#All],8,FALSE),tblPesosValorOperativo[Valor],tblPesosValorOperativo[Escalabilidad],0),0)</f>
        <v>0</v>
      </c>
      <c r="P294" s="53">
        <f>tblEnlaces[[#This Row],[Opacidad]]+tblEnlaces[[#This Row],[Escalabilidad]]+tblEnlaces[[#This Row],[Velocidad]]+tblEnlaces[[#This Row],[Trazabilidad]]</f>
        <v>0</v>
      </c>
    </row>
    <row r="295" spans="2:16" ht="16.5" customHeight="1" x14ac:dyDescent="0.25">
      <c r="B295" s="66" t="str">
        <f t="array" ref="B29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95" s="10" t="e">
        <f>VLOOKUP(tblEnlaces[[#This Row],[Nodo Inicial]],tblNodos[],2,FALSE)</f>
        <v>#N/A</v>
      </c>
      <c r="E295" s="39"/>
      <c r="F295" s="10" t="e">
        <f>VLOOKUP(tblEnlaces[[#This Row],[Nodo Final]],tblNodos[],2,FALSE)</f>
        <v>#N/A</v>
      </c>
      <c r="G295" s="39"/>
      <c r="I295" s="53">
        <f>IFERROR(_xlfn.XLOOKUP(VLOOKUP(tblEnlaces[[#This Row],[Canal]],tblCanales[#All],2,FALSE),tblPesosValorOperativo[Valor],tblPesosValorOperativo[Frecuencia de Uso],0),0)</f>
        <v>0</v>
      </c>
      <c r="J29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95" s="64">
        <f>IFERROR(_xlfn.XLOOKUP(VLOOKUP(tblEnlaces[[#This Row],[Canal]],tblCanales[#All],3,FALSE),tblPesosCoste[Valor],tblPesosCoste[Peso],0),0)</f>
        <v>0</v>
      </c>
      <c r="L295" s="10">
        <f>IFERROR(_xlfn.XLOOKUP(VLOOKUP(tblEnlaces[[#This Row],[Canal]],tblCanales[#All],5,FALSE),tblPesosValorOperativo[Valor],tblPesosValorOperativo[Opacidad],0),0)</f>
        <v>0</v>
      </c>
      <c r="M295" s="14">
        <f>IFERROR(_xlfn.XLOOKUP(VLOOKUP(tblEnlaces[[#This Row],[Canal]],tblCanales[#All],6,FALSE),tblPesosValorOperativo[Valor],tblPesosValorOperativo[Trazabilidad],0),0)</f>
        <v>0</v>
      </c>
      <c r="N295" s="14">
        <f>IFERROR(_xlfn.XLOOKUP(VLOOKUP(tblEnlaces[[#This Row],[Canal]],tblCanales[#All],7,FALSE),tblPesosValorOperativo[Valor],tblPesosValorOperativo[Velocidad],0),0)</f>
        <v>0</v>
      </c>
      <c r="O295" s="14">
        <f>IFERROR(_xlfn.XLOOKUP(VLOOKUP(tblEnlaces[[#This Row],[Canal]],tblCanales[#All],8,FALSE),tblPesosValorOperativo[Valor],tblPesosValorOperativo[Escalabilidad],0),0)</f>
        <v>0</v>
      </c>
      <c r="P295" s="53">
        <f>tblEnlaces[[#This Row],[Opacidad]]+tblEnlaces[[#This Row],[Escalabilidad]]+tblEnlaces[[#This Row],[Velocidad]]+tblEnlaces[[#This Row],[Trazabilidad]]</f>
        <v>0</v>
      </c>
    </row>
    <row r="296" spans="2:16" ht="16.5" customHeight="1" x14ac:dyDescent="0.25">
      <c r="B296" s="66" t="str">
        <f t="array" ref="B29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96" s="10" t="e">
        <f>VLOOKUP(tblEnlaces[[#This Row],[Nodo Inicial]],tblNodos[],2,FALSE)</f>
        <v>#N/A</v>
      </c>
      <c r="E296" s="39"/>
      <c r="F296" s="10" t="e">
        <f>VLOOKUP(tblEnlaces[[#This Row],[Nodo Final]],tblNodos[],2,FALSE)</f>
        <v>#N/A</v>
      </c>
      <c r="G296" s="39"/>
      <c r="I296" s="53">
        <f>IFERROR(_xlfn.XLOOKUP(VLOOKUP(tblEnlaces[[#This Row],[Canal]],tblCanales[#All],2,FALSE),tblPesosValorOperativo[Valor],tblPesosValorOperativo[Frecuencia de Uso],0),0)</f>
        <v>0</v>
      </c>
      <c r="J29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96" s="64">
        <f>IFERROR(_xlfn.XLOOKUP(VLOOKUP(tblEnlaces[[#This Row],[Canal]],tblCanales[#All],3,FALSE),tblPesosCoste[Valor],tblPesosCoste[Peso],0),0)</f>
        <v>0</v>
      </c>
      <c r="L296" s="10">
        <f>IFERROR(_xlfn.XLOOKUP(VLOOKUP(tblEnlaces[[#This Row],[Canal]],tblCanales[#All],5,FALSE),tblPesosValorOperativo[Valor],tblPesosValorOperativo[Opacidad],0),0)</f>
        <v>0</v>
      </c>
      <c r="M296" s="14">
        <f>IFERROR(_xlfn.XLOOKUP(VLOOKUP(tblEnlaces[[#This Row],[Canal]],tblCanales[#All],6,FALSE),tblPesosValorOperativo[Valor],tblPesosValorOperativo[Trazabilidad],0),0)</f>
        <v>0</v>
      </c>
      <c r="N296" s="14">
        <f>IFERROR(_xlfn.XLOOKUP(VLOOKUP(tblEnlaces[[#This Row],[Canal]],tblCanales[#All],7,FALSE),tblPesosValorOperativo[Valor],tblPesosValorOperativo[Velocidad],0),0)</f>
        <v>0</v>
      </c>
      <c r="O296" s="14">
        <f>IFERROR(_xlfn.XLOOKUP(VLOOKUP(tblEnlaces[[#This Row],[Canal]],tblCanales[#All],8,FALSE),tblPesosValorOperativo[Valor],tblPesosValorOperativo[Escalabilidad],0),0)</f>
        <v>0</v>
      </c>
      <c r="P296" s="53">
        <f>tblEnlaces[[#This Row],[Opacidad]]+tblEnlaces[[#This Row],[Escalabilidad]]+tblEnlaces[[#This Row],[Velocidad]]+tblEnlaces[[#This Row],[Trazabilidad]]</f>
        <v>0</v>
      </c>
    </row>
    <row r="297" spans="2:16" ht="16.5" customHeight="1" x14ac:dyDescent="0.25">
      <c r="B297" s="66" t="str">
        <f t="array" ref="B29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97" s="10" t="e">
        <f>VLOOKUP(tblEnlaces[[#This Row],[Nodo Inicial]],tblNodos[],2,FALSE)</f>
        <v>#N/A</v>
      </c>
      <c r="E297" s="39"/>
      <c r="F297" s="10" t="e">
        <f>VLOOKUP(tblEnlaces[[#This Row],[Nodo Final]],tblNodos[],2,FALSE)</f>
        <v>#N/A</v>
      </c>
      <c r="G297" s="39"/>
      <c r="I297" s="53">
        <f>IFERROR(_xlfn.XLOOKUP(VLOOKUP(tblEnlaces[[#This Row],[Canal]],tblCanales[#All],2,FALSE),tblPesosValorOperativo[Valor],tblPesosValorOperativo[Frecuencia de Uso],0),0)</f>
        <v>0</v>
      </c>
      <c r="J29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97" s="64">
        <f>IFERROR(_xlfn.XLOOKUP(VLOOKUP(tblEnlaces[[#This Row],[Canal]],tblCanales[#All],3,FALSE),tblPesosCoste[Valor],tblPesosCoste[Peso],0),0)</f>
        <v>0</v>
      </c>
      <c r="L297" s="10">
        <f>IFERROR(_xlfn.XLOOKUP(VLOOKUP(tblEnlaces[[#This Row],[Canal]],tblCanales[#All],5,FALSE),tblPesosValorOperativo[Valor],tblPesosValorOperativo[Opacidad],0),0)</f>
        <v>0</v>
      </c>
      <c r="M297" s="14">
        <f>IFERROR(_xlfn.XLOOKUP(VLOOKUP(tblEnlaces[[#This Row],[Canal]],tblCanales[#All],6,FALSE),tblPesosValorOperativo[Valor],tblPesosValorOperativo[Trazabilidad],0),0)</f>
        <v>0</v>
      </c>
      <c r="N297" s="14">
        <f>IFERROR(_xlfn.XLOOKUP(VLOOKUP(tblEnlaces[[#This Row],[Canal]],tblCanales[#All],7,FALSE),tblPesosValorOperativo[Valor],tblPesosValorOperativo[Velocidad],0),0)</f>
        <v>0</v>
      </c>
      <c r="O297" s="14">
        <f>IFERROR(_xlfn.XLOOKUP(VLOOKUP(tblEnlaces[[#This Row],[Canal]],tblCanales[#All],8,FALSE),tblPesosValorOperativo[Valor],tblPesosValorOperativo[Escalabilidad],0),0)</f>
        <v>0</v>
      </c>
      <c r="P297" s="53">
        <f>tblEnlaces[[#This Row],[Opacidad]]+tblEnlaces[[#This Row],[Escalabilidad]]+tblEnlaces[[#This Row],[Velocidad]]+tblEnlaces[[#This Row],[Trazabilidad]]</f>
        <v>0</v>
      </c>
    </row>
    <row r="298" spans="2:16" ht="16.5" customHeight="1" x14ac:dyDescent="0.25">
      <c r="B298" s="66" t="str">
        <f t="array" ref="B29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98" s="10" t="e">
        <f>VLOOKUP(tblEnlaces[[#This Row],[Nodo Inicial]],tblNodos[],2,FALSE)</f>
        <v>#N/A</v>
      </c>
      <c r="E298" s="39"/>
      <c r="F298" s="10" t="e">
        <f>VLOOKUP(tblEnlaces[[#This Row],[Nodo Final]],tblNodos[],2,FALSE)</f>
        <v>#N/A</v>
      </c>
      <c r="G298" s="39"/>
      <c r="I298" s="53">
        <f>IFERROR(_xlfn.XLOOKUP(VLOOKUP(tblEnlaces[[#This Row],[Canal]],tblCanales[#All],2,FALSE),tblPesosValorOperativo[Valor],tblPesosValorOperativo[Frecuencia de Uso],0),0)</f>
        <v>0</v>
      </c>
      <c r="J29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98" s="64">
        <f>IFERROR(_xlfn.XLOOKUP(VLOOKUP(tblEnlaces[[#This Row],[Canal]],tblCanales[#All],3,FALSE),tblPesosCoste[Valor],tblPesosCoste[Peso],0),0)</f>
        <v>0</v>
      </c>
      <c r="L298" s="10">
        <f>IFERROR(_xlfn.XLOOKUP(VLOOKUP(tblEnlaces[[#This Row],[Canal]],tblCanales[#All],5,FALSE),tblPesosValorOperativo[Valor],tblPesosValorOperativo[Opacidad],0),0)</f>
        <v>0</v>
      </c>
      <c r="M298" s="14">
        <f>IFERROR(_xlfn.XLOOKUP(VLOOKUP(tblEnlaces[[#This Row],[Canal]],tblCanales[#All],6,FALSE),tblPesosValorOperativo[Valor],tblPesosValorOperativo[Trazabilidad],0),0)</f>
        <v>0</v>
      </c>
      <c r="N298" s="14">
        <f>IFERROR(_xlfn.XLOOKUP(VLOOKUP(tblEnlaces[[#This Row],[Canal]],tblCanales[#All],7,FALSE),tblPesosValorOperativo[Valor],tblPesosValorOperativo[Velocidad],0),0)</f>
        <v>0</v>
      </c>
      <c r="O298" s="14">
        <f>IFERROR(_xlfn.XLOOKUP(VLOOKUP(tblEnlaces[[#This Row],[Canal]],tblCanales[#All],8,FALSE),tblPesosValorOperativo[Valor],tblPesosValorOperativo[Escalabilidad],0),0)</f>
        <v>0</v>
      </c>
      <c r="P298" s="53">
        <f>tblEnlaces[[#This Row],[Opacidad]]+tblEnlaces[[#This Row],[Escalabilidad]]+tblEnlaces[[#This Row],[Velocidad]]+tblEnlaces[[#This Row],[Trazabilidad]]</f>
        <v>0</v>
      </c>
    </row>
    <row r="299" spans="2:16" ht="16.5" customHeight="1" x14ac:dyDescent="0.25">
      <c r="B299" s="66" t="str">
        <f t="array" ref="B29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299" s="10" t="e">
        <f>VLOOKUP(tblEnlaces[[#This Row],[Nodo Inicial]],tblNodos[],2,FALSE)</f>
        <v>#N/A</v>
      </c>
      <c r="E299" s="39"/>
      <c r="F299" s="10" t="e">
        <f>VLOOKUP(tblEnlaces[[#This Row],[Nodo Final]],tblNodos[],2,FALSE)</f>
        <v>#N/A</v>
      </c>
      <c r="G299" s="39"/>
      <c r="I299" s="53">
        <f>IFERROR(_xlfn.XLOOKUP(VLOOKUP(tblEnlaces[[#This Row],[Canal]],tblCanales[#All],2,FALSE),tblPesosValorOperativo[Valor],tblPesosValorOperativo[Frecuencia de Uso],0),0)</f>
        <v>0</v>
      </c>
      <c r="J29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299" s="64">
        <f>IFERROR(_xlfn.XLOOKUP(VLOOKUP(tblEnlaces[[#This Row],[Canal]],tblCanales[#All],3,FALSE),tblPesosCoste[Valor],tblPesosCoste[Peso],0),0)</f>
        <v>0</v>
      </c>
      <c r="L299" s="10">
        <f>IFERROR(_xlfn.XLOOKUP(VLOOKUP(tblEnlaces[[#This Row],[Canal]],tblCanales[#All],5,FALSE),tblPesosValorOperativo[Valor],tblPesosValorOperativo[Opacidad],0),0)</f>
        <v>0</v>
      </c>
      <c r="M299" s="14">
        <f>IFERROR(_xlfn.XLOOKUP(VLOOKUP(tblEnlaces[[#This Row],[Canal]],tblCanales[#All],6,FALSE),tblPesosValorOperativo[Valor],tblPesosValorOperativo[Trazabilidad],0),0)</f>
        <v>0</v>
      </c>
      <c r="N299" s="14">
        <f>IFERROR(_xlfn.XLOOKUP(VLOOKUP(tblEnlaces[[#This Row],[Canal]],tblCanales[#All],7,FALSE),tblPesosValorOperativo[Valor],tblPesosValorOperativo[Velocidad],0),0)</f>
        <v>0</v>
      </c>
      <c r="O299" s="14">
        <f>IFERROR(_xlfn.XLOOKUP(VLOOKUP(tblEnlaces[[#This Row],[Canal]],tblCanales[#All],8,FALSE),tblPesosValorOperativo[Valor],tblPesosValorOperativo[Escalabilidad],0),0)</f>
        <v>0</v>
      </c>
      <c r="P299" s="53">
        <f>tblEnlaces[[#This Row],[Opacidad]]+tblEnlaces[[#This Row],[Escalabilidad]]+tblEnlaces[[#This Row],[Velocidad]]+tblEnlaces[[#This Row],[Trazabilidad]]</f>
        <v>0</v>
      </c>
    </row>
    <row r="300" spans="2:16" ht="16.5" customHeight="1" x14ac:dyDescent="0.25">
      <c r="B300" s="66" t="str">
        <f t="array" ref="B30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00" s="10" t="e">
        <f>VLOOKUP(tblEnlaces[[#This Row],[Nodo Inicial]],tblNodos[],2,FALSE)</f>
        <v>#N/A</v>
      </c>
      <c r="E300" s="39"/>
      <c r="F300" s="10" t="e">
        <f>VLOOKUP(tblEnlaces[[#This Row],[Nodo Final]],tblNodos[],2,FALSE)</f>
        <v>#N/A</v>
      </c>
      <c r="G300" s="39"/>
      <c r="I300" s="53">
        <f>IFERROR(_xlfn.XLOOKUP(VLOOKUP(tblEnlaces[[#This Row],[Canal]],tblCanales[#All],2,FALSE),tblPesosValorOperativo[Valor],tblPesosValorOperativo[Frecuencia de Uso],0),0)</f>
        <v>0</v>
      </c>
      <c r="J30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00" s="64">
        <f>IFERROR(_xlfn.XLOOKUP(VLOOKUP(tblEnlaces[[#This Row],[Canal]],tblCanales[#All],3,FALSE),tblPesosCoste[Valor],tblPesosCoste[Peso],0),0)</f>
        <v>0</v>
      </c>
      <c r="L300" s="10">
        <f>IFERROR(_xlfn.XLOOKUP(VLOOKUP(tblEnlaces[[#This Row],[Canal]],tblCanales[#All],5,FALSE),tblPesosValorOperativo[Valor],tblPesosValorOperativo[Opacidad],0),0)</f>
        <v>0</v>
      </c>
      <c r="M300" s="14">
        <f>IFERROR(_xlfn.XLOOKUP(VLOOKUP(tblEnlaces[[#This Row],[Canal]],tblCanales[#All],6,FALSE),tblPesosValorOperativo[Valor],tblPesosValorOperativo[Trazabilidad],0),0)</f>
        <v>0</v>
      </c>
      <c r="N300" s="14">
        <f>IFERROR(_xlfn.XLOOKUP(VLOOKUP(tblEnlaces[[#This Row],[Canal]],tblCanales[#All],7,FALSE),tblPesosValorOperativo[Valor],tblPesosValorOperativo[Velocidad],0),0)</f>
        <v>0</v>
      </c>
      <c r="O300" s="14">
        <f>IFERROR(_xlfn.XLOOKUP(VLOOKUP(tblEnlaces[[#This Row],[Canal]],tblCanales[#All],8,FALSE),tblPesosValorOperativo[Valor],tblPesosValorOperativo[Escalabilidad],0),0)</f>
        <v>0</v>
      </c>
      <c r="P300" s="53">
        <f>tblEnlaces[[#This Row],[Opacidad]]+tblEnlaces[[#This Row],[Escalabilidad]]+tblEnlaces[[#This Row],[Velocidad]]+tblEnlaces[[#This Row],[Trazabilidad]]</f>
        <v>0</v>
      </c>
    </row>
    <row r="301" spans="2:16" ht="16.5" customHeight="1" x14ac:dyDescent="0.25">
      <c r="B301" s="66" t="str">
        <f t="array" ref="B30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01" s="10" t="e">
        <f>VLOOKUP(tblEnlaces[[#This Row],[Nodo Inicial]],tblNodos[],2,FALSE)</f>
        <v>#N/A</v>
      </c>
      <c r="E301" s="39"/>
      <c r="F301" s="10" t="e">
        <f>VLOOKUP(tblEnlaces[[#This Row],[Nodo Final]],tblNodos[],2,FALSE)</f>
        <v>#N/A</v>
      </c>
      <c r="G301" s="39"/>
      <c r="I301" s="53">
        <f>IFERROR(_xlfn.XLOOKUP(VLOOKUP(tblEnlaces[[#This Row],[Canal]],tblCanales[#All],2,FALSE),tblPesosValorOperativo[Valor],tblPesosValorOperativo[Frecuencia de Uso],0),0)</f>
        <v>0</v>
      </c>
      <c r="J30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01" s="64">
        <f>IFERROR(_xlfn.XLOOKUP(VLOOKUP(tblEnlaces[[#This Row],[Canal]],tblCanales[#All],3,FALSE),tblPesosCoste[Valor],tblPesosCoste[Peso],0),0)</f>
        <v>0</v>
      </c>
      <c r="L301" s="10">
        <f>IFERROR(_xlfn.XLOOKUP(VLOOKUP(tblEnlaces[[#This Row],[Canal]],tblCanales[#All],5,FALSE),tblPesosValorOperativo[Valor],tblPesosValorOperativo[Opacidad],0),0)</f>
        <v>0</v>
      </c>
      <c r="M301" s="14">
        <f>IFERROR(_xlfn.XLOOKUP(VLOOKUP(tblEnlaces[[#This Row],[Canal]],tblCanales[#All],6,FALSE),tblPesosValorOperativo[Valor],tblPesosValorOperativo[Trazabilidad],0),0)</f>
        <v>0</v>
      </c>
      <c r="N301" s="14">
        <f>IFERROR(_xlfn.XLOOKUP(VLOOKUP(tblEnlaces[[#This Row],[Canal]],tblCanales[#All],7,FALSE),tblPesosValorOperativo[Valor],tblPesosValorOperativo[Velocidad],0),0)</f>
        <v>0</v>
      </c>
      <c r="O301" s="14">
        <f>IFERROR(_xlfn.XLOOKUP(VLOOKUP(tblEnlaces[[#This Row],[Canal]],tblCanales[#All],8,FALSE),tblPesosValorOperativo[Valor],tblPesosValorOperativo[Escalabilidad],0),0)</f>
        <v>0</v>
      </c>
      <c r="P301" s="53">
        <f>tblEnlaces[[#This Row],[Opacidad]]+tblEnlaces[[#This Row],[Escalabilidad]]+tblEnlaces[[#This Row],[Velocidad]]+tblEnlaces[[#This Row],[Trazabilidad]]</f>
        <v>0</v>
      </c>
    </row>
    <row r="302" spans="2:16" ht="16.5" customHeight="1" x14ac:dyDescent="0.25">
      <c r="B302" s="66" t="str">
        <f t="array" ref="B30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02" s="10" t="e">
        <f>VLOOKUP(tblEnlaces[[#This Row],[Nodo Inicial]],tblNodos[],2,FALSE)</f>
        <v>#N/A</v>
      </c>
      <c r="E302" s="39"/>
      <c r="F302" s="10" t="e">
        <f>VLOOKUP(tblEnlaces[[#This Row],[Nodo Final]],tblNodos[],2,FALSE)</f>
        <v>#N/A</v>
      </c>
      <c r="G302" s="39"/>
      <c r="I302" s="53">
        <f>IFERROR(_xlfn.XLOOKUP(VLOOKUP(tblEnlaces[[#This Row],[Canal]],tblCanales[#All],2,FALSE),tblPesosValorOperativo[Valor],tblPesosValorOperativo[Frecuencia de Uso],0),0)</f>
        <v>0</v>
      </c>
      <c r="J30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02" s="64">
        <f>IFERROR(_xlfn.XLOOKUP(VLOOKUP(tblEnlaces[[#This Row],[Canal]],tblCanales[#All],3,FALSE),tblPesosCoste[Valor],tblPesosCoste[Peso],0),0)</f>
        <v>0</v>
      </c>
      <c r="L302" s="10">
        <f>IFERROR(_xlfn.XLOOKUP(VLOOKUP(tblEnlaces[[#This Row],[Canal]],tblCanales[#All],5,FALSE),tblPesosValorOperativo[Valor],tblPesosValorOperativo[Opacidad],0),0)</f>
        <v>0</v>
      </c>
      <c r="M302" s="14">
        <f>IFERROR(_xlfn.XLOOKUP(VLOOKUP(tblEnlaces[[#This Row],[Canal]],tblCanales[#All],6,FALSE),tblPesosValorOperativo[Valor],tblPesosValorOperativo[Trazabilidad],0),0)</f>
        <v>0</v>
      </c>
      <c r="N302" s="14">
        <f>IFERROR(_xlfn.XLOOKUP(VLOOKUP(tblEnlaces[[#This Row],[Canal]],tblCanales[#All],7,FALSE),tblPesosValorOperativo[Valor],tblPesosValorOperativo[Velocidad],0),0)</f>
        <v>0</v>
      </c>
      <c r="O302" s="14">
        <f>IFERROR(_xlfn.XLOOKUP(VLOOKUP(tblEnlaces[[#This Row],[Canal]],tblCanales[#All],8,FALSE),tblPesosValorOperativo[Valor],tblPesosValorOperativo[Escalabilidad],0),0)</f>
        <v>0</v>
      </c>
      <c r="P302" s="53">
        <f>tblEnlaces[[#This Row],[Opacidad]]+tblEnlaces[[#This Row],[Escalabilidad]]+tblEnlaces[[#This Row],[Velocidad]]+tblEnlaces[[#This Row],[Trazabilidad]]</f>
        <v>0</v>
      </c>
    </row>
    <row r="303" spans="2:16" ht="16.5" customHeight="1" x14ac:dyDescent="0.25">
      <c r="B303" s="66" t="str">
        <f t="array" ref="B30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03" s="10" t="e">
        <f>VLOOKUP(tblEnlaces[[#This Row],[Nodo Inicial]],tblNodos[],2,FALSE)</f>
        <v>#N/A</v>
      </c>
      <c r="E303" s="39"/>
      <c r="F303" s="10" t="e">
        <f>VLOOKUP(tblEnlaces[[#This Row],[Nodo Final]],tblNodos[],2,FALSE)</f>
        <v>#N/A</v>
      </c>
      <c r="G303" s="39"/>
      <c r="I303" s="53">
        <f>IFERROR(_xlfn.XLOOKUP(VLOOKUP(tblEnlaces[[#This Row],[Canal]],tblCanales[#All],2,FALSE),tblPesosValorOperativo[Valor],tblPesosValorOperativo[Frecuencia de Uso],0),0)</f>
        <v>0</v>
      </c>
      <c r="J30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03" s="64">
        <f>IFERROR(_xlfn.XLOOKUP(VLOOKUP(tblEnlaces[[#This Row],[Canal]],tblCanales[#All],3,FALSE),tblPesosCoste[Valor],tblPesosCoste[Peso],0),0)</f>
        <v>0</v>
      </c>
      <c r="L303" s="10">
        <f>IFERROR(_xlfn.XLOOKUP(VLOOKUP(tblEnlaces[[#This Row],[Canal]],tblCanales[#All],5,FALSE),tblPesosValorOperativo[Valor],tblPesosValorOperativo[Opacidad],0),0)</f>
        <v>0</v>
      </c>
      <c r="M303" s="14">
        <f>IFERROR(_xlfn.XLOOKUP(VLOOKUP(tblEnlaces[[#This Row],[Canal]],tblCanales[#All],6,FALSE),tblPesosValorOperativo[Valor],tblPesosValorOperativo[Trazabilidad],0),0)</f>
        <v>0</v>
      </c>
      <c r="N303" s="14">
        <f>IFERROR(_xlfn.XLOOKUP(VLOOKUP(tblEnlaces[[#This Row],[Canal]],tblCanales[#All],7,FALSE),tblPesosValorOperativo[Valor],tblPesosValorOperativo[Velocidad],0),0)</f>
        <v>0</v>
      </c>
      <c r="O303" s="14">
        <f>IFERROR(_xlfn.XLOOKUP(VLOOKUP(tblEnlaces[[#This Row],[Canal]],tblCanales[#All],8,FALSE),tblPesosValorOperativo[Valor],tblPesosValorOperativo[Escalabilidad],0),0)</f>
        <v>0</v>
      </c>
      <c r="P303" s="53">
        <f>tblEnlaces[[#This Row],[Opacidad]]+tblEnlaces[[#This Row],[Escalabilidad]]+tblEnlaces[[#This Row],[Velocidad]]+tblEnlaces[[#This Row],[Trazabilidad]]</f>
        <v>0</v>
      </c>
    </row>
    <row r="304" spans="2:16" ht="16.5" customHeight="1" x14ac:dyDescent="0.25">
      <c r="B304" s="66" t="str">
        <f t="array" ref="B30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04" s="10" t="e">
        <f>VLOOKUP(tblEnlaces[[#This Row],[Nodo Inicial]],tblNodos[],2,FALSE)</f>
        <v>#N/A</v>
      </c>
      <c r="E304" s="39"/>
      <c r="F304" s="10" t="e">
        <f>VLOOKUP(tblEnlaces[[#This Row],[Nodo Final]],tblNodos[],2,FALSE)</f>
        <v>#N/A</v>
      </c>
      <c r="G304" s="39"/>
      <c r="I304" s="53">
        <f>IFERROR(_xlfn.XLOOKUP(VLOOKUP(tblEnlaces[[#This Row],[Canal]],tblCanales[#All],2,FALSE),tblPesosValorOperativo[Valor],tblPesosValorOperativo[Frecuencia de Uso],0),0)</f>
        <v>0</v>
      </c>
      <c r="J30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04" s="64">
        <f>IFERROR(_xlfn.XLOOKUP(VLOOKUP(tblEnlaces[[#This Row],[Canal]],tblCanales[#All],3,FALSE),tblPesosCoste[Valor],tblPesosCoste[Peso],0),0)</f>
        <v>0</v>
      </c>
      <c r="L304" s="10">
        <f>IFERROR(_xlfn.XLOOKUP(VLOOKUP(tblEnlaces[[#This Row],[Canal]],tblCanales[#All],5,FALSE),tblPesosValorOperativo[Valor],tblPesosValorOperativo[Opacidad],0),0)</f>
        <v>0</v>
      </c>
      <c r="M304" s="14">
        <f>IFERROR(_xlfn.XLOOKUP(VLOOKUP(tblEnlaces[[#This Row],[Canal]],tblCanales[#All],6,FALSE),tblPesosValorOperativo[Valor],tblPesosValorOperativo[Trazabilidad],0),0)</f>
        <v>0</v>
      </c>
      <c r="N304" s="14">
        <f>IFERROR(_xlfn.XLOOKUP(VLOOKUP(tblEnlaces[[#This Row],[Canal]],tblCanales[#All],7,FALSE),tblPesosValorOperativo[Valor],tblPesosValorOperativo[Velocidad],0),0)</f>
        <v>0</v>
      </c>
      <c r="O304" s="14">
        <f>IFERROR(_xlfn.XLOOKUP(VLOOKUP(tblEnlaces[[#This Row],[Canal]],tblCanales[#All],8,FALSE),tblPesosValorOperativo[Valor],tblPesosValorOperativo[Escalabilidad],0),0)</f>
        <v>0</v>
      </c>
      <c r="P304" s="53">
        <f>tblEnlaces[[#This Row],[Opacidad]]+tblEnlaces[[#This Row],[Escalabilidad]]+tblEnlaces[[#This Row],[Velocidad]]+tblEnlaces[[#This Row],[Trazabilidad]]</f>
        <v>0</v>
      </c>
    </row>
    <row r="305" spans="2:16" ht="16.5" customHeight="1" x14ac:dyDescent="0.25">
      <c r="B305" s="66" t="str">
        <f t="array" ref="B30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05" s="10" t="e">
        <f>VLOOKUP(tblEnlaces[[#This Row],[Nodo Inicial]],tblNodos[],2,FALSE)</f>
        <v>#N/A</v>
      </c>
      <c r="E305" s="39"/>
      <c r="F305" s="10" t="e">
        <f>VLOOKUP(tblEnlaces[[#This Row],[Nodo Final]],tblNodos[],2,FALSE)</f>
        <v>#N/A</v>
      </c>
      <c r="G305" s="39"/>
      <c r="I305" s="53">
        <f>IFERROR(_xlfn.XLOOKUP(VLOOKUP(tblEnlaces[[#This Row],[Canal]],tblCanales[#All],2,FALSE),tblPesosValorOperativo[Valor],tblPesosValorOperativo[Frecuencia de Uso],0),0)</f>
        <v>0</v>
      </c>
      <c r="J30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05" s="64">
        <f>IFERROR(_xlfn.XLOOKUP(VLOOKUP(tblEnlaces[[#This Row],[Canal]],tblCanales[#All],3,FALSE),tblPesosCoste[Valor],tblPesosCoste[Peso],0),0)</f>
        <v>0</v>
      </c>
      <c r="L305" s="10">
        <f>IFERROR(_xlfn.XLOOKUP(VLOOKUP(tblEnlaces[[#This Row],[Canal]],tblCanales[#All],5,FALSE),tblPesosValorOperativo[Valor],tblPesosValorOperativo[Opacidad],0),0)</f>
        <v>0</v>
      </c>
      <c r="M305" s="14">
        <f>IFERROR(_xlfn.XLOOKUP(VLOOKUP(tblEnlaces[[#This Row],[Canal]],tblCanales[#All],6,FALSE),tblPesosValorOperativo[Valor],tblPesosValorOperativo[Trazabilidad],0),0)</f>
        <v>0</v>
      </c>
      <c r="N305" s="14">
        <f>IFERROR(_xlfn.XLOOKUP(VLOOKUP(tblEnlaces[[#This Row],[Canal]],tblCanales[#All],7,FALSE),tblPesosValorOperativo[Valor],tblPesosValorOperativo[Velocidad],0),0)</f>
        <v>0</v>
      </c>
      <c r="O305" s="14">
        <f>IFERROR(_xlfn.XLOOKUP(VLOOKUP(tblEnlaces[[#This Row],[Canal]],tblCanales[#All],8,FALSE),tblPesosValorOperativo[Valor],tblPesosValorOperativo[Escalabilidad],0),0)</f>
        <v>0</v>
      </c>
      <c r="P305" s="53">
        <f>tblEnlaces[[#This Row],[Opacidad]]+tblEnlaces[[#This Row],[Escalabilidad]]+tblEnlaces[[#This Row],[Velocidad]]+tblEnlaces[[#This Row],[Trazabilidad]]</f>
        <v>0</v>
      </c>
    </row>
    <row r="306" spans="2:16" ht="16.5" customHeight="1" x14ac:dyDescent="0.25">
      <c r="B306" s="66" t="str">
        <f t="array" ref="B30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06" s="10" t="e">
        <f>VLOOKUP(tblEnlaces[[#This Row],[Nodo Inicial]],tblNodos[],2,FALSE)</f>
        <v>#N/A</v>
      </c>
      <c r="E306" s="39"/>
      <c r="F306" s="10" t="e">
        <f>VLOOKUP(tblEnlaces[[#This Row],[Nodo Final]],tblNodos[],2,FALSE)</f>
        <v>#N/A</v>
      </c>
      <c r="G306" s="39"/>
      <c r="I306" s="53">
        <f>IFERROR(_xlfn.XLOOKUP(VLOOKUP(tblEnlaces[[#This Row],[Canal]],tblCanales[#All],2,FALSE),tblPesosValorOperativo[Valor],tblPesosValorOperativo[Frecuencia de Uso],0),0)</f>
        <v>0</v>
      </c>
      <c r="J30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06" s="64">
        <f>IFERROR(_xlfn.XLOOKUP(VLOOKUP(tblEnlaces[[#This Row],[Canal]],tblCanales[#All],3,FALSE),tblPesosCoste[Valor],tblPesosCoste[Peso],0),0)</f>
        <v>0</v>
      </c>
      <c r="L306" s="10">
        <f>IFERROR(_xlfn.XLOOKUP(VLOOKUP(tblEnlaces[[#This Row],[Canal]],tblCanales[#All],5,FALSE),tblPesosValorOperativo[Valor],tblPesosValorOperativo[Opacidad],0),0)</f>
        <v>0</v>
      </c>
      <c r="M306" s="14">
        <f>IFERROR(_xlfn.XLOOKUP(VLOOKUP(tblEnlaces[[#This Row],[Canal]],tblCanales[#All],6,FALSE),tblPesosValorOperativo[Valor],tblPesosValorOperativo[Trazabilidad],0),0)</f>
        <v>0</v>
      </c>
      <c r="N306" s="14">
        <f>IFERROR(_xlfn.XLOOKUP(VLOOKUP(tblEnlaces[[#This Row],[Canal]],tblCanales[#All],7,FALSE),tblPesosValorOperativo[Valor],tblPesosValorOperativo[Velocidad],0),0)</f>
        <v>0</v>
      </c>
      <c r="O306" s="14">
        <f>IFERROR(_xlfn.XLOOKUP(VLOOKUP(tblEnlaces[[#This Row],[Canal]],tblCanales[#All],8,FALSE),tblPesosValorOperativo[Valor],tblPesosValorOperativo[Escalabilidad],0),0)</f>
        <v>0</v>
      </c>
      <c r="P306" s="53">
        <f>tblEnlaces[[#This Row],[Opacidad]]+tblEnlaces[[#This Row],[Escalabilidad]]+tblEnlaces[[#This Row],[Velocidad]]+tblEnlaces[[#This Row],[Trazabilidad]]</f>
        <v>0</v>
      </c>
    </row>
    <row r="307" spans="2:16" ht="16.5" customHeight="1" x14ac:dyDescent="0.25">
      <c r="B307" s="66" t="str">
        <f t="array" ref="B30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07" s="10" t="e">
        <f>VLOOKUP(tblEnlaces[[#This Row],[Nodo Inicial]],tblNodos[],2,FALSE)</f>
        <v>#N/A</v>
      </c>
      <c r="E307" s="39"/>
      <c r="F307" s="10" t="e">
        <f>VLOOKUP(tblEnlaces[[#This Row],[Nodo Final]],tblNodos[],2,FALSE)</f>
        <v>#N/A</v>
      </c>
      <c r="G307" s="39"/>
      <c r="I307" s="53">
        <f>IFERROR(_xlfn.XLOOKUP(VLOOKUP(tblEnlaces[[#This Row],[Canal]],tblCanales[#All],2,FALSE),tblPesosValorOperativo[Valor],tblPesosValorOperativo[Frecuencia de Uso],0),0)</f>
        <v>0</v>
      </c>
      <c r="J30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07" s="64">
        <f>IFERROR(_xlfn.XLOOKUP(VLOOKUP(tblEnlaces[[#This Row],[Canal]],tblCanales[#All],3,FALSE),tblPesosCoste[Valor],tblPesosCoste[Peso],0),0)</f>
        <v>0</v>
      </c>
      <c r="L307" s="10">
        <f>IFERROR(_xlfn.XLOOKUP(VLOOKUP(tblEnlaces[[#This Row],[Canal]],tblCanales[#All],5,FALSE),tblPesosValorOperativo[Valor],tblPesosValorOperativo[Opacidad],0),0)</f>
        <v>0</v>
      </c>
      <c r="M307" s="14">
        <f>IFERROR(_xlfn.XLOOKUP(VLOOKUP(tblEnlaces[[#This Row],[Canal]],tblCanales[#All],6,FALSE),tblPesosValorOperativo[Valor],tblPesosValorOperativo[Trazabilidad],0),0)</f>
        <v>0</v>
      </c>
      <c r="N307" s="14">
        <f>IFERROR(_xlfn.XLOOKUP(VLOOKUP(tblEnlaces[[#This Row],[Canal]],tblCanales[#All],7,FALSE),tblPesosValorOperativo[Valor],tblPesosValorOperativo[Velocidad],0),0)</f>
        <v>0</v>
      </c>
      <c r="O307" s="14">
        <f>IFERROR(_xlfn.XLOOKUP(VLOOKUP(tblEnlaces[[#This Row],[Canal]],tblCanales[#All],8,FALSE),tblPesosValorOperativo[Valor],tblPesosValorOperativo[Escalabilidad],0),0)</f>
        <v>0</v>
      </c>
      <c r="P307" s="53">
        <f>tblEnlaces[[#This Row],[Opacidad]]+tblEnlaces[[#This Row],[Escalabilidad]]+tblEnlaces[[#This Row],[Velocidad]]+tblEnlaces[[#This Row],[Trazabilidad]]</f>
        <v>0</v>
      </c>
    </row>
    <row r="308" spans="2:16" ht="16.5" customHeight="1" x14ac:dyDescent="0.25">
      <c r="B308" s="66" t="str">
        <f t="array" ref="B30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08" s="10" t="e">
        <f>VLOOKUP(tblEnlaces[[#This Row],[Nodo Inicial]],tblNodos[],2,FALSE)</f>
        <v>#N/A</v>
      </c>
      <c r="E308" s="39"/>
      <c r="F308" s="10" t="e">
        <f>VLOOKUP(tblEnlaces[[#This Row],[Nodo Final]],tblNodos[],2,FALSE)</f>
        <v>#N/A</v>
      </c>
      <c r="G308" s="39"/>
      <c r="I308" s="53">
        <f>IFERROR(_xlfn.XLOOKUP(VLOOKUP(tblEnlaces[[#This Row],[Canal]],tblCanales[#All],2,FALSE),tblPesosValorOperativo[Valor],tblPesosValorOperativo[Frecuencia de Uso],0),0)</f>
        <v>0</v>
      </c>
      <c r="J30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08" s="64">
        <f>IFERROR(_xlfn.XLOOKUP(VLOOKUP(tblEnlaces[[#This Row],[Canal]],tblCanales[#All],3,FALSE),tblPesosCoste[Valor],tblPesosCoste[Peso],0),0)</f>
        <v>0</v>
      </c>
      <c r="L308" s="10">
        <f>IFERROR(_xlfn.XLOOKUP(VLOOKUP(tblEnlaces[[#This Row],[Canal]],tblCanales[#All],5,FALSE),tblPesosValorOperativo[Valor],tblPesosValorOperativo[Opacidad],0),0)</f>
        <v>0</v>
      </c>
      <c r="M308" s="14">
        <f>IFERROR(_xlfn.XLOOKUP(VLOOKUP(tblEnlaces[[#This Row],[Canal]],tblCanales[#All],6,FALSE),tblPesosValorOperativo[Valor],tblPesosValorOperativo[Trazabilidad],0),0)</f>
        <v>0</v>
      </c>
      <c r="N308" s="14">
        <f>IFERROR(_xlfn.XLOOKUP(VLOOKUP(tblEnlaces[[#This Row],[Canal]],tblCanales[#All],7,FALSE),tblPesosValorOperativo[Valor],tblPesosValorOperativo[Velocidad],0),0)</f>
        <v>0</v>
      </c>
      <c r="O308" s="14">
        <f>IFERROR(_xlfn.XLOOKUP(VLOOKUP(tblEnlaces[[#This Row],[Canal]],tblCanales[#All],8,FALSE),tblPesosValorOperativo[Valor],tblPesosValorOperativo[Escalabilidad],0),0)</f>
        <v>0</v>
      </c>
      <c r="P308" s="53">
        <f>tblEnlaces[[#This Row],[Opacidad]]+tblEnlaces[[#This Row],[Escalabilidad]]+tblEnlaces[[#This Row],[Velocidad]]+tblEnlaces[[#This Row],[Trazabilidad]]</f>
        <v>0</v>
      </c>
    </row>
    <row r="309" spans="2:16" ht="16.5" customHeight="1" x14ac:dyDescent="0.25">
      <c r="B309" s="66" t="str">
        <f t="array" ref="B30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09" s="10" t="e">
        <f>VLOOKUP(tblEnlaces[[#This Row],[Nodo Inicial]],tblNodos[],2,FALSE)</f>
        <v>#N/A</v>
      </c>
      <c r="E309" s="39"/>
      <c r="F309" s="10" t="e">
        <f>VLOOKUP(tblEnlaces[[#This Row],[Nodo Final]],tblNodos[],2,FALSE)</f>
        <v>#N/A</v>
      </c>
      <c r="G309" s="39"/>
      <c r="I309" s="53">
        <f>IFERROR(_xlfn.XLOOKUP(VLOOKUP(tblEnlaces[[#This Row],[Canal]],tblCanales[#All],2,FALSE),tblPesosValorOperativo[Valor],tblPesosValorOperativo[Frecuencia de Uso],0),0)</f>
        <v>0</v>
      </c>
      <c r="J30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09" s="64">
        <f>IFERROR(_xlfn.XLOOKUP(VLOOKUP(tblEnlaces[[#This Row],[Canal]],tblCanales[#All],3,FALSE),tblPesosCoste[Valor],tblPesosCoste[Peso],0),0)</f>
        <v>0</v>
      </c>
      <c r="L309" s="10">
        <f>IFERROR(_xlfn.XLOOKUP(VLOOKUP(tblEnlaces[[#This Row],[Canal]],tblCanales[#All],5,FALSE),tblPesosValorOperativo[Valor],tblPesosValorOperativo[Opacidad],0),0)</f>
        <v>0</v>
      </c>
      <c r="M309" s="14">
        <f>IFERROR(_xlfn.XLOOKUP(VLOOKUP(tblEnlaces[[#This Row],[Canal]],tblCanales[#All],6,FALSE),tblPesosValorOperativo[Valor],tblPesosValorOperativo[Trazabilidad],0),0)</f>
        <v>0</v>
      </c>
      <c r="N309" s="14">
        <f>IFERROR(_xlfn.XLOOKUP(VLOOKUP(tblEnlaces[[#This Row],[Canal]],tblCanales[#All],7,FALSE),tblPesosValorOperativo[Valor],tblPesosValorOperativo[Velocidad],0),0)</f>
        <v>0</v>
      </c>
      <c r="O309" s="14">
        <f>IFERROR(_xlfn.XLOOKUP(VLOOKUP(tblEnlaces[[#This Row],[Canal]],tblCanales[#All],8,FALSE),tblPesosValorOperativo[Valor],tblPesosValorOperativo[Escalabilidad],0),0)</f>
        <v>0</v>
      </c>
      <c r="P309" s="53">
        <f>tblEnlaces[[#This Row],[Opacidad]]+tblEnlaces[[#This Row],[Escalabilidad]]+tblEnlaces[[#This Row],[Velocidad]]+tblEnlaces[[#This Row],[Trazabilidad]]</f>
        <v>0</v>
      </c>
    </row>
    <row r="310" spans="2:16" ht="16.5" customHeight="1" x14ac:dyDescent="0.25">
      <c r="B310" s="66" t="str">
        <f t="array" ref="B31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10" s="10" t="e">
        <f>VLOOKUP(tblEnlaces[[#This Row],[Nodo Inicial]],tblNodos[],2,FALSE)</f>
        <v>#N/A</v>
      </c>
      <c r="E310" s="39"/>
      <c r="F310" s="10" t="e">
        <f>VLOOKUP(tblEnlaces[[#This Row],[Nodo Final]],tblNodos[],2,FALSE)</f>
        <v>#N/A</v>
      </c>
      <c r="G310" s="39"/>
      <c r="I310" s="53">
        <f>IFERROR(_xlfn.XLOOKUP(VLOOKUP(tblEnlaces[[#This Row],[Canal]],tblCanales[#All],2,FALSE),tblPesosValorOperativo[Valor],tblPesosValorOperativo[Frecuencia de Uso],0),0)</f>
        <v>0</v>
      </c>
      <c r="J31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10" s="64">
        <f>IFERROR(_xlfn.XLOOKUP(VLOOKUP(tblEnlaces[[#This Row],[Canal]],tblCanales[#All],3,FALSE),tblPesosCoste[Valor],tblPesosCoste[Peso],0),0)</f>
        <v>0</v>
      </c>
      <c r="L310" s="10">
        <f>IFERROR(_xlfn.XLOOKUP(VLOOKUP(tblEnlaces[[#This Row],[Canal]],tblCanales[#All],5,FALSE),tblPesosValorOperativo[Valor],tblPesosValorOperativo[Opacidad],0),0)</f>
        <v>0</v>
      </c>
      <c r="M310" s="14">
        <f>IFERROR(_xlfn.XLOOKUP(VLOOKUP(tblEnlaces[[#This Row],[Canal]],tblCanales[#All],6,FALSE),tblPesosValorOperativo[Valor],tblPesosValorOperativo[Trazabilidad],0),0)</f>
        <v>0</v>
      </c>
      <c r="N310" s="14">
        <f>IFERROR(_xlfn.XLOOKUP(VLOOKUP(tblEnlaces[[#This Row],[Canal]],tblCanales[#All],7,FALSE),tblPesosValorOperativo[Valor],tblPesosValorOperativo[Velocidad],0),0)</f>
        <v>0</v>
      </c>
      <c r="O310" s="14">
        <f>IFERROR(_xlfn.XLOOKUP(VLOOKUP(tblEnlaces[[#This Row],[Canal]],tblCanales[#All],8,FALSE),tblPesosValorOperativo[Valor],tblPesosValorOperativo[Escalabilidad],0),0)</f>
        <v>0</v>
      </c>
      <c r="P310" s="53">
        <f>tblEnlaces[[#This Row],[Opacidad]]+tblEnlaces[[#This Row],[Escalabilidad]]+tblEnlaces[[#This Row],[Velocidad]]+tblEnlaces[[#This Row],[Trazabilidad]]</f>
        <v>0</v>
      </c>
    </row>
    <row r="311" spans="2:16" ht="16.5" customHeight="1" x14ac:dyDescent="0.25">
      <c r="B311" s="66" t="str">
        <f t="array" ref="B31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11" s="10" t="e">
        <f>VLOOKUP(tblEnlaces[[#This Row],[Nodo Inicial]],tblNodos[],2,FALSE)</f>
        <v>#N/A</v>
      </c>
      <c r="E311" s="39"/>
      <c r="F311" s="10" t="e">
        <f>VLOOKUP(tblEnlaces[[#This Row],[Nodo Final]],tblNodos[],2,FALSE)</f>
        <v>#N/A</v>
      </c>
      <c r="G311" s="39"/>
      <c r="I311" s="53">
        <f>IFERROR(_xlfn.XLOOKUP(VLOOKUP(tblEnlaces[[#This Row],[Canal]],tblCanales[#All],2,FALSE),tblPesosValorOperativo[Valor],tblPesosValorOperativo[Frecuencia de Uso],0),0)</f>
        <v>0</v>
      </c>
      <c r="J31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11" s="64">
        <f>IFERROR(_xlfn.XLOOKUP(VLOOKUP(tblEnlaces[[#This Row],[Canal]],tblCanales[#All],3,FALSE),tblPesosCoste[Valor],tblPesosCoste[Peso],0),0)</f>
        <v>0</v>
      </c>
      <c r="L311" s="10">
        <f>IFERROR(_xlfn.XLOOKUP(VLOOKUP(tblEnlaces[[#This Row],[Canal]],tblCanales[#All],5,FALSE),tblPesosValorOperativo[Valor],tblPesosValorOperativo[Opacidad],0),0)</f>
        <v>0</v>
      </c>
      <c r="M311" s="14">
        <f>IFERROR(_xlfn.XLOOKUP(VLOOKUP(tblEnlaces[[#This Row],[Canal]],tblCanales[#All],6,FALSE),tblPesosValorOperativo[Valor],tblPesosValorOperativo[Trazabilidad],0),0)</f>
        <v>0</v>
      </c>
      <c r="N311" s="14">
        <f>IFERROR(_xlfn.XLOOKUP(VLOOKUP(tblEnlaces[[#This Row],[Canal]],tblCanales[#All],7,FALSE),tblPesosValorOperativo[Valor],tblPesosValorOperativo[Velocidad],0),0)</f>
        <v>0</v>
      </c>
      <c r="O311" s="14">
        <f>IFERROR(_xlfn.XLOOKUP(VLOOKUP(tblEnlaces[[#This Row],[Canal]],tblCanales[#All],8,FALSE),tblPesosValorOperativo[Valor],tblPesosValorOperativo[Escalabilidad],0),0)</f>
        <v>0</v>
      </c>
      <c r="P311" s="53">
        <f>tblEnlaces[[#This Row],[Opacidad]]+tblEnlaces[[#This Row],[Escalabilidad]]+tblEnlaces[[#This Row],[Velocidad]]+tblEnlaces[[#This Row],[Trazabilidad]]</f>
        <v>0</v>
      </c>
    </row>
    <row r="312" spans="2:16" ht="16.5" customHeight="1" x14ac:dyDescent="0.25">
      <c r="B312" s="66" t="str">
        <f t="array" ref="B31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12" s="10" t="e">
        <f>VLOOKUP(tblEnlaces[[#This Row],[Nodo Inicial]],tblNodos[],2,FALSE)</f>
        <v>#N/A</v>
      </c>
      <c r="E312" s="39"/>
      <c r="F312" s="10" t="e">
        <f>VLOOKUP(tblEnlaces[[#This Row],[Nodo Final]],tblNodos[],2,FALSE)</f>
        <v>#N/A</v>
      </c>
      <c r="G312" s="39"/>
      <c r="I312" s="53">
        <f>IFERROR(_xlfn.XLOOKUP(VLOOKUP(tblEnlaces[[#This Row],[Canal]],tblCanales[#All],2,FALSE),tblPesosValorOperativo[Valor],tblPesosValorOperativo[Frecuencia de Uso],0),0)</f>
        <v>0</v>
      </c>
      <c r="J31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12" s="64">
        <f>IFERROR(_xlfn.XLOOKUP(VLOOKUP(tblEnlaces[[#This Row],[Canal]],tblCanales[#All],3,FALSE),tblPesosCoste[Valor],tblPesosCoste[Peso],0),0)</f>
        <v>0</v>
      </c>
      <c r="L312" s="10">
        <f>IFERROR(_xlfn.XLOOKUP(VLOOKUP(tblEnlaces[[#This Row],[Canal]],tblCanales[#All],5,FALSE),tblPesosValorOperativo[Valor],tblPesosValorOperativo[Opacidad],0),0)</f>
        <v>0</v>
      </c>
      <c r="M312" s="14">
        <f>IFERROR(_xlfn.XLOOKUP(VLOOKUP(tblEnlaces[[#This Row],[Canal]],tblCanales[#All],6,FALSE),tblPesosValorOperativo[Valor],tblPesosValorOperativo[Trazabilidad],0),0)</f>
        <v>0</v>
      </c>
      <c r="N312" s="14">
        <f>IFERROR(_xlfn.XLOOKUP(VLOOKUP(tblEnlaces[[#This Row],[Canal]],tblCanales[#All],7,FALSE),tblPesosValorOperativo[Valor],tblPesosValorOperativo[Velocidad],0),0)</f>
        <v>0</v>
      </c>
      <c r="O312" s="14">
        <f>IFERROR(_xlfn.XLOOKUP(VLOOKUP(tblEnlaces[[#This Row],[Canal]],tblCanales[#All],8,FALSE),tblPesosValorOperativo[Valor],tblPesosValorOperativo[Escalabilidad],0),0)</f>
        <v>0</v>
      </c>
      <c r="P312" s="53">
        <f>tblEnlaces[[#This Row],[Opacidad]]+tblEnlaces[[#This Row],[Escalabilidad]]+tblEnlaces[[#This Row],[Velocidad]]+tblEnlaces[[#This Row],[Trazabilidad]]</f>
        <v>0</v>
      </c>
    </row>
    <row r="313" spans="2:16" ht="16.5" customHeight="1" x14ac:dyDescent="0.25">
      <c r="B313" s="66" t="str">
        <f t="array" ref="B31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13" s="10" t="e">
        <f>VLOOKUP(tblEnlaces[[#This Row],[Nodo Inicial]],tblNodos[],2,FALSE)</f>
        <v>#N/A</v>
      </c>
      <c r="E313" s="39"/>
      <c r="F313" s="10" t="e">
        <f>VLOOKUP(tblEnlaces[[#This Row],[Nodo Final]],tblNodos[],2,FALSE)</f>
        <v>#N/A</v>
      </c>
      <c r="G313" s="39"/>
      <c r="I313" s="53">
        <f>IFERROR(_xlfn.XLOOKUP(VLOOKUP(tblEnlaces[[#This Row],[Canal]],tblCanales[#All],2,FALSE),tblPesosValorOperativo[Valor],tblPesosValorOperativo[Frecuencia de Uso],0),0)</f>
        <v>0</v>
      </c>
      <c r="J31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13" s="64">
        <f>IFERROR(_xlfn.XLOOKUP(VLOOKUP(tblEnlaces[[#This Row],[Canal]],tblCanales[#All],3,FALSE),tblPesosCoste[Valor],tblPesosCoste[Peso],0),0)</f>
        <v>0</v>
      </c>
      <c r="L313" s="10">
        <f>IFERROR(_xlfn.XLOOKUP(VLOOKUP(tblEnlaces[[#This Row],[Canal]],tblCanales[#All],5,FALSE),tblPesosValorOperativo[Valor],tblPesosValorOperativo[Opacidad],0),0)</f>
        <v>0</v>
      </c>
      <c r="M313" s="14">
        <f>IFERROR(_xlfn.XLOOKUP(VLOOKUP(tblEnlaces[[#This Row],[Canal]],tblCanales[#All],6,FALSE),tblPesosValorOperativo[Valor],tblPesosValorOperativo[Trazabilidad],0),0)</f>
        <v>0</v>
      </c>
      <c r="N313" s="14">
        <f>IFERROR(_xlfn.XLOOKUP(VLOOKUP(tblEnlaces[[#This Row],[Canal]],tblCanales[#All],7,FALSE),tblPesosValorOperativo[Valor],tblPesosValorOperativo[Velocidad],0),0)</f>
        <v>0</v>
      </c>
      <c r="O313" s="14">
        <f>IFERROR(_xlfn.XLOOKUP(VLOOKUP(tblEnlaces[[#This Row],[Canal]],tblCanales[#All],8,FALSE),tblPesosValorOperativo[Valor],tblPesosValorOperativo[Escalabilidad],0),0)</f>
        <v>0</v>
      </c>
      <c r="P313" s="53">
        <f>tblEnlaces[[#This Row],[Opacidad]]+tblEnlaces[[#This Row],[Escalabilidad]]+tblEnlaces[[#This Row],[Velocidad]]+tblEnlaces[[#This Row],[Trazabilidad]]</f>
        <v>0</v>
      </c>
    </row>
    <row r="314" spans="2:16" ht="16.5" customHeight="1" x14ac:dyDescent="0.25">
      <c r="B314" s="66" t="str">
        <f t="array" ref="B31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14" s="10" t="e">
        <f>VLOOKUP(tblEnlaces[[#This Row],[Nodo Inicial]],tblNodos[],2,FALSE)</f>
        <v>#N/A</v>
      </c>
      <c r="E314" s="39"/>
      <c r="F314" s="10" t="e">
        <f>VLOOKUP(tblEnlaces[[#This Row],[Nodo Final]],tblNodos[],2,FALSE)</f>
        <v>#N/A</v>
      </c>
      <c r="G314" s="39"/>
      <c r="I314" s="53">
        <f>IFERROR(_xlfn.XLOOKUP(VLOOKUP(tblEnlaces[[#This Row],[Canal]],tblCanales[#All],2,FALSE),tblPesosValorOperativo[Valor],tblPesosValorOperativo[Frecuencia de Uso],0),0)</f>
        <v>0</v>
      </c>
      <c r="J31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14" s="64">
        <f>IFERROR(_xlfn.XLOOKUP(VLOOKUP(tblEnlaces[[#This Row],[Canal]],tblCanales[#All],3,FALSE),tblPesosCoste[Valor],tblPesosCoste[Peso],0),0)</f>
        <v>0</v>
      </c>
      <c r="L314" s="10">
        <f>IFERROR(_xlfn.XLOOKUP(VLOOKUP(tblEnlaces[[#This Row],[Canal]],tblCanales[#All],5,FALSE),tblPesosValorOperativo[Valor],tblPesosValorOperativo[Opacidad],0),0)</f>
        <v>0</v>
      </c>
      <c r="M314" s="14">
        <f>IFERROR(_xlfn.XLOOKUP(VLOOKUP(tblEnlaces[[#This Row],[Canal]],tblCanales[#All],6,FALSE),tblPesosValorOperativo[Valor],tblPesosValorOperativo[Trazabilidad],0),0)</f>
        <v>0</v>
      </c>
      <c r="N314" s="14">
        <f>IFERROR(_xlfn.XLOOKUP(VLOOKUP(tblEnlaces[[#This Row],[Canal]],tblCanales[#All],7,FALSE),tblPesosValorOperativo[Valor],tblPesosValorOperativo[Velocidad],0),0)</f>
        <v>0</v>
      </c>
      <c r="O314" s="14">
        <f>IFERROR(_xlfn.XLOOKUP(VLOOKUP(tblEnlaces[[#This Row],[Canal]],tblCanales[#All],8,FALSE),tblPesosValorOperativo[Valor],tblPesosValorOperativo[Escalabilidad],0),0)</f>
        <v>0</v>
      </c>
      <c r="P314" s="53">
        <f>tblEnlaces[[#This Row],[Opacidad]]+tblEnlaces[[#This Row],[Escalabilidad]]+tblEnlaces[[#This Row],[Velocidad]]+tblEnlaces[[#This Row],[Trazabilidad]]</f>
        <v>0</v>
      </c>
    </row>
    <row r="315" spans="2:16" ht="16.5" customHeight="1" x14ac:dyDescent="0.25">
      <c r="B315" s="66" t="str">
        <f t="array" ref="B31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15" s="10" t="e">
        <f>VLOOKUP(tblEnlaces[[#This Row],[Nodo Inicial]],tblNodos[],2,FALSE)</f>
        <v>#N/A</v>
      </c>
      <c r="E315" s="39"/>
      <c r="F315" s="10" t="e">
        <f>VLOOKUP(tblEnlaces[[#This Row],[Nodo Final]],tblNodos[],2,FALSE)</f>
        <v>#N/A</v>
      </c>
      <c r="G315" s="39"/>
      <c r="I315" s="53">
        <f>IFERROR(_xlfn.XLOOKUP(VLOOKUP(tblEnlaces[[#This Row],[Canal]],tblCanales[#All],2,FALSE),tblPesosValorOperativo[Valor],tblPesosValorOperativo[Frecuencia de Uso],0),0)</f>
        <v>0</v>
      </c>
      <c r="J31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15" s="64">
        <f>IFERROR(_xlfn.XLOOKUP(VLOOKUP(tblEnlaces[[#This Row],[Canal]],tblCanales[#All],3,FALSE),tblPesosCoste[Valor],tblPesosCoste[Peso],0),0)</f>
        <v>0</v>
      </c>
      <c r="L315" s="10">
        <f>IFERROR(_xlfn.XLOOKUP(VLOOKUP(tblEnlaces[[#This Row],[Canal]],tblCanales[#All],5,FALSE),tblPesosValorOperativo[Valor],tblPesosValorOperativo[Opacidad],0),0)</f>
        <v>0</v>
      </c>
      <c r="M315" s="14">
        <f>IFERROR(_xlfn.XLOOKUP(VLOOKUP(tblEnlaces[[#This Row],[Canal]],tblCanales[#All],6,FALSE),tblPesosValorOperativo[Valor],tblPesosValorOperativo[Trazabilidad],0),0)</f>
        <v>0</v>
      </c>
      <c r="N315" s="14">
        <f>IFERROR(_xlfn.XLOOKUP(VLOOKUP(tblEnlaces[[#This Row],[Canal]],tblCanales[#All],7,FALSE),tblPesosValorOperativo[Valor],tblPesosValorOperativo[Velocidad],0),0)</f>
        <v>0</v>
      </c>
      <c r="O315" s="14">
        <f>IFERROR(_xlfn.XLOOKUP(VLOOKUP(tblEnlaces[[#This Row],[Canal]],tblCanales[#All],8,FALSE),tblPesosValorOperativo[Valor],tblPesosValorOperativo[Escalabilidad],0),0)</f>
        <v>0</v>
      </c>
      <c r="P315" s="53">
        <f>tblEnlaces[[#This Row],[Opacidad]]+tblEnlaces[[#This Row],[Escalabilidad]]+tblEnlaces[[#This Row],[Velocidad]]+tblEnlaces[[#This Row],[Trazabilidad]]</f>
        <v>0</v>
      </c>
    </row>
    <row r="316" spans="2:16" ht="16.5" customHeight="1" x14ac:dyDescent="0.25">
      <c r="B316" s="66" t="str">
        <f t="array" ref="B31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16" s="10" t="e">
        <f>VLOOKUP(tblEnlaces[[#This Row],[Nodo Inicial]],tblNodos[],2,FALSE)</f>
        <v>#N/A</v>
      </c>
      <c r="E316" s="39"/>
      <c r="F316" s="10" t="e">
        <f>VLOOKUP(tblEnlaces[[#This Row],[Nodo Final]],tblNodos[],2,FALSE)</f>
        <v>#N/A</v>
      </c>
      <c r="G316" s="39"/>
      <c r="I316" s="53">
        <f>IFERROR(_xlfn.XLOOKUP(VLOOKUP(tblEnlaces[[#This Row],[Canal]],tblCanales[#All],2,FALSE),tblPesosValorOperativo[Valor],tblPesosValorOperativo[Frecuencia de Uso],0),0)</f>
        <v>0</v>
      </c>
      <c r="J31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16" s="64">
        <f>IFERROR(_xlfn.XLOOKUP(VLOOKUP(tblEnlaces[[#This Row],[Canal]],tblCanales[#All],3,FALSE),tblPesosCoste[Valor],tblPesosCoste[Peso],0),0)</f>
        <v>0</v>
      </c>
      <c r="L316" s="10">
        <f>IFERROR(_xlfn.XLOOKUP(VLOOKUP(tblEnlaces[[#This Row],[Canal]],tblCanales[#All],5,FALSE),tblPesosValorOperativo[Valor],tblPesosValorOperativo[Opacidad],0),0)</f>
        <v>0</v>
      </c>
      <c r="M316" s="14">
        <f>IFERROR(_xlfn.XLOOKUP(VLOOKUP(tblEnlaces[[#This Row],[Canal]],tblCanales[#All],6,FALSE),tblPesosValorOperativo[Valor],tblPesosValorOperativo[Trazabilidad],0),0)</f>
        <v>0</v>
      </c>
      <c r="N316" s="14">
        <f>IFERROR(_xlfn.XLOOKUP(VLOOKUP(tblEnlaces[[#This Row],[Canal]],tblCanales[#All],7,FALSE),tblPesosValorOperativo[Valor],tblPesosValorOperativo[Velocidad],0),0)</f>
        <v>0</v>
      </c>
      <c r="O316" s="14">
        <f>IFERROR(_xlfn.XLOOKUP(VLOOKUP(tblEnlaces[[#This Row],[Canal]],tblCanales[#All],8,FALSE),tblPesosValorOperativo[Valor],tblPesosValorOperativo[Escalabilidad],0),0)</f>
        <v>0</v>
      </c>
      <c r="P316" s="53">
        <f>tblEnlaces[[#This Row],[Opacidad]]+tblEnlaces[[#This Row],[Escalabilidad]]+tblEnlaces[[#This Row],[Velocidad]]+tblEnlaces[[#This Row],[Trazabilidad]]</f>
        <v>0</v>
      </c>
    </row>
    <row r="317" spans="2:16" ht="16.5" customHeight="1" x14ac:dyDescent="0.25">
      <c r="B317" s="66" t="str">
        <f t="array" ref="B31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17" s="10" t="e">
        <f>VLOOKUP(tblEnlaces[[#This Row],[Nodo Inicial]],tblNodos[],2,FALSE)</f>
        <v>#N/A</v>
      </c>
      <c r="E317" s="39"/>
      <c r="F317" s="10" t="e">
        <f>VLOOKUP(tblEnlaces[[#This Row],[Nodo Final]],tblNodos[],2,FALSE)</f>
        <v>#N/A</v>
      </c>
      <c r="G317" s="39"/>
      <c r="I317" s="53">
        <f>IFERROR(_xlfn.XLOOKUP(VLOOKUP(tblEnlaces[[#This Row],[Canal]],tblCanales[#All],2,FALSE),tblPesosValorOperativo[Valor],tblPesosValorOperativo[Frecuencia de Uso],0),0)</f>
        <v>0</v>
      </c>
      <c r="J31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17" s="64">
        <f>IFERROR(_xlfn.XLOOKUP(VLOOKUP(tblEnlaces[[#This Row],[Canal]],tblCanales[#All],3,FALSE),tblPesosCoste[Valor],tblPesosCoste[Peso],0),0)</f>
        <v>0</v>
      </c>
      <c r="L317" s="10">
        <f>IFERROR(_xlfn.XLOOKUP(VLOOKUP(tblEnlaces[[#This Row],[Canal]],tblCanales[#All],5,FALSE),tblPesosValorOperativo[Valor],tblPesosValorOperativo[Opacidad],0),0)</f>
        <v>0</v>
      </c>
      <c r="M317" s="14">
        <f>IFERROR(_xlfn.XLOOKUP(VLOOKUP(tblEnlaces[[#This Row],[Canal]],tblCanales[#All],6,FALSE),tblPesosValorOperativo[Valor],tblPesosValorOperativo[Trazabilidad],0),0)</f>
        <v>0</v>
      </c>
      <c r="N317" s="14">
        <f>IFERROR(_xlfn.XLOOKUP(VLOOKUP(tblEnlaces[[#This Row],[Canal]],tblCanales[#All],7,FALSE),tblPesosValorOperativo[Valor],tblPesosValorOperativo[Velocidad],0),0)</f>
        <v>0</v>
      </c>
      <c r="O317" s="14">
        <f>IFERROR(_xlfn.XLOOKUP(VLOOKUP(tblEnlaces[[#This Row],[Canal]],tblCanales[#All],8,FALSE),tblPesosValorOperativo[Valor],tblPesosValorOperativo[Escalabilidad],0),0)</f>
        <v>0</v>
      </c>
      <c r="P317" s="53">
        <f>tblEnlaces[[#This Row],[Opacidad]]+tblEnlaces[[#This Row],[Escalabilidad]]+tblEnlaces[[#This Row],[Velocidad]]+tblEnlaces[[#This Row],[Trazabilidad]]</f>
        <v>0</v>
      </c>
    </row>
    <row r="318" spans="2:16" ht="16.5" customHeight="1" x14ac:dyDescent="0.25">
      <c r="B318" s="66" t="str">
        <f t="array" ref="B31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18" s="10" t="e">
        <f>VLOOKUP(tblEnlaces[[#This Row],[Nodo Inicial]],tblNodos[],2,FALSE)</f>
        <v>#N/A</v>
      </c>
      <c r="E318" s="39"/>
      <c r="F318" s="10" t="e">
        <f>VLOOKUP(tblEnlaces[[#This Row],[Nodo Final]],tblNodos[],2,FALSE)</f>
        <v>#N/A</v>
      </c>
      <c r="G318" s="39"/>
      <c r="I318" s="53">
        <f>IFERROR(_xlfn.XLOOKUP(VLOOKUP(tblEnlaces[[#This Row],[Canal]],tblCanales[#All],2,FALSE),tblPesosValorOperativo[Valor],tblPesosValorOperativo[Frecuencia de Uso],0),0)</f>
        <v>0</v>
      </c>
      <c r="J31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18" s="64">
        <f>IFERROR(_xlfn.XLOOKUP(VLOOKUP(tblEnlaces[[#This Row],[Canal]],tblCanales[#All],3,FALSE),tblPesosCoste[Valor],tblPesosCoste[Peso],0),0)</f>
        <v>0</v>
      </c>
      <c r="L318" s="10">
        <f>IFERROR(_xlfn.XLOOKUP(VLOOKUP(tblEnlaces[[#This Row],[Canal]],tblCanales[#All],5,FALSE),tblPesosValorOperativo[Valor],tblPesosValorOperativo[Opacidad],0),0)</f>
        <v>0</v>
      </c>
      <c r="M318" s="14">
        <f>IFERROR(_xlfn.XLOOKUP(VLOOKUP(tblEnlaces[[#This Row],[Canal]],tblCanales[#All],6,FALSE),tblPesosValorOperativo[Valor],tblPesosValorOperativo[Trazabilidad],0),0)</f>
        <v>0</v>
      </c>
      <c r="N318" s="14">
        <f>IFERROR(_xlfn.XLOOKUP(VLOOKUP(tblEnlaces[[#This Row],[Canal]],tblCanales[#All],7,FALSE),tblPesosValorOperativo[Valor],tblPesosValorOperativo[Velocidad],0),0)</f>
        <v>0</v>
      </c>
      <c r="O318" s="14">
        <f>IFERROR(_xlfn.XLOOKUP(VLOOKUP(tblEnlaces[[#This Row],[Canal]],tblCanales[#All],8,FALSE),tblPesosValorOperativo[Valor],tblPesosValorOperativo[Escalabilidad],0),0)</f>
        <v>0</v>
      </c>
      <c r="P318" s="53">
        <f>tblEnlaces[[#This Row],[Opacidad]]+tblEnlaces[[#This Row],[Escalabilidad]]+tblEnlaces[[#This Row],[Velocidad]]+tblEnlaces[[#This Row],[Trazabilidad]]</f>
        <v>0</v>
      </c>
    </row>
    <row r="319" spans="2:16" ht="16.5" customHeight="1" x14ac:dyDescent="0.25">
      <c r="B319" s="66" t="str">
        <f t="array" ref="B31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19" s="10" t="e">
        <f>VLOOKUP(tblEnlaces[[#This Row],[Nodo Inicial]],tblNodos[],2,FALSE)</f>
        <v>#N/A</v>
      </c>
      <c r="E319" s="39"/>
      <c r="F319" s="10" t="e">
        <f>VLOOKUP(tblEnlaces[[#This Row],[Nodo Final]],tblNodos[],2,FALSE)</f>
        <v>#N/A</v>
      </c>
      <c r="G319" s="39"/>
      <c r="I319" s="53">
        <f>IFERROR(_xlfn.XLOOKUP(VLOOKUP(tblEnlaces[[#This Row],[Canal]],tblCanales[#All],2,FALSE),tblPesosValorOperativo[Valor],tblPesosValorOperativo[Frecuencia de Uso],0),0)</f>
        <v>0</v>
      </c>
      <c r="J31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19" s="64">
        <f>IFERROR(_xlfn.XLOOKUP(VLOOKUP(tblEnlaces[[#This Row],[Canal]],tblCanales[#All],3,FALSE),tblPesosCoste[Valor],tblPesosCoste[Peso],0),0)</f>
        <v>0</v>
      </c>
      <c r="L319" s="10">
        <f>IFERROR(_xlfn.XLOOKUP(VLOOKUP(tblEnlaces[[#This Row],[Canal]],tblCanales[#All],5,FALSE),tblPesosValorOperativo[Valor],tblPesosValorOperativo[Opacidad],0),0)</f>
        <v>0</v>
      </c>
      <c r="M319" s="14">
        <f>IFERROR(_xlfn.XLOOKUP(VLOOKUP(tblEnlaces[[#This Row],[Canal]],tblCanales[#All],6,FALSE),tblPesosValorOperativo[Valor],tblPesosValorOperativo[Trazabilidad],0),0)</f>
        <v>0</v>
      </c>
      <c r="N319" s="14">
        <f>IFERROR(_xlfn.XLOOKUP(VLOOKUP(tblEnlaces[[#This Row],[Canal]],tblCanales[#All],7,FALSE),tblPesosValorOperativo[Valor],tblPesosValorOperativo[Velocidad],0),0)</f>
        <v>0</v>
      </c>
      <c r="O319" s="14">
        <f>IFERROR(_xlfn.XLOOKUP(VLOOKUP(tblEnlaces[[#This Row],[Canal]],tblCanales[#All],8,FALSE),tblPesosValorOperativo[Valor],tblPesosValorOperativo[Escalabilidad],0),0)</f>
        <v>0</v>
      </c>
      <c r="P319" s="53">
        <f>tblEnlaces[[#This Row],[Opacidad]]+tblEnlaces[[#This Row],[Escalabilidad]]+tblEnlaces[[#This Row],[Velocidad]]+tblEnlaces[[#This Row],[Trazabilidad]]</f>
        <v>0</v>
      </c>
    </row>
    <row r="320" spans="2:16" ht="16.5" customHeight="1" x14ac:dyDescent="0.25">
      <c r="B320" s="66" t="str">
        <f t="array" ref="B32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20" s="10" t="e">
        <f>VLOOKUP(tblEnlaces[[#This Row],[Nodo Inicial]],tblNodos[],2,FALSE)</f>
        <v>#N/A</v>
      </c>
      <c r="E320" s="39"/>
      <c r="F320" s="10" t="e">
        <f>VLOOKUP(tblEnlaces[[#This Row],[Nodo Final]],tblNodos[],2,FALSE)</f>
        <v>#N/A</v>
      </c>
      <c r="G320" s="39"/>
      <c r="I320" s="53">
        <f>IFERROR(_xlfn.XLOOKUP(VLOOKUP(tblEnlaces[[#This Row],[Canal]],tblCanales[#All],2,FALSE),tblPesosValorOperativo[Valor],tblPesosValorOperativo[Frecuencia de Uso],0),0)</f>
        <v>0</v>
      </c>
      <c r="J32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20" s="64">
        <f>IFERROR(_xlfn.XLOOKUP(VLOOKUP(tblEnlaces[[#This Row],[Canal]],tblCanales[#All],3,FALSE),tblPesosCoste[Valor],tblPesosCoste[Peso],0),0)</f>
        <v>0</v>
      </c>
      <c r="L320" s="10">
        <f>IFERROR(_xlfn.XLOOKUP(VLOOKUP(tblEnlaces[[#This Row],[Canal]],tblCanales[#All],5,FALSE),tblPesosValorOperativo[Valor],tblPesosValorOperativo[Opacidad],0),0)</f>
        <v>0</v>
      </c>
      <c r="M320" s="14">
        <f>IFERROR(_xlfn.XLOOKUP(VLOOKUP(tblEnlaces[[#This Row],[Canal]],tblCanales[#All],6,FALSE),tblPesosValorOperativo[Valor],tblPesosValorOperativo[Trazabilidad],0),0)</f>
        <v>0</v>
      </c>
      <c r="N320" s="14">
        <f>IFERROR(_xlfn.XLOOKUP(VLOOKUP(tblEnlaces[[#This Row],[Canal]],tblCanales[#All],7,FALSE),tblPesosValorOperativo[Valor],tblPesosValorOperativo[Velocidad],0),0)</f>
        <v>0</v>
      </c>
      <c r="O320" s="14">
        <f>IFERROR(_xlfn.XLOOKUP(VLOOKUP(tblEnlaces[[#This Row],[Canal]],tblCanales[#All],8,FALSE),tblPesosValorOperativo[Valor],tblPesosValorOperativo[Escalabilidad],0),0)</f>
        <v>0</v>
      </c>
      <c r="P320" s="53">
        <f>tblEnlaces[[#This Row],[Opacidad]]+tblEnlaces[[#This Row],[Escalabilidad]]+tblEnlaces[[#This Row],[Velocidad]]+tblEnlaces[[#This Row],[Trazabilidad]]</f>
        <v>0</v>
      </c>
    </row>
    <row r="321" spans="2:16" ht="16.5" customHeight="1" x14ac:dyDescent="0.25">
      <c r="B321" s="66" t="str">
        <f t="array" ref="B32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21" s="10" t="e">
        <f>VLOOKUP(tblEnlaces[[#This Row],[Nodo Inicial]],tblNodos[],2,FALSE)</f>
        <v>#N/A</v>
      </c>
      <c r="E321" s="39"/>
      <c r="F321" s="10" t="e">
        <f>VLOOKUP(tblEnlaces[[#This Row],[Nodo Final]],tblNodos[],2,FALSE)</f>
        <v>#N/A</v>
      </c>
      <c r="G321" s="39"/>
      <c r="I321" s="53">
        <f>IFERROR(_xlfn.XLOOKUP(VLOOKUP(tblEnlaces[[#This Row],[Canal]],tblCanales[#All],2,FALSE),tblPesosValorOperativo[Valor],tblPesosValorOperativo[Frecuencia de Uso],0),0)</f>
        <v>0</v>
      </c>
      <c r="J32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21" s="64">
        <f>IFERROR(_xlfn.XLOOKUP(VLOOKUP(tblEnlaces[[#This Row],[Canal]],tblCanales[#All],3,FALSE),tblPesosCoste[Valor],tblPesosCoste[Peso],0),0)</f>
        <v>0</v>
      </c>
      <c r="L321" s="10">
        <f>IFERROR(_xlfn.XLOOKUP(VLOOKUP(tblEnlaces[[#This Row],[Canal]],tblCanales[#All],5,FALSE),tblPesosValorOperativo[Valor],tblPesosValorOperativo[Opacidad],0),0)</f>
        <v>0</v>
      </c>
      <c r="M321" s="14">
        <f>IFERROR(_xlfn.XLOOKUP(VLOOKUP(tblEnlaces[[#This Row],[Canal]],tblCanales[#All],6,FALSE),tblPesosValorOperativo[Valor],tblPesosValorOperativo[Trazabilidad],0),0)</f>
        <v>0</v>
      </c>
      <c r="N321" s="14">
        <f>IFERROR(_xlfn.XLOOKUP(VLOOKUP(tblEnlaces[[#This Row],[Canal]],tblCanales[#All],7,FALSE),tblPesosValorOperativo[Valor],tblPesosValorOperativo[Velocidad],0),0)</f>
        <v>0</v>
      </c>
      <c r="O321" s="14">
        <f>IFERROR(_xlfn.XLOOKUP(VLOOKUP(tblEnlaces[[#This Row],[Canal]],tblCanales[#All],8,FALSE),tblPesosValorOperativo[Valor],tblPesosValorOperativo[Escalabilidad],0),0)</f>
        <v>0</v>
      </c>
      <c r="P321" s="53">
        <f>tblEnlaces[[#This Row],[Opacidad]]+tblEnlaces[[#This Row],[Escalabilidad]]+tblEnlaces[[#This Row],[Velocidad]]+tblEnlaces[[#This Row],[Trazabilidad]]</f>
        <v>0</v>
      </c>
    </row>
    <row r="322" spans="2:16" ht="16.5" customHeight="1" x14ac:dyDescent="0.25">
      <c r="B322" s="66" t="str">
        <f t="array" ref="B32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22" s="10" t="e">
        <f>VLOOKUP(tblEnlaces[[#This Row],[Nodo Inicial]],tblNodos[],2,FALSE)</f>
        <v>#N/A</v>
      </c>
      <c r="E322" s="39"/>
      <c r="F322" s="10" t="e">
        <f>VLOOKUP(tblEnlaces[[#This Row],[Nodo Final]],tblNodos[],2,FALSE)</f>
        <v>#N/A</v>
      </c>
      <c r="G322" s="39"/>
      <c r="I322" s="53">
        <f>IFERROR(_xlfn.XLOOKUP(VLOOKUP(tblEnlaces[[#This Row],[Canal]],tblCanales[#All],2,FALSE),tblPesosValorOperativo[Valor],tblPesosValorOperativo[Frecuencia de Uso],0),0)</f>
        <v>0</v>
      </c>
      <c r="J32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22" s="64">
        <f>IFERROR(_xlfn.XLOOKUP(VLOOKUP(tblEnlaces[[#This Row],[Canal]],tblCanales[#All],3,FALSE),tblPesosCoste[Valor],tblPesosCoste[Peso],0),0)</f>
        <v>0</v>
      </c>
      <c r="L322" s="10">
        <f>IFERROR(_xlfn.XLOOKUP(VLOOKUP(tblEnlaces[[#This Row],[Canal]],tblCanales[#All],5,FALSE),tblPesosValorOperativo[Valor],tblPesosValorOperativo[Opacidad],0),0)</f>
        <v>0</v>
      </c>
      <c r="M322" s="14">
        <f>IFERROR(_xlfn.XLOOKUP(VLOOKUP(tblEnlaces[[#This Row],[Canal]],tblCanales[#All],6,FALSE),tblPesosValorOperativo[Valor],tblPesosValorOperativo[Trazabilidad],0),0)</f>
        <v>0</v>
      </c>
      <c r="N322" s="14">
        <f>IFERROR(_xlfn.XLOOKUP(VLOOKUP(tblEnlaces[[#This Row],[Canal]],tblCanales[#All],7,FALSE),tblPesosValorOperativo[Valor],tblPesosValorOperativo[Velocidad],0),0)</f>
        <v>0</v>
      </c>
      <c r="O322" s="14">
        <f>IFERROR(_xlfn.XLOOKUP(VLOOKUP(tblEnlaces[[#This Row],[Canal]],tblCanales[#All],8,FALSE),tblPesosValorOperativo[Valor],tblPesosValorOperativo[Escalabilidad],0),0)</f>
        <v>0</v>
      </c>
      <c r="P322" s="53">
        <f>tblEnlaces[[#This Row],[Opacidad]]+tblEnlaces[[#This Row],[Escalabilidad]]+tblEnlaces[[#This Row],[Velocidad]]+tblEnlaces[[#This Row],[Trazabilidad]]</f>
        <v>0</v>
      </c>
    </row>
    <row r="323" spans="2:16" ht="16.5" customHeight="1" x14ac:dyDescent="0.25">
      <c r="B323" s="66" t="str">
        <f t="array" ref="B32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23" s="10" t="e">
        <f>VLOOKUP(tblEnlaces[[#This Row],[Nodo Inicial]],tblNodos[],2,FALSE)</f>
        <v>#N/A</v>
      </c>
      <c r="E323" s="39"/>
      <c r="F323" s="10" t="e">
        <f>VLOOKUP(tblEnlaces[[#This Row],[Nodo Final]],tblNodos[],2,FALSE)</f>
        <v>#N/A</v>
      </c>
      <c r="G323" s="39"/>
      <c r="I323" s="53">
        <f>IFERROR(_xlfn.XLOOKUP(VLOOKUP(tblEnlaces[[#This Row],[Canal]],tblCanales[#All],2,FALSE),tblPesosValorOperativo[Valor],tblPesosValorOperativo[Frecuencia de Uso],0),0)</f>
        <v>0</v>
      </c>
      <c r="J32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23" s="64">
        <f>IFERROR(_xlfn.XLOOKUP(VLOOKUP(tblEnlaces[[#This Row],[Canal]],tblCanales[#All],3,FALSE),tblPesosCoste[Valor],tblPesosCoste[Peso],0),0)</f>
        <v>0</v>
      </c>
      <c r="L323" s="10">
        <f>IFERROR(_xlfn.XLOOKUP(VLOOKUP(tblEnlaces[[#This Row],[Canal]],tblCanales[#All],5,FALSE),tblPesosValorOperativo[Valor],tblPesosValorOperativo[Opacidad],0),0)</f>
        <v>0</v>
      </c>
      <c r="M323" s="14">
        <f>IFERROR(_xlfn.XLOOKUP(VLOOKUP(tblEnlaces[[#This Row],[Canal]],tblCanales[#All],6,FALSE),tblPesosValorOperativo[Valor],tblPesosValorOperativo[Trazabilidad],0),0)</f>
        <v>0</v>
      </c>
      <c r="N323" s="14">
        <f>IFERROR(_xlfn.XLOOKUP(VLOOKUP(tblEnlaces[[#This Row],[Canal]],tblCanales[#All],7,FALSE),tblPesosValorOperativo[Valor],tblPesosValorOperativo[Velocidad],0),0)</f>
        <v>0</v>
      </c>
      <c r="O323" s="14">
        <f>IFERROR(_xlfn.XLOOKUP(VLOOKUP(tblEnlaces[[#This Row],[Canal]],tblCanales[#All],8,FALSE),tblPesosValorOperativo[Valor],tblPesosValorOperativo[Escalabilidad],0),0)</f>
        <v>0</v>
      </c>
      <c r="P323" s="53">
        <f>tblEnlaces[[#This Row],[Opacidad]]+tblEnlaces[[#This Row],[Escalabilidad]]+tblEnlaces[[#This Row],[Velocidad]]+tblEnlaces[[#This Row],[Trazabilidad]]</f>
        <v>0</v>
      </c>
    </row>
    <row r="324" spans="2:16" ht="16.5" customHeight="1" x14ac:dyDescent="0.25">
      <c r="B324" s="66" t="str">
        <f t="array" ref="B32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24" s="10" t="e">
        <f>VLOOKUP(tblEnlaces[[#This Row],[Nodo Inicial]],tblNodos[],2,FALSE)</f>
        <v>#N/A</v>
      </c>
      <c r="E324" s="39"/>
      <c r="F324" s="10" t="e">
        <f>VLOOKUP(tblEnlaces[[#This Row],[Nodo Final]],tblNodos[],2,FALSE)</f>
        <v>#N/A</v>
      </c>
      <c r="G324" s="39"/>
      <c r="I324" s="53">
        <f>IFERROR(_xlfn.XLOOKUP(VLOOKUP(tblEnlaces[[#This Row],[Canal]],tblCanales[#All],2,FALSE),tblPesosValorOperativo[Valor],tblPesosValorOperativo[Frecuencia de Uso],0),0)</f>
        <v>0</v>
      </c>
      <c r="J32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24" s="64">
        <f>IFERROR(_xlfn.XLOOKUP(VLOOKUP(tblEnlaces[[#This Row],[Canal]],tblCanales[#All],3,FALSE),tblPesosCoste[Valor],tblPesosCoste[Peso],0),0)</f>
        <v>0</v>
      </c>
      <c r="L324" s="10">
        <f>IFERROR(_xlfn.XLOOKUP(VLOOKUP(tblEnlaces[[#This Row],[Canal]],tblCanales[#All],5,FALSE),tblPesosValorOperativo[Valor],tblPesosValorOperativo[Opacidad],0),0)</f>
        <v>0</v>
      </c>
      <c r="M324" s="14">
        <f>IFERROR(_xlfn.XLOOKUP(VLOOKUP(tblEnlaces[[#This Row],[Canal]],tblCanales[#All],6,FALSE),tblPesosValorOperativo[Valor],tblPesosValorOperativo[Trazabilidad],0),0)</f>
        <v>0</v>
      </c>
      <c r="N324" s="14">
        <f>IFERROR(_xlfn.XLOOKUP(VLOOKUP(tblEnlaces[[#This Row],[Canal]],tblCanales[#All],7,FALSE),tblPesosValorOperativo[Valor],tblPesosValorOperativo[Velocidad],0),0)</f>
        <v>0</v>
      </c>
      <c r="O324" s="14">
        <f>IFERROR(_xlfn.XLOOKUP(VLOOKUP(tblEnlaces[[#This Row],[Canal]],tblCanales[#All],8,FALSE),tblPesosValorOperativo[Valor],tblPesosValorOperativo[Escalabilidad],0),0)</f>
        <v>0</v>
      </c>
      <c r="P324" s="53">
        <f>tblEnlaces[[#This Row],[Opacidad]]+tblEnlaces[[#This Row],[Escalabilidad]]+tblEnlaces[[#This Row],[Velocidad]]+tblEnlaces[[#This Row],[Trazabilidad]]</f>
        <v>0</v>
      </c>
    </row>
    <row r="325" spans="2:16" ht="16.5" customHeight="1" x14ac:dyDescent="0.25">
      <c r="B325" s="66" t="str">
        <f t="array" ref="B32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25" s="10" t="e">
        <f>VLOOKUP(tblEnlaces[[#This Row],[Nodo Inicial]],tblNodos[],2,FALSE)</f>
        <v>#N/A</v>
      </c>
      <c r="E325" s="39"/>
      <c r="F325" s="10" t="e">
        <f>VLOOKUP(tblEnlaces[[#This Row],[Nodo Final]],tblNodos[],2,FALSE)</f>
        <v>#N/A</v>
      </c>
      <c r="G325" s="39"/>
      <c r="I325" s="53">
        <f>IFERROR(_xlfn.XLOOKUP(VLOOKUP(tblEnlaces[[#This Row],[Canal]],tblCanales[#All],2,FALSE),tblPesosValorOperativo[Valor],tblPesosValorOperativo[Frecuencia de Uso],0),0)</f>
        <v>0</v>
      </c>
      <c r="J32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25" s="64">
        <f>IFERROR(_xlfn.XLOOKUP(VLOOKUP(tblEnlaces[[#This Row],[Canal]],tblCanales[#All],3,FALSE),tblPesosCoste[Valor],tblPesosCoste[Peso],0),0)</f>
        <v>0</v>
      </c>
      <c r="L325" s="10">
        <f>IFERROR(_xlfn.XLOOKUP(VLOOKUP(tblEnlaces[[#This Row],[Canal]],tblCanales[#All],5,FALSE),tblPesosValorOperativo[Valor],tblPesosValorOperativo[Opacidad],0),0)</f>
        <v>0</v>
      </c>
      <c r="M325" s="14">
        <f>IFERROR(_xlfn.XLOOKUP(VLOOKUP(tblEnlaces[[#This Row],[Canal]],tblCanales[#All],6,FALSE),tblPesosValorOperativo[Valor],tblPesosValorOperativo[Trazabilidad],0),0)</f>
        <v>0</v>
      </c>
      <c r="N325" s="14">
        <f>IFERROR(_xlfn.XLOOKUP(VLOOKUP(tblEnlaces[[#This Row],[Canal]],tblCanales[#All],7,FALSE),tblPesosValorOperativo[Valor],tblPesosValorOperativo[Velocidad],0),0)</f>
        <v>0</v>
      </c>
      <c r="O325" s="14">
        <f>IFERROR(_xlfn.XLOOKUP(VLOOKUP(tblEnlaces[[#This Row],[Canal]],tblCanales[#All],8,FALSE),tblPesosValorOperativo[Valor],tblPesosValorOperativo[Escalabilidad],0),0)</f>
        <v>0</v>
      </c>
      <c r="P325" s="53">
        <f>tblEnlaces[[#This Row],[Opacidad]]+tblEnlaces[[#This Row],[Escalabilidad]]+tblEnlaces[[#This Row],[Velocidad]]+tblEnlaces[[#This Row],[Trazabilidad]]</f>
        <v>0</v>
      </c>
    </row>
    <row r="326" spans="2:16" ht="16.5" customHeight="1" x14ac:dyDescent="0.25">
      <c r="B326" s="66" t="str">
        <f t="array" ref="B32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26" s="10" t="e">
        <f>VLOOKUP(tblEnlaces[[#This Row],[Nodo Inicial]],tblNodos[],2,FALSE)</f>
        <v>#N/A</v>
      </c>
      <c r="E326" s="39"/>
      <c r="F326" s="10" t="e">
        <f>VLOOKUP(tblEnlaces[[#This Row],[Nodo Final]],tblNodos[],2,FALSE)</f>
        <v>#N/A</v>
      </c>
      <c r="G326" s="39"/>
      <c r="I326" s="53">
        <f>IFERROR(_xlfn.XLOOKUP(VLOOKUP(tblEnlaces[[#This Row],[Canal]],tblCanales[#All],2,FALSE),tblPesosValorOperativo[Valor],tblPesosValorOperativo[Frecuencia de Uso],0),0)</f>
        <v>0</v>
      </c>
      <c r="J32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26" s="64">
        <f>IFERROR(_xlfn.XLOOKUP(VLOOKUP(tblEnlaces[[#This Row],[Canal]],tblCanales[#All],3,FALSE),tblPesosCoste[Valor],tblPesosCoste[Peso],0),0)</f>
        <v>0</v>
      </c>
      <c r="L326" s="10">
        <f>IFERROR(_xlfn.XLOOKUP(VLOOKUP(tblEnlaces[[#This Row],[Canal]],tblCanales[#All],5,FALSE),tblPesosValorOperativo[Valor],tblPesosValorOperativo[Opacidad],0),0)</f>
        <v>0</v>
      </c>
      <c r="M326" s="14">
        <f>IFERROR(_xlfn.XLOOKUP(VLOOKUP(tblEnlaces[[#This Row],[Canal]],tblCanales[#All],6,FALSE),tblPesosValorOperativo[Valor],tblPesosValorOperativo[Trazabilidad],0),0)</f>
        <v>0</v>
      </c>
      <c r="N326" s="14">
        <f>IFERROR(_xlfn.XLOOKUP(VLOOKUP(tblEnlaces[[#This Row],[Canal]],tblCanales[#All],7,FALSE),tblPesosValorOperativo[Valor],tblPesosValorOperativo[Velocidad],0),0)</f>
        <v>0</v>
      </c>
      <c r="O326" s="14">
        <f>IFERROR(_xlfn.XLOOKUP(VLOOKUP(tblEnlaces[[#This Row],[Canal]],tblCanales[#All],8,FALSE),tblPesosValorOperativo[Valor],tblPesosValorOperativo[Escalabilidad],0),0)</f>
        <v>0</v>
      </c>
      <c r="P326" s="53">
        <f>tblEnlaces[[#This Row],[Opacidad]]+tblEnlaces[[#This Row],[Escalabilidad]]+tblEnlaces[[#This Row],[Velocidad]]+tblEnlaces[[#This Row],[Trazabilidad]]</f>
        <v>0</v>
      </c>
    </row>
    <row r="327" spans="2:16" ht="16.5" customHeight="1" x14ac:dyDescent="0.25">
      <c r="B327" s="66" t="str">
        <f t="array" ref="B32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27" s="10" t="e">
        <f>VLOOKUP(tblEnlaces[[#This Row],[Nodo Inicial]],tblNodos[],2,FALSE)</f>
        <v>#N/A</v>
      </c>
      <c r="E327" s="39"/>
      <c r="F327" s="10" t="e">
        <f>VLOOKUP(tblEnlaces[[#This Row],[Nodo Final]],tblNodos[],2,FALSE)</f>
        <v>#N/A</v>
      </c>
      <c r="G327" s="39"/>
      <c r="I327" s="53">
        <f>IFERROR(_xlfn.XLOOKUP(VLOOKUP(tblEnlaces[[#This Row],[Canal]],tblCanales[#All],2,FALSE),tblPesosValorOperativo[Valor],tblPesosValorOperativo[Frecuencia de Uso],0),0)</f>
        <v>0</v>
      </c>
      <c r="J32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27" s="64">
        <f>IFERROR(_xlfn.XLOOKUP(VLOOKUP(tblEnlaces[[#This Row],[Canal]],tblCanales[#All],3,FALSE),tblPesosCoste[Valor],tblPesosCoste[Peso],0),0)</f>
        <v>0</v>
      </c>
      <c r="L327" s="10">
        <f>IFERROR(_xlfn.XLOOKUP(VLOOKUP(tblEnlaces[[#This Row],[Canal]],tblCanales[#All],5,FALSE),tblPesosValorOperativo[Valor],tblPesosValorOperativo[Opacidad],0),0)</f>
        <v>0</v>
      </c>
      <c r="M327" s="14">
        <f>IFERROR(_xlfn.XLOOKUP(VLOOKUP(tblEnlaces[[#This Row],[Canal]],tblCanales[#All],6,FALSE),tblPesosValorOperativo[Valor],tblPesosValorOperativo[Trazabilidad],0),0)</f>
        <v>0</v>
      </c>
      <c r="N327" s="14">
        <f>IFERROR(_xlfn.XLOOKUP(VLOOKUP(tblEnlaces[[#This Row],[Canal]],tblCanales[#All],7,FALSE),tblPesosValorOperativo[Valor],tblPesosValorOperativo[Velocidad],0),0)</f>
        <v>0</v>
      </c>
      <c r="O327" s="14">
        <f>IFERROR(_xlfn.XLOOKUP(VLOOKUP(tblEnlaces[[#This Row],[Canal]],tblCanales[#All],8,FALSE),tblPesosValorOperativo[Valor],tblPesosValorOperativo[Escalabilidad],0),0)</f>
        <v>0</v>
      </c>
      <c r="P327" s="53">
        <f>tblEnlaces[[#This Row],[Opacidad]]+tblEnlaces[[#This Row],[Escalabilidad]]+tblEnlaces[[#This Row],[Velocidad]]+tblEnlaces[[#This Row],[Trazabilidad]]</f>
        <v>0</v>
      </c>
    </row>
    <row r="328" spans="2:16" ht="16.5" customHeight="1" x14ac:dyDescent="0.25">
      <c r="B328" s="66" t="str">
        <f t="array" ref="B32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28" s="10" t="e">
        <f>VLOOKUP(tblEnlaces[[#This Row],[Nodo Inicial]],tblNodos[],2,FALSE)</f>
        <v>#N/A</v>
      </c>
      <c r="E328" s="39"/>
      <c r="F328" s="10" t="e">
        <f>VLOOKUP(tblEnlaces[[#This Row],[Nodo Final]],tblNodos[],2,FALSE)</f>
        <v>#N/A</v>
      </c>
      <c r="G328" s="39"/>
      <c r="I328" s="53">
        <f>IFERROR(_xlfn.XLOOKUP(VLOOKUP(tblEnlaces[[#This Row],[Canal]],tblCanales[#All],2,FALSE),tblPesosValorOperativo[Valor],tblPesosValorOperativo[Frecuencia de Uso],0),0)</f>
        <v>0</v>
      </c>
      <c r="J32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28" s="64">
        <f>IFERROR(_xlfn.XLOOKUP(VLOOKUP(tblEnlaces[[#This Row],[Canal]],tblCanales[#All],3,FALSE),tblPesosCoste[Valor],tblPesosCoste[Peso],0),0)</f>
        <v>0</v>
      </c>
      <c r="L328" s="10">
        <f>IFERROR(_xlfn.XLOOKUP(VLOOKUP(tblEnlaces[[#This Row],[Canal]],tblCanales[#All],5,FALSE),tblPesosValorOperativo[Valor],tblPesosValorOperativo[Opacidad],0),0)</f>
        <v>0</v>
      </c>
      <c r="M328" s="14">
        <f>IFERROR(_xlfn.XLOOKUP(VLOOKUP(tblEnlaces[[#This Row],[Canal]],tblCanales[#All],6,FALSE),tblPesosValorOperativo[Valor],tblPesosValorOperativo[Trazabilidad],0),0)</f>
        <v>0</v>
      </c>
      <c r="N328" s="14">
        <f>IFERROR(_xlfn.XLOOKUP(VLOOKUP(tblEnlaces[[#This Row],[Canal]],tblCanales[#All],7,FALSE),tblPesosValorOperativo[Valor],tblPesosValorOperativo[Velocidad],0),0)</f>
        <v>0</v>
      </c>
      <c r="O328" s="14">
        <f>IFERROR(_xlfn.XLOOKUP(VLOOKUP(tblEnlaces[[#This Row],[Canal]],tblCanales[#All],8,FALSE),tblPesosValorOperativo[Valor],tblPesosValorOperativo[Escalabilidad],0),0)</f>
        <v>0</v>
      </c>
      <c r="P328" s="53">
        <f>tblEnlaces[[#This Row],[Opacidad]]+tblEnlaces[[#This Row],[Escalabilidad]]+tblEnlaces[[#This Row],[Velocidad]]+tblEnlaces[[#This Row],[Trazabilidad]]</f>
        <v>0</v>
      </c>
    </row>
    <row r="329" spans="2:16" ht="16.5" customHeight="1" x14ac:dyDescent="0.25">
      <c r="B329" s="66" t="str">
        <f t="array" ref="B32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29" s="10" t="e">
        <f>VLOOKUP(tblEnlaces[[#This Row],[Nodo Inicial]],tblNodos[],2,FALSE)</f>
        <v>#N/A</v>
      </c>
      <c r="E329" s="39"/>
      <c r="F329" s="10" t="e">
        <f>VLOOKUP(tblEnlaces[[#This Row],[Nodo Final]],tblNodos[],2,FALSE)</f>
        <v>#N/A</v>
      </c>
      <c r="G329" s="39"/>
      <c r="I329" s="53">
        <f>IFERROR(_xlfn.XLOOKUP(VLOOKUP(tblEnlaces[[#This Row],[Canal]],tblCanales[#All],2,FALSE),tblPesosValorOperativo[Valor],tblPesosValorOperativo[Frecuencia de Uso],0),0)</f>
        <v>0</v>
      </c>
      <c r="J32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29" s="64">
        <f>IFERROR(_xlfn.XLOOKUP(VLOOKUP(tblEnlaces[[#This Row],[Canal]],tblCanales[#All],3,FALSE),tblPesosCoste[Valor],tblPesosCoste[Peso],0),0)</f>
        <v>0</v>
      </c>
      <c r="L329" s="10">
        <f>IFERROR(_xlfn.XLOOKUP(VLOOKUP(tblEnlaces[[#This Row],[Canal]],tblCanales[#All],5,FALSE),tblPesosValorOperativo[Valor],tblPesosValorOperativo[Opacidad],0),0)</f>
        <v>0</v>
      </c>
      <c r="M329" s="14">
        <f>IFERROR(_xlfn.XLOOKUP(VLOOKUP(tblEnlaces[[#This Row],[Canal]],tblCanales[#All],6,FALSE),tblPesosValorOperativo[Valor],tblPesosValorOperativo[Trazabilidad],0),0)</f>
        <v>0</v>
      </c>
      <c r="N329" s="14">
        <f>IFERROR(_xlfn.XLOOKUP(VLOOKUP(tblEnlaces[[#This Row],[Canal]],tblCanales[#All],7,FALSE),tblPesosValorOperativo[Valor],tblPesosValorOperativo[Velocidad],0),0)</f>
        <v>0</v>
      </c>
      <c r="O329" s="14">
        <f>IFERROR(_xlfn.XLOOKUP(VLOOKUP(tblEnlaces[[#This Row],[Canal]],tblCanales[#All],8,FALSE),tblPesosValorOperativo[Valor],tblPesosValorOperativo[Escalabilidad],0),0)</f>
        <v>0</v>
      </c>
      <c r="P329" s="53">
        <f>tblEnlaces[[#This Row],[Opacidad]]+tblEnlaces[[#This Row],[Escalabilidad]]+tblEnlaces[[#This Row],[Velocidad]]+tblEnlaces[[#This Row],[Trazabilidad]]</f>
        <v>0</v>
      </c>
    </row>
    <row r="330" spans="2:16" ht="16.5" customHeight="1" x14ac:dyDescent="0.25">
      <c r="B330" s="66" t="str">
        <f t="array" ref="B33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30" s="10" t="e">
        <f>VLOOKUP(tblEnlaces[[#This Row],[Nodo Inicial]],tblNodos[],2,FALSE)</f>
        <v>#N/A</v>
      </c>
      <c r="E330" s="39"/>
      <c r="F330" s="10" t="e">
        <f>VLOOKUP(tblEnlaces[[#This Row],[Nodo Final]],tblNodos[],2,FALSE)</f>
        <v>#N/A</v>
      </c>
      <c r="G330" s="39"/>
      <c r="I330" s="53">
        <f>IFERROR(_xlfn.XLOOKUP(VLOOKUP(tblEnlaces[[#This Row],[Canal]],tblCanales[#All],2,FALSE),tblPesosValorOperativo[Valor],tblPesosValorOperativo[Frecuencia de Uso],0),0)</f>
        <v>0</v>
      </c>
      <c r="J33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30" s="64">
        <f>IFERROR(_xlfn.XLOOKUP(VLOOKUP(tblEnlaces[[#This Row],[Canal]],tblCanales[#All],3,FALSE),tblPesosCoste[Valor],tblPesosCoste[Peso],0),0)</f>
        <v>0</v>
      </c>
      <c r="L330" s="10">
        <f>IFERROR(_xlfn.XLOOKUP(VLOOKUP(tblEnlaces[[#This Row],[Canal]],tblCanales[#All],5,FALSE),tblPesosValorOperativo[Valor],tblPesosValorOperativo[Opacidad],0),0)</f>
        <v>0</v>
      </c>
      <c r="M330" s="14">
        <f>IFERROR(_xlfn.XLOOKUP(VLOOKUP(tblEnlaces[[#This Row],[Canal]],tblCanales[#All],6,FALSE),tblPesosValorOperativo[Valor],tblPesosValorOperativo[Trazabilidad],0),0)</f>
        <v>0</v>
      </c>
      <c r="N330" s="14">
        <f>IFERROR(_xlfn.XLOOKUP(VLOOKUP(tblEnlaces[[#This Row],[Canal]],tblCanales[#All],7,FALSE),tblPesosValorOperativo[Valor],tblPesosValorOperativo[Velocidad],0),0)</f>
        <v>0</v>
      </c>
      <c r="O330" s="14">
        <f>IFERROR(_xlfn.XLOOKUP(VLOOKUP(tblEnlaces[[#This Row],[Canal]],tblCanales[#All],8,FALSE),tblPesosValorOperativo[Valor],tblPesosValorOperativo[Escalabilidad],0),0)</f>
        <v>0</v>
      </c>
      <c r="P330" s="53">
        <f>tblEnlaces[[#This Row],[Opacidad]]+tblEnlaces[[#This Row],[Escalabilidad]]+tblEnlaces[[#This Row],[Velocidad]]+tblEnlaces[[#This Row],[Trazabilidad]]</f>
        <v>0</v>
      </c>
    </row>
    <row r="331" spans="2:16" ht="16.5" customHeight="1" x14ac:dyDescent="0.25">
      <c r="B331" s="66" t="str">
        <f t="array" ref="B33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31" s="10" t="e">
        <f>VLOOKUP(tblEnlaces[[#This Row],[Nodo Inicial]],tblNodos[],2,FALSE)</f>
        <v>#N/A</v>
      </c>
      <c r="E331" s="39"/>
      <c r="F331" s="10" t="e">
        <f>VLOOKUP(tblEnlaces[[#This Row],[Nodo Final]],tblNodos[],2,FALSE)</f>
        <v>#N/A</v>
      </c>
      <c r="G331" s="39"/>
      <c r="I331" s="53">
        <f>IFERROR(_xlfn.XLOOKUP(VLOOKUP(tblEnlaces[[#This Row],[Canal]],tblCanales[#All],2,FALSE),tblPesosValorOperativo[Valor],tblPesosValorOperativo[Frecuencia de Uso],0),0)</f>
        <v>0</v>
      </c>
      <c r="J33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31" s="64">
        <f>IFERROR(_xlfn.XLOOKUP(VLOOKUP(tblEnlaces[[#This Row],[Canal]],tblCanales[#All],3,FALSE),tblPesosCoste[Valor],tblPesosCoste[Peso],0),0)</f>
        <v>0</v>
      </c>
      <c r="L331" s="10">
        <f>IFERROR(_xlfn.XLOOKUP(VLOOKUP(tblEnlaces[[#This Row],[Canal]],tblCanales[#All],5,FALSE),tblPesosValorOperativo[Valor],tblPesosValorOperativo[Opacidad],0),0)</f>
        <v>0</v>
      </c>
      <c r="M331" s="14">
        <f>IFERROR(_xlfn.XLOOKUP(VLOOKUP(tblEnlaces[[#This Row],[Canal]],tblCanales[#All],6,FALSE),tblPesosValorOperativo[Valor],tblPesosValorOperativo[Trazabilidad],0),0)</f>
        <v>0</v>
      </c>
      <c r="N331" s="14">
        <f>IFERROR(_xlfn.XLOOKUP(VLOOKUP(tblEnlaces[[#This Row],[Canal]],tblCanales[#All],7,FALSE),tblPesosValorOperativo[Valor],tblPesosValorOperativo[Velocidad],0),0)</f>
        <v>0</v>
      </c>
      <c r="O331" s="14">
        <f>IFERROR(_xlfn.XLOOKUP(VLOOKUP(tblEnlaces[[#This Row],[Canal]],tblCanales[#All],8,FALSE),tblPesosValorOperativo[Valor],tblPesosValorOperativo[Escalabilidad],0),0)</f>
        <v>0</v>
      </c>
      <c r="P331" s="53">
        <f>tblEnlaces[[#This Row],[Opacidad]]+tblEnlaces[[#This Row],[Escalabilidad]]+tblEnlaces[[#This Row],[Velocidad]]+tblEnlaces[[#This Row],[Trazabilidad]]</f>
        <v>0</v>
      </c>
    </row>
    <row r="332" spans="2:16" ht="16.5" customHeight="1" x14ac:dyDescent="0.25">
      <c r="B332" s="66" t="str">
        <f t="array" ref="B33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32" s="10" t="e">
        <f>VLOOKUP(tblEnlaces[[#This Row],[Nodo Inicial]],tblNodos[],2,FALSE)</f>
        <v>#N/A</v>
      </c>
      <c r="E332" s="39"/>
      <c r="F332" s="10" t="e">
        <f>VLOOKUP(tblEnlaces[[#This Row],[Nodo Final]],tblNodos[],2,FALSE)</f>
        <v>#N/A</v>
      </c>
      <c r="G332" s="39"/>
      <c r="I332" s="53">
        <f>IFERROR(_xlfn.XLOOKUP(VLOOKUP(tblEnlaces[[#This Row],[Canal]],tblCanales[#All],2,FALSE),tblPesosValorOperativo[Valor],tblPesosValorOperativo[Frecuencia de Uso],0),0)</f>
        <v>0</v>
      </c>
      <c r="J33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32" s="64">
        <f>IFERROR(_xlfn.XLOOKUP(VLOOKUP(tblEnlaces[[#This Row],[Canal]],tblCanales[#All],3,FALSE),tblPesosCoste[Valor],tblPesosCoste[Peso],0),0)</f>
        <v>0</v>
      </c>
      <c r="L332" s="10">
        <f>IFERROR(_xlfn.XLOOKUP(VLOOKUP(tblEnlaces[[#This Row],[Canal]],tblCanales[#All],5,FALSE),tblPesosValorOperativo[Valor],tblPesosValorOperativo[Opacidad],0),0)</f>
        <v>0</v>
      </c>
      <c r="M332" s="14">
        <f>IFERROR(_xlfn.XLOOKUP(VLOOKUP(tblEnlaces[[#This Row],[Canal]],tblCanales[#All],6,FALSE),tblPesosValorOperativo[Valor],tblPesosValorOperativo[Trazabilidad],0),0)</f>
        <v>0</v>
      </c>
      <c r="N332" s="14">
        <f>IFERROR(_xlfn.XLOOKUP(VLOOKUP(tblEnlaces[[#This Row],[Canal]],tblCanales[#All],7,FALSE),tblPesosValorOperativo[Valor],tblPesosValorOperativo[Velocidad],0),0)</f>
        <v>0</v>
      </c>
      <c r="O332" s="14">
        <f>IFERROR(_xlfn.XLOOKUP(VLOOKUP(tblEnlaces[[#This Row],[Canal]],tblCanales[#All],8,FALSE),tblPesosValorOperativo[Valor],tblPesosValorOperativo[Escalabilidad],0),0)</f>
        <v>0</v>
      </c>
      <c r="P332" s="53">
        <f>tblEnlaces[[#This Row],[Opacidad]]+tblEnlaces[[#This Row],[Escalabilidad]]+tblEnlaces[[#This Row],[Velocidad]]+tblEnlaces[[#This Row],[Trazabilidad]]</f>
        <v>0</v>
      </c>
    </row>
    <row r="333" spans="2:16" ht="16.5" customHeight="1" x14ac:dyDescent="0.25">
      <c r="B333" s="66" t="str">
        <f t="array" ref="B33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33" s="10" t="e">
        <f>VLOOKUP(tblEnlaces[[#This Row],[Nodo Inicial]],tblNodos[],2,FALSE)</f>
        <v>#N/A</v>
      </c>
      <c r="E333" s="39"/>
      <c r="F333" s="10" t="e">
        <f>VLOOKUP(tblEnlaces[[#This Row],[Nodo Final]],tblNodos[],2,FALSE)</f>
        <v>#N/A</v>
      </c>
      <c r="G333" s="39"/>
      <c r="I333" s="53">
        <f>IFERROR(_xlfn.XLOOKUP(VLOOKUP(tblEnlaces[[#This Row],[Canal]],tblCanales[#All],2,FALSE),tblPesosValorOperativo[Valor],tblPesosValorOperativo[Frecuencia de Uso],0),0)</f>
        <v>0</v>
      </c>
      <c r="J33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33" s="64">
        <f>IFERROR(_xlfn.XLOOKUP(VLOOKUP(tblEnlaces[[#This Row],[Canal]],tblCanales[#All],3,FALSE),tblPesosCoste[Valor],tblPesosCoste[Peso],0),0)</f>
        <v>0</v>
      </c>
      <c r="L333" s="10">
        <f>IFERROR(_xlfn.XLOOKUP(VLOOKUP(tblEnlaces[[#This Row],[Canal]],tblCanales[#All],5,FALSE),tblPesosValorOperativo[Valor],tblPesosValorOperativo[Opacidad],0),0)</f>
        <v>0</v>
      </c>
      <c r="M333" s="14">
        <f>IFERROR(_xlfn.XLOOKUP(VLOOKUP(tblEnlaces[[#This Row],[Canal]],tblCanales[#All],6,FALSE),tblPesosValorOperativo[Valor],tblPesosValorOperativo[Trazabilidad],0),0)</f>
        <v>0</v>
      </c>
      <c r="N333" s="14">
        <f>IFERROR(_xlfn.XLOOKUP(VLOOKUP(tblEnlaces[[#This Row],[Canal]],tblCanales[#All],7,FALSE),tblPesosValorOperativo[Valor],tblPesosValorOperativo[Velocidad],0),0)</f>
        <v>0</v>
      </c>
      <c r="O333" s="14">
        <f>IFERROR(_xlfn.XLOOKUP(VLOOKUP(tblEnlaces[[#This Row],[Canal]],tblCanales[#All],8,FALSE),tblPesosValorOperativo[Valor],tblPesosValorOperativo[Escalabilidad],0),0)</f>
        <v>0</v>
      </c>
      <c r="P333" s="53">
        <f>tblEnlaces[[#This Row],[Opacidad]]+tblEnlaces[[#This Row],[Escalabilidad]]+tblEnlaces[[#This Row],[Velocidad]]+tblEnlaces[[#This Row],[Trazabilidad]]</f>
        <v>0</v>
      </c>
    </row>
    <row r="334" spans="2:16" ht="16.5" customHeight="1" x14ac:dyDescent="0.25">
      <c r="B334" s="66" t="str">
        <f t="array" ref="B33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34" s="10" t="e">
        <f>VLOOKUP(tblEnlaces[[#This Row],[Nodo Inicial]],tblNodos[],2,FALSE)</f>
        <v>#N/A</v>
      </c>
      <c r="E334" s="39"/>
      <c r="F334" s="10" t="e">
        <f>VLOOKUP(tblEnlaces[[#This Row],[Nodo Final]],tblNodos[],2,FALSE)</f>
        <v>#N/A</v>
      </c>
      <c r="G334" s="39"/>
      <c r="I334" s="53">
        <f>IFERROR(_xlfn.XLOOKUP(VLOOKUP(tblEnlaces[[#This Row],[Canal]],tblCanales[#All],2,FALSE),tblPesosValorOperativo[Valor],tblPesosValorOperativo[Frecuencia de Uso],0),0)</f>
        <v>0</v>
      </c>
      <c r="J33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34" s="64">
        <f>IFERROR(_xlfn.XLOOKUP(VLOOKUP(tblEnlaces[[#This Row],[Canal]],tblCanales[#All],3,FALSE),tblPesosCoste[Valor],tblPesosCoste[Peso],0),0)</f>
        <v>0</v>
      </c>
      <c r="L334" s="10">
        <f>IFERROR(_xlfn.XLOOKUP(VLOOKUP(tblEnlaces[[#This Row],[Canal]],tblCanales[#All],5,FALSE),tblPesosValorOperativo[Valor],tblPesosValorOperativo[Opacidad],0),0)</f>
        <v>0</v>
      </c>
      <c r="M334" s="14">
        <f>IFERROR(_xlfn.XLOOKUP(VLOOKUP(tblEnlaces[[#This Row],[Canal]],tblCanales[#All],6,FALSE),tblPesosValorOperativo[Valor],tblPesosValorOperativo[Trazabilidad],0),0)</f>
        <v>0</v>
      </c>
      <c r="N334" s="14">
        <f>IFERROR(_xlfn.XLOOKUP(VLOOKUP(tblEnlaces[[#This Row],[Canal]],tblCanales[#All],7,FALSE),tblPesosValorOperativo[Valor],tblPesosValorOperativo[Velocidad],0),0)</f>
        <v>0</v>
      </c>
      <c r="O334" s="14">
        <f>IFERROR(_xlfn.XLOOKUP(VLOOKUP(tblEnlaces[[#This Row],[Canal]],tblCanales[#All],8,FALSE),tblPesosValorOperativo[Valor],tblPesosValorOperativo[Escalabilidad],0),0)</f>
        <v>0</v>
      </c>
      <c r="P334" s="53">
        <f>tblEnlaces[[#This Row],[Opacidad]]+tblEnlaces[[#This Row],[Escalabilidad]]+tblEnlaces[[#This Row],[Velocidad]]+tblEnlaces[[#This Row],[Trazabilidad]]</f>
        <v>0</v>
      </c>
    </row>
    <row r="335" spans="2:16" ht="16.5" customHeight="1" x14ac:dyDescent="0.25">
      <c r="B335" s="66" t="str">
        <f t="array" ref="B33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35" s="10" t="e">
        <f>VLOOKUP(tblEnlaces[[#This Row],[Nodo Inicial]],tblNodos[],2,FALSE)</f>
        <v>#N/A</v>
      </c>
      <c r="E335" s="39"/>
      <c r="F335" s="10" t="e">
        <f>VLOOKUP(tblEnlaces[[#This Row],[Nodo Final]],tblNodos[],2,FALSE)</f>
        <v>#N/A</v>
      </c>
      <c r="G335" s="39"/>
      <c r="I335" s="53">
        <f>IFERROR(_xlfn.XLOOKUP(VLOOKUP(tblEnlaces[[#This Row],[Canal]],tblCanales[#All],2,FALSE),tblPesosValorOperativo[Valor],tblPesosValorOperativo[Frecuencia de Uso],0),0)</f>
        <v>0</v>
      </c>
      <c r="J33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35" s="64">
        <f>IFERROR(_xlfn.XLOOKUP(VLOOKUP(tblEnlaces[[#This Row],[Canal]],tblCanales[#All],3,FALSE),tblPesosCoste[Valor],tblPesosCoste[Peso],0),0)</f>
        <v>0</v>
      </c>
      <c r="L335" s="10">
        <f>IFERROR(_xlfn.XLOOKUP(VLOOKUP(tblEnlaces[[#This Row],[Canal]],tblCanales[#All],5,FALSE),tblPesosValorOperativo[Valor],tblPesosValorOperativo[Opacidad],0),0)</f>
        <v>0</v>
      </c>
      <c r="M335" s="14">
        <f>IFERROR(_xlfn.XLOOKUP(VLOOKUP(tblEnlaces[[#This Row],[Canal]],tblCanales[#All],6,FALSE),tblPesosValorOperativo[Valor],tblPesosValorOperativo[Trazabilidad],0),0)</f>
        <v>0</v>
      </c>
      <c r="N335" s="14">
        <f>IFERROR(_xlfn.XLOOKUP(VLOOKUP(tblEnlaces[[#This Row],[Canal]],tblCanales[#All],7,FALSE),tblPesosValorOperativo[Valor],tblPesosValorOperativo[Velocidad],0),0)</f>
        <v>0</v>
      </c>
      <c r="O335" s="14">
        <f>IFERROR(_xlfn.XLOOKUP(VLOOKUP(tblEnlaces[[#This Row],[Canal]],tblCanales[#All],8,FALSE),tblPesosValorOperativo[Valor],tblPesosValorOperativo[Escalabilidad],0),0)</f>
        <v>0</v>
      </c>
      <c r="P335" s="53">
        <f>tblEnlaces[[#This Row],[Opacidad]]+tblEnlaces[[#This Row],[Escalabilidad]]+tblEnlaces[[#This Row],[Velocidad]]+tblEnlaces[[#This Row],[Trazabilidad]]</f>
        <v>0</v>
      </c>
    </row>
    <row r="336" spans="2:16" ht="16.5" customHeight="1" x14ac:dyDescent="0.25">
      <c r="B336" s="66" t="str">
        <f t="array" ref="B33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36" s="10" t="e">
        <f>VLOOKUP(tblEnlaces[[#This Row],[Nodo Inicial]],tblNodos[],2,FALSE)</f>
        <v>#N/A</v>
      </c>
      <c r="E336" s="39"/>
      <c r="F336" s="10" t="e">
        <f>VLOOKUP(tblEnlaces[[#This Row],[Nodo Final]],tblNodos[],2,FALSE)</f>
        <v>#N/A</v>
      </c>
      <c r="G336" s="39"/>
      <c r="I336" s="53">
        <f>IFERROR(_xlfn.XLOOKUP(VLOOKUP(tblEnlaces[[#This Row],[Canal]],tblCanales[#All],2,FALSE),tblPesosValorOperativo[Valor],tblPesosValorOperativo[Frecuencia de Uso],0),0)</f>
        <v>0</v>
      </c>
      <c r="J33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36" s="64">
        <f>IFERROR(_xlfn.XLOOKUP(VLOOKUP(tblEnlaces[[#This Row],[Canal]],tblCanales[#All],3,FALSE),tblPesosCoste[Valor],tblPesosCoste[Peso],0),0)</f>
        <v>0</v>
      </c>
      <c r="L336" s="10">
        <f>IFERROR(_xlfn.XLOOKUP(VLOOKUP(tblEnlaces[[#This Row],[Canal]],tblCanales[#All],5,FALSE),tblPesosValorOperativo[Valor],tblPesosValorOperativo[Opacidad],0),0)</f>
        <v>0</v>
      </c>
      <c r="M336" s="14">
        <f>IFERROR(_xlfn.XLOOKUP(VLOOKUP(tblEnlaces[[#This Row],[Canal]],tblCanales[#All],6,FALSE),tblPesosValorOperativo[Valor],tblPesosValorOperativo[Trazabilidad],0),0)</f>
        <v>0</v>
      </c>
      <c r="N336" s="14">
        <f>IFERROR(_xlfn.XLOOKUP(VLOOKUP(tblEnlaces[[#This Row],[Canal]],tblCanales[#All],7,FALSE),tblPesosValorOperativo[Valor],tblPesosValorOperativo[Velocidad],0),0)</f>
        <v>0</v>
      </c>
      <c r="O336" s="14">
        <f>IFERROR(_xlfn.XLOOKUP(VLOOKUP(tblEnlaces[[#This Row],[Canal]],tblCanales[#All],8,FALSE),tblPesosValorOperativo[Valor],tblPesosValorOperativo[Escalabilidad],0),0)</f>
        <v>0</v>
      </c>
      <c r="P336" s="53">
        <f>tblEnlaces[[#This Row],[Opacidad]]+tblEnlaces[[#This Row],[Escalabilidad]]+tblEnlaces[[#This Row],[Velocidad]]+tblEnlaces[[#This Row],[Trazabilidad]]</f>
        <v>0</v>
      </c>
    </row>
    <row r="337" spans="2:16" ht="16.5" customHeight="1" x14ac:dyDescent="0.25">
      <c r="B337" s="66" t="str">
        <f t="array" ref="B33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37" s="10" t="e">
        <f>VLOOKUP(tblEnlaces[[#This Row],[Nodo Inicial]],tblNodos[],2,FALSE)</f>
        <v>#N/A</v>
      </c>
      <c r="E337" s="39"/>
      <c r="F337" s="10" t="e">
        <f>VLOOKUP(tblEnlaces[[#This Row],[Nodo Final]],tblNodos[],2,FALSE)</f>
        <v>#N/A</v>
      </c>
      <c r="G337" s="39"/>
      <c r="I337" s="53">
        <f>IFERROR(_xlfn.XLOOKUP(VLOOKUP(tblEnlaces[[#This Row],[Canal]],tblCanales[#All],2,FALSE),tblPesosValorOperativo[Valor],tblPesosValorOperativo[Frecuencia de Uso],0),0)</f>
        <v>0</v>
      </c>
      <c r="J33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37" s="64">
        <f>IFERROR(_xlfn.XLOOKUP(VLOOKUP(tblEnlaces[[#This Row],[Canal]],tblCanales[#All],3,FALSE),tblPesosCoste[Valor],tblPesosCoste[Peso],0),0)</f>
        <v>0</v>
      </c>
      <c r="L337" s="10">
        <f>IFERROR(_xlfn.XLOOKUP(VLOOKUP(tblEnlaces[[#This Row],[Canal]],tblCanales[#All],5,FALSE),tblPesosValorOperativo[Valor],tblPesosValorOperativo[Opacidad],0),0)</f>
        <v>0</v>
      </c>
      <c r="M337" s="14">
        <f>IFERROR(_xlfn.XLOOKUP(VLOOKUP(tblEnlaces[[#This Row],[Canal]],tblCanales[#All],6,FALSE),tblPesosValorOperativo[Valor],tblPesosValorOperativo[Trazabilidad],0),0)</f>
        <v>0</v>
      </c>
      <c r="N337" s="14">
        <f>IFERROR(_xlfn.XLOOKUP(VLOOKUP(tblEnlaces[[#This Row],[Canal]],tblCanales[#All],7,FALSE),tblPesosValorOperativo[Valor],tblPesosValorOperativo[Velocidad],0),0)</f>
        <v>0</v>
      </c>
      <c r="O337" s="14">
        <f>IFERROR(_xlfn.XLOOKUP(VLOOKUP(tblEnlaces[[#This Row],[Canal]],tblCanales[#All],8,FALSE),tblPesosValorOperativo[Valor],tblPesosValorOperativo[Escalabilidad],0),0)</f>
        <v>0</v>
      </c>
      <c r="P337" s="53">
        <f>tblEnlaces[[#This Row],[Opacidad]]+tblEnlaces[[#This Row],[Escalabilidad]]+tblEnlaces[[#This Row],[Velocidad]]+tblEnlaces[[#This Row],[Trazabilidad]]</f>
        <v>0</v>
      </c>
    </row>
    <row r="338" spans="2:16" ht="16.5" customHeight="1" x14ac:dyDescent="0.25">
      <c r="B338" s="66" t="str">
        <f t="array" ref="B33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38" s="10" t="e">
        <f>VLOOKUP(tblEnlaces[[#This Row],[Nodo Inicial]],tblNodos[],2,FALSE)</f>
        <v>#N/A</v>
      </c>
      <c r="E338" s="39"/>
      <c r="F338" s="10" t="e">
        <f>VLOOKUP(tblEnlaces[[#This Row],[Nodo Final]],tblNodos[],2,FALSE)</f>
        <v>#N/A</v>
      </c>
      <c r="G338" s="39"/>
      <c r="I338" s="53">
        <f>IFERROR(_xlfn.XLOOKUP(VLOOKUP(tblEnlaces[[#This Row],[Canal]],tblCanales[#All],2,FALSE),tblPesosValorOperativo[Valor],tblPesosValorOperativo[Frecuencia de Uso],0),0)</f>
        <v>0</v>
      </c>
      <c r="J33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38" s="64">
        <f>IFERROR(_xlfn.XLOOKUP(VLOOKUP(tblEnlaces[[#This Row],[Canal]],tblCanales[#All],3,FALSE),tblPesosCoste[Valor],tblPesosCoste[Peso],0),0)</f>
        <v>0</v>
      </c>
      <c r="L338" s="10">
        <f>IFERROR(_xlfn.XLOOKUP(VLOOKUP(tblEnlaces[[#This Row],[Canal]],tblCanales[#All],5,FALSE),tblPesosValorOperativo[Valor],tblPesosValorOperativo[Opacidad],0),0)</f>
        <v>0</v>
      </c>
      <c r="M338" s="14">
        <f>IFERROR(_xlfn.XLOOKUP(VLOOKUP(tblEnlaces[[#This Row],[Canal]],tblCanales[#All],6,FALSE),tblPesosValorOperativo[Valor],tblPesosValorOperativo[Trazabilidad],0),0)</f>
        <v>0</v>
      </c>
      <c r="N338" s="14">
        <f>IFERROR(_xlfn.XLOOKUP(VLOOKUP(tblEnlaces[[#This Row],[Canal]],tblCanales[#All],7,FALSE),tblPesosValorOperativo[Valor],tblPesosValorOperativo[Velocidad],0),0)</f>
        <v>0</v>
      </c>
      <c r="O338" s="14">
        <f>IFERROR(_xlfn.XLOOKUP(VLOOKUP(tblEnlaces[[#This Row],[Canal]],tblCanales[#All],8,FALSE),tblPesosValorOperativo[Valor],tblPesosValorOperativo[Escalabilidad],0),0)</f>
        <v>0</v>
      </c>
      <c r="P338" s="53">
        <f>tblEnlaces[[#This Row],[Opacidad]]+tblEnlaces[[#This Row],[Escalabilidad]]+tblEnlaces[[#This Row],[Velocidad]]+tblEnlaces[[#This Row],[Trazabilidad]]</f>
        <v>0</v>
      </c>
    </row>
    <row r="339" spans="2:16" ht="16.5" customHeight="1" x14ac:dyDescent="0.25">
      <c r="B339" s="66" t="str">
        <f t="array" ref="B33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39" s="10" t="e">
        <f>VLOOKUP(tblEnlaces[[#This Row],[Nodo Inicial]],tblNodos[],2,FALSE)</f>
        <v>#N/A</v>
      </c>
      <c r="E339" s="39"/>
      <c r="F339" s="10" t="e">
        <f>VLOOKUP(tblEnlaces[[#This Row],[Nodo Final]],tblNodos[],2,FALSE)</f>
        <v>#N/A</v>
      </c>
      <c r="G339" s="39"/>
      <c r="I339" s="53">
        <f>IFERROR(_xlfn.XLOOKUP(VLOOKUP(tblEnlaces[[#This Row],[Canal]],tblCanales[#All],2,FALSE),tblPesosValorOperativo[Valor],tblPesosValorOperativo[Frecuencia de Uso],0),0)</f>
        <v>0</v>
      </c>
      <c r="J33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39" s="64">
        <f>IFERROR(_xlfn.XLOOKUP(VLOOKUP(tblEnlaces[[#This Row],[Canal]],tblCanales[#All],3,FALSE),tblPesosCoste[Valor],tblPesosCoste[Peso],0),0)</f>
        <v>0</v>
      </c>
      <c r="L339" s="10">
        <f>IFERROR(_xlfn.XLOOKUP(VLOOKUP(tblEnlaces[[#This Row],[Canal]],tblCanales[#All],5,FALSE),tblPesosValorOperativo[Valor],tblPesosValorOperativo[Opacidad],0),0)</f>
        <v>0</v>
      </c>
      <c r="M339" s="14">
        <f>IFERROR(_xlfn.XLOOKUP(VLOOKUP(tblEnlaces[[#This Row],[Canal]],tblCanales[#All],6,FALSE),tblPesosValorOperativo[Valor],tblPesosValorOperativo[Trazabilidad],0),0)</f>
        <v>0</v>
      </c>
      <c r="N339" s="14">
        <f>IFERROR(_xlfn.XLOOKUP(VLOOKUP(tblEnlaces[[#This Row],[Canal]],tblCanales[#All],7,FALSE),tblPesosValorOperativo[Valor],tblPesosValorOperativo[Velocidad],0),0)</f>
        <v>0</v>
      </c>
      <c r="O339" s="14">
        <f>IFERROR(_xlfn.XLOOKUP(VLOOKUP(tblEnlaces[[#This Row],[Canal]],tblCanales[#All],8,FALSE),tblPesosValorOperativo[Valor],tblPesosValorOperativo[Escalabilidad],0),0)</f>
        <v>0</v>
      </c>
      <c r="P339" s="53">
        <f>tblEnlaces[[#This Row],[Opacidad]]+tblEnlaces[[#This Row],[Escalabilidad]]+tblEnlaces[[#This Row],[Velocidad]]+tblEnlaces[[#This Row],[Trazabilidad]]</f>
        <v>0</v>
      </c>
    </row>
    <row r="340" spans="2:16" ht="16.5" customHeight="1" x14ac:dyDescent="0.25">
      <c r="B340" s="66" t="str">
        <f t="array" ref="B34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40" s="10" t="e">
        <f>VLOOKUP(tblEnlaces[[#This Row],[Nodo Inicial]],tblNodos[],2,FALSE)</f>
        <v>#N/A</v>
      </c>
      <c r="E340" s="39"/>
      <c r="F340" s="10" t="e">
        <f>VLOOKUP(tblEnlaces[[#This Row],[Nodo Final]],tblNodos[],2,FALSE)</f>
        <v>#N/A</v>
      </c>
      <c r="G340" s="39"/>
      <c r="I340" s="53">
        <f>IFERROR(_xlfn.XLOOKUP(VLOOKUP(tblEnlaces[[#This Row],[Canal]],tblCanales[#All],2,FALSE),tblPesosValorOperativo[Valor],tblPesosValorOperativo[Frecuencia de Uso],0),0)</f>
        <v>0</v>
      </c>
      <c r="J34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40" s="64">
        <f>IFERROR(_xlfn.XLOOKUP(VLOOKUP(tblEnlaces[[#This Row],[Canal]],tblCanales[#All],3,FALSE),tblPesosCoste[Valor],tblPesosCoste[Peso],0),0)</f>
        <v>0</v>
      </c>
      <c r="L340" s="10">
        <f>IFERROR(_xlfn.XLOOKUP(VLOOKUP(tblEnlaces[[#This Row],[Canal]],tblCanales[#All],5,FALSE),tblPesosValorOperativo[Valor],tblPesosValorOperativo[Opacidad],0),0)</f>
        <v>0</v>
      </c>
      <c r="M340" s="14">
        <f>IFERROR(_xlfn.XLOOKUP(VLOOKUP(tblEnlaces[[#This Row],[Canal]],tblCanales[#All],6,FALSE),tblPesosValorOperativo[Valor],tblPesosValorOperativo[Trazabilidad],0),0)</f>
        <v>0</v>
      </c>
      <c r="N340" s="14">
        <f>IFERROR(_xlfn.XLOOKUP(VLOOKUP(tblEnlaces[[#This Row],[Canal]],tblCanales[#All],7,FALSE),tblPesosValorOperativo[Valor],tblPesosValorOperativo[Velocidad],0),0)</f>
        <v>0</v>
      </c>
      <c r="O340" s="14">
        <f>IFERROR(_xlfn.XLOOKUP(VLOOKUP(tblEnlaces[[#This Row],[Canal]],tblCanales[#All],8,FALSE),tblPesosValorOperativo[Valor],tblPesosValorOperativo[Escalabilidad],0),0)</f>
        <v>0</v>
      </c>
      <c r="P340" s="53">
        <f>tblEnlaces[[#This Row],[Opacidad]]+tblEnlaces[[#This Row],[Escalabilidad]]+tblEnlaces[[#This Row],[Velocidad]]+tblEnlaces[[#This Row],[Trazabilidad]]</f>
        <v>0</v>
      </c>
    </row>
    <row r="341" spans="2:16" ht="16.5" customHeight="1" x14ac:dyDescent="0.25">
      <c r="B341" s="66" t="str">
        <f t="array" ref="B34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41" s="10" t="e">
        <f>VLOOKUP(tblEnlaces[[#This Row],[Nodo Inicial]],tblNodos[],2,FALSE)</f>
        <v>#N/A</v>
      </c>
      <c r="E341" s="39"/>
      <c r="F341" s="10" t="e">
        <f>VLOOKUP(tblEnlaces[[#This Row],[Nodo Final]],tblNodos[],2,FALSE)</f>
        <v>#N/A</v>
      </c>
      <c r="G341" s="39"/>
      <c r="I341" s="53">
        <f>IFERROR(_xlfn.XLOOKUP(VLOOKUP(tblEnlaces[[#This Row],[Canal]],tblCanales[#All],2,FALSE),tblPesosValorOperativo[Valor],tblPesosValorOperativo[Frecuencia de Uso],0),0)</f>
        <v>0</v>
      </c>
      <c r="J34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41" s="64">
        <f>IFERROR(_xlfn.XLOOKUP(VLOOKUP(tblEnlaces[[#This Row],[Canal]],tblCanales[#All],3,FALSE),tblPesosCoste[Valor],tblPesosCoste[Peso],0),0)</f>
        <v>0</v>
      </c>
      <c r="L341" s="10">
        <f>IFERROR(_xlfn.XLOOKUP(VLOOKUP(tblEnlaces[[#This Row],[Canal]],tblCanales[#All],5,FALSE),tblPesosValorOperativo[Valor],tblPesosValorOperativo[Opacidad],0),0)</f>
        <v>0</v>
      </c>
      <c r="M341" s="14">
        <f>IFERROR(_xlfn.XLOOKUP(VLOOKUP(tblEnlaces[[#This Row],[Canal]],tblCanales[#All],6,FALSE),tblPesosValorOperativo[Valor],tblPesosValorOperativo[Trazabilidad],0),0)</f>
        <v>0</v>
      </c>
      <c r="N341" s="14">
        <f>IFERROR(_xlfn.XLOOKUP(VLOOKUP(tblEnlaces[[#This Row],[Canal]],tblCanales[#All],7,FALSE),tblPesosValorOperativo[Valor],tblPesosValorOperativo[Velocidad],0),0)</f>
        <v>0</v>
      </c>
      <c r="O341" s="14">
        <f>IFERROR(_xlfn.XLOOKUP(VLOOKUP(tblEnlaces[[#This Row],[Canal]],tblCanales[#All],8,FALSE),tblPesosValorOperativo[Valor],tblPesosValorOperativo[Escalabilidad],0),0)</f>
        <v>0</v>
      </c>
      <c r="P341" s="53">
        <f>tblEnlaces[[#This Row],[Opacidad]]+tblEnlaces[[#This Row],[Escalabilidad]]+tblEnlaces[[#This Row],[Velocidad]]+tblEnlaces[[#This Row],[Trazabilidad]]</f>
        <v>0</v>
      </c>
    </row>
    <row r="342" spans="2:16" ht="16.5" customHeight="1" x14ac:dyDescent="0.25">
      <c r="B342" s="66" t="str">
        <f t="array" ref="B34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42" s="10" t="e">
        <f>VLOOKUP(tblEnlaces[[#This Row],[Nodo Inicial]],tblNodos[],2,FALSE)</f>
        <v>#N/A</v>
      </c>
      <c r="E342" s="39"/>
      <c r="F342" s="10" t="e">
        <f>VLOOKUP(tblEnlaces[[#This Row],[Nodo Final]],tblNodos[],2,FALSE)</f>
        <v>#N/A</v>
      </c>
      <c r="G342" s="39"/>
      <c r="I342" s="53">
        <f>IFERROR(_xlfn.XLOOKUP(VLOOKUP(tblEnlaces[[#This Row],[Canal]],tblCanales[#All],2,FALSE),tblPesosValorOperativo[Valor],tblPesosValorOperativo[Frecuencia de Uso],0),0)</f>
        <v>0</v>
      </c>
      <c r="J34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42" s="64">
        <f>IFERROR(_xlfn.XLOOKUP(VLOOKUP(tblEnlaces[[#This Row],[Canal]],tblCanales[#All],3,FALSE),tblPesosCoste[Valor],tblPesosCoste[Peso],0),0)</f>
        <v>0</v>
      </c>
      <c r="L342" s="10">
        <f>IFERROR(_xlfn.XLOOKUP(VLOOKUP(tblEnlaces[[#This Row],[Canal]],tblCanales[#All],5,FALSE),tblPesosValorOperativo[Valor],tblPesosValorOperativo[Opacidad],0),0)</f>
        <v>0</v>
      </c>
      <c r="M342" s="14">
        <f>IFERROR(_xlfn.XLOOKUP(VLOOKUP(tblEnlaces[[#This Row],[Canal]],tblCanales[#All],6,FALSE),tblPesosValorOperativo[Valor],tblPesosValorOperativo[Trazabilidad],0),0)</f>
        <v>0</v>
      </c>
      <c r="N342" s="14">
        <f>IFERROR(_xlfn.XLOOKUP(VLOOKUP(tblEnlaces[[#This Row],[Canal]],tblCanales[#All],7,FALSE),tblPesosValorOperativo[Valor],tblPesosValorOperativo[Velocidad],0),0)</f>
        <v>0</v>
      </c>
      <c r="O342" s="14">
        <f>IFERROR(_xlfn.XLOOKUP(VLOOKUP(tblEnlaces[[#This Row],[Canal]],tblCanales[#All],8,FALSE),tblPesosValorOperativo[Valor],tblPesosValorOperativo[Escalabilidad],0),0)</f>
        <v>0</v>
      </c>
      <c r="P342" s="53">
        <f>tblEnlaces[[#This Row],[Opacidad]]+tblEnlaces[[#This Row],[Escalabilidad]]+tblEnlaces[[#This Row],[Velocidad]]+tblEnlaces[[#This Row],[Trazabilidad]]</f>
        <v>0</v>
      </c>
    </row>
    <row r="343" spans="2:16" ht="16.5" customHeight="1" x14ac:dyDescent="0.25">
      <c r="B343" s="66" t="str">
        <f t="array" ref="B34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43" s="10" t="e">
        <f>VLOOKUP(tblEnlaces[[#This Row],[Nodo Inicial]],tblNodos[],2,FALSE)</f>
        <v>#N/A</v>
      </c>
      <c r="E343" s="39"/>
      <c r="F343" s="10" t="e">
        <f>VLOOKUP(tblEnlaces[[#This Row],[Nodo Final]],tblNodos[],2,FALSE)</f>
        <v>#N/A</v>
      </c>
      <c r="G343" s="39"/>
      <c r="I343" s="53">
        <f>IFERROR(_xlfn.XLOOKUP(VLOOKUP(tblEnlaces[[#This Row],[Canal]],tblCanales[#All],2,FALSE),tblPesosValorOperativo[Valor],tblPesosValorOperativo[Frecuencia de Uso],0),0)</f>
        <v>0</v>
      </c>
      <c r="J34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43" s="64">
        <f>IFERROR(_xlfn.XLOOKUP(VLOOKUP(tblEnlaces[[#This Row],[Canal]],tblCanales[#All],3,FALSE),tblPesosCoste[Valor],tblPesosCoste[Peso],0),0)</f>
        <v>0</v>
      </c>
      <c r="L343" s="10">
        <f>IFERROR(_xlfn.XLOOKUP(VLOOKUP(tblEnlaces[[#This Row],[Canal]],tblCanales[#All],5,FALSE),tblPesosValorOperativo[Valor],tblPesosValorOperativo[Opacidad],0),0)</f>
        <v>0</v>
      </c>
      <c r="M343" s="14">
        <f>IFERROR(_xlfn.XLOOKUP(VLOOKUP(tblEnlaces[[#This Row],[Canal]],tblCanales[#All],6,FALSE),tblPesosValorOperativo[Valor],tblPesosValorOperativo[Trazabilidad],0),0)</f>
        <v>0</v>
      </c>
      <c r="N343" s="14">
        <f>IFERROR(_xlfn.XLOOKUP(VLOOKUP(tblEnlaces[[#This Row],[Canal]],tblCanales[#All],7,FALSE),tblPesosValorOperativo[Valor],tblPesosValorOperativo[Velocidad],0),0)</f>
        <v>0</v>
      </c>
      <c r="O343" s="14">
        <f>IFERROR(_xlfn.XLOOKUP(VLOOKUP(tblEnlaces[[#This Row],[Canal]],tblCanales[#All],8,FALSE),tblPesosValorOperativo[Valor],tblPesosValorOperativo[Escalabilidad],0),0)</f>
        <v>0</v>
      </c>
      <c r="P343" s="53">
        <f>tblEnlaces[[#This Row],[Opacidad]]+tblEnlaces[[#This Row],[Escalabilidad]]+tblEnlaces[[#This Row],[Velocidad]]+tblEnlaces[[#This Row],[Trazabilidad]]</f>
        <v>0</v>
      </c>
    </row>
    <row r="344" spans="2:16" ht="16.5" customHeight="1" x14ac:dyDescent="0.25">
      <c r="B344" s="66" t="str">
        <f t="array" ref="B34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44" s="10" t="e">
        <f>VLOOKUP(tblEnlaces[[#This Row],[Nodo Inicial]],tblNodos[],2,FALSE)</f>
        <v>#N/A</v>
      </c>
      <c r="E344" s="39"/>
      <c r="F344" s="10" t="e">
        <f>VLOOKUP(tblEnlaces[[#This Row],[Nodo Final]],tblNodos[],2,FALSE)</f>
        <v>#N/A</v>
      </c>
      <c r="G344" s="39"/>
      <c r="I344" s="53">
        <f>IFERROR(_xlfn.XLOOKUP(VLOOKUP(tblEnlaces[[#This Row],[Canal]],tblCanales[#All],2,FALSE),tblPesosValorOperativo[Valor],tblPesosValorOperativo[Frecuencia de Uso],0),0)</f>
        <v>0</v>
      </c>
      <c r="J34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44" s="64">
        <f>IFERROR(_xlfn.XLOOKUP(VLOOKUP(tblEnlaces[[#This Row],[Canal]],tblCanales[#All],3,FALSE),tblPesosCoste[Valor],tblPesosCoste[Peso],0),0)</f>
        <v>0</v>
      </c>
      <c r="L344" s="10">
        <f>IFERROR(_xlfn.XLOOKUP(VLOOKUP(tblEnlaces[[#This Row],[Canal]],tblCanales[#All],5,FALSE),tblPesosValorOperativo[Valor],tblPesosValorOperativo[Opacidad],0),0)</f>
        <v>0</v>
      </c>
      <c r="M344" s="14">
        <f>IFERROR(_xlfn.XLOOKUP(VLOOKUP(tblEnlaces[[#This Row],[Canal]],tblCanales[#All],6,FALSE),tblPesosValorOperativo[Valor],tblPesosValorOperativo[Trazabilidad],0),0)</f>
        <v>0</v>
      </c>
      <c r="N344" s="14">
        <f>IFERROR(_xlfn.XLOOKUP(VLOOKUP(tblEnlaces[[#This Row],[Canal]],tblCanales[#All],7,FALSE),tblPesosValorOperativo[Valor],tblPesosValorOperativo[Velocidad],0),0)</f>
        <v>0</v>
      </c>
      <c r="O344" s="14">
        <f>IFERROR(_xlfn.XLOOKUP(VLOOKUP(tblEnlaces[[#This Row],[Canal]],tblCanales[#All],8,FALSE),tblPesosValorOperativo[Valor],tblPesosValorOperativo[Escalabilidad],0),0)</f>
        <v>0</v>
      </c>
      <c r="P344" s="53">
        <f>tblEnlaces[[#This Row],[Opacidad]]+tblEnlaces[[#This Row],[Escalabilidad]]+tblEnlaces[[#This Row],[Velocidad]]+tblEnlaces[[#This Row],[Trazabilidad]]</f>
        <v>0</v>
      </c>
    </row>
    <row r="345" spans="2:16" ht="16.5" customHeight="1" x14ac:dyDescent="0.25">
      <c r="B345" s="66" t="str">
        <f t="array" ref="B34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45" s="10" t="e">
        <f>VLOOKUP(tblEnlaces[[#This Row],[Nodo Inicial]],tblNodos[],2,FALSE)</f>
        <v>#N/A</v>
      </c>
      <c r="E345" s="39"/>
      <c r="F345" s="10" t="e">
        <f>VLOOKUP(tblEnlaces[[#This Row],[Nodo Final]],tblNodos[],2,FALSE)</f>
        <v>#N/A</v>
      </c>
      <c r="G345" s="39"/>
      <c r="I345" s="53">
        <f>IFERROR(_xlfn.XLOOKUP(VLOOKUP(tblEnlaces[[#This Row],[Canal]],tblCanales[#All],2,FALSE),tblPesosValorOperativo[Valor],tblPesosValorOperativo[Frecuencia de Uso],0),0)</f>
        <v>0</v>
      </c>
      <c r="J34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45" s="64">
        <f>IFERROR(_xlfn.XLOOKUP(VLOOKUP(tblEnlaces[[#This Row],[Canal]],tblCanales[#All],3,FALSE),tblPesosCoste[Valor],tblPesosCoste[Peso],0),0)</f>
        <v>0</v>
      </c>
      <c r="L345" s="10">
        <f>IFERROR(_xlfn.XLOOKUP(VLOOKUP(tblEnlaces[[#This Row],[Canal]],tblCanales[#All],5,FALSE),tblPesosValorOperativo[Valor],tblPesosValorOperativo[Opacidad],0),0)</f>
        <v>0</v>
      </c>
      <c r="M345" s="14">
        <f>IFERROR(_xlfn.XLOOKUP(VLOOKUP(tblEnlaces[[#This Row],[Canal]],tblCanales[#All],6,FALSE),tblPesosValorOperativo[Valor],tblPesosValorOperativo[Trazabilidad],0),0)</f>
        <v>0</v>
      </c>
      <c r="N345" s="14">
        <f>IFERROR(_xlfn.XLOOKUP(VLOOKUP(tblEnlaces[[#This Row],[Canal]],tblCanales[#All],7,FALSE),tblPesosValorOperativo[Valor],tblPesosValorOperativo[Velocidad],0),0)</f>
        <v>0</v>
      </c>
      <c r="O345" s="14">
        <f>IFERROR(_xlfn.XLOOKUP(VLOOKUP(tblEnlaces[[#This Row],[Canal]],tblCanales[#All],8,FALSE),tblPesosValorOperativo[Valor],tblPesosValorOperativo[Escalabilidad],0),0)</f>
        <v>0</v>
      </c>
      <c r="P345" s="53">
        <f>tblEnlaces[[#This Row],[Opacidad]]+tblEnlaces[[#This Row],[Escalabilidad]]+tblEnlaces[[#This Row],[Velocidad]]+tblEnlaces[[#This Row],[Trazabilidad]]</f>
        <v>0</v>
      </c>
    </row>
    <row r="346" spans="2:16" ht="16.5" customHeight="1" x14ac:dyDescent="0.25">
      <c r="B346" s="66" t="str">
        <f t="array" ref="B34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46" s="10" t="e">
        <f>VLOOKUP(tblEnlaces[[#This Row],[Nodo Inicial]],tblNodos[],2,FALSE)</f>
        <v>#N/A</v>
      </c>
      <c r="E346" s="39"/>
      <c r="F346" s="10" t="e">
        <f>VLOOKUP(tblEnlaces[[#This Row],[Nodo Final]],tblNodos[],2,FALSE)</f>
        <v>#N/A</v>
      </c>
      <c r="G346" s="39"/>
      <c r="I346" s="53">
        <f>IFERROR(_xlfn.XLOOKUP(VLOOKUP(tblEnlaces[[#This Row],[Canal]],tblCanales[#All],2,FALSE),tblPesosValorOperativo[Valor],tblPesosValorOperativo[Frecuencia de Uso],0),0)</f>
        <v>0</v>
      </c>
      <c r="J34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46" s="64">
        <f>IFERROR(_xlfn.XLOOKUP(VLOOKUP(tblEnlaces[[#This Row],[Canal]],tblCanales[#All],3,FALSE),tblPesosCoste[Valor],tblPesosCoste[Peso],0),0)</f>
        <v>0</v>
      </c>
      <c r="L346" s="10">
        <f>IFERROR(_xlfn.XLOOKUP(VLOOKUP(tblEnlaces[[#This Row],[Canal]],tblCanales[#All],5,FALSE),tblPesosValorOperativo[Valor],tblPesosValorOperativo[Opacidad],0),0)</f>
        <v>0</v>
      </c>
      <c r="M346" s="14">
        <f>IFERROR(_xlfn.XLOOKUP(VLOOKUP(tblEnlaces[[#This Row],[Canal]],tblCanales[#All],6,FALSE),tblPesosValorOperativo[Valor],tblPesosValorOperativo[Trazabilidad],0),0)</f>
        <v>0</v>
      </c>
      <c r="N346" s="14">
        <f>IFERROR(_xlfn.XLOOKUP(VLOOKUP(tblEnlaces[[#This Row],[Canal]],tblCanales[#All],7,FALSE),tblPesosValorOperativo[Valor],tblPesosValorOperativo[Velocidad],0),0)</f>
        <v>0</v>
      </c>
      <c r="O346" s="14">
        <f>IFERROR(_xlfn.XLOOKUP(VLOOKUP(tblEnlaces[[#This Row],[Canal]],tblCanales[#All],8,FALSE),tblPesosValorOperativo[Valor],tblPesosValorOperativo[Escalabilidad],0),0)</f>
        <v>0</v>
      </c>
      <c r="P346" s="53">
        <f>tblEnlaces[[#This Row],[Opacidad]]+tblEnlaces[[#This Row],[Escalabilidad]]+tblEnlaces[[#This Row],[Velocidad]]+tblEnlaces[[#This Row],[Trazabilidad]]</f>
        <v>0</v>
      </c>
    </row>
    <row r="347" spans="2:16" ht="16.5" customHeight="1" x14ac:dyDescent="0.25">
      <c r="B347" s="66" t="str">
        <f t="array" ref="B34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47" s="10" t="e">
        <f>VLOOKUP(tblEnlaces[[#This Row],[Nodo Inicial]],tblNodos[],2,FALSE)</f>
        <v>#N/A</v>
      </c>
      <c r="E347" s="39"/>
      <c r="F347" s="10" t="e">
        <f>VLOOKUP(tblEnlaces[[#This Row],[Nodo Final]],tblNodos[],2,FALSE)</f>
        <v>#N/A</v>
      </c>
      <c r="G347" s="39"/>
      <c r="I347" s="53">
        <f>IFERROR(_xlfn.XLOOKUP(VLOOKUP(tblEnlaces[[#This Row],[Canal]],tblCanales[#All],2,FALSE),tblPesosValorOperativo[Valor],tblPesosValorOperativo[Frecuencia de Uso],0),0)</f>
        <v>0</v>
      </c>
      <c r="J34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47" s="64">
        <f>IFERROR(_xlfn.XLOOKUP(VLOOKUP(tblEnlaces[[#This Row],[Canal]],tblCanales[#All],3,FALSE),tblPesosCoste[Valor],tblPesosCoste[Peso],0),0)</f>
        <v>0</v>
      </c>
      <c r="L347" s="10">
        <f>IFERROR(_xlfn.XLOOKUP(VLOOKUP(tblEnlaces[[#This Row],[Canal]],tblCanales[#All],5,FALSE),tblPesosValorOperativo[Valor],tblPesosValorOperativo[Opacidad],0),0)</f>
        <v>0</v>
      </c>
      <c r="M347" s="14">
        <f>IFERROR(_xlfn.XLOOKUP(VLOOKUP(tblEnlaces[[#This Row],[Canal]],tblCanales[#All],6,FALSE),tblPesosValorOperativo[Valor],tblPesosValorOperativo[Trazabilidad],0),0)</f>
        <v>0</v>
      </c>
      <c r="N347" s="14">
        <f>IFERROR(_xlfn.XLOOKUP(VLOOKUP(tblEnlaces[[#This Row],[Canal]],tblCanales[#All],7,FALSE),tblPesosValorOperativo[Valor],tblPesosValorOperativo[Velocidad],0),0)</f>
        <v>0</v>
      </c>
      <c r="O347" s="14">
        <f>IFERROR(_xlfn.XLOOKUP(VLOOKUP(tblEnlaces[[#This Row],[Canal]],tblCanales[#All],8,FALSE),tblPesosValorOperativo[Valor],tblPesosValorOperativo[Escalabilidad],0),0)</f>
        <v>0</v>
      </c>
      <c r="P347" s="53">
        <f>tblEnlaces[[#This Row],[Opacidad]]+tblEnlaces[[#This Row],[Escalabilidad]]+tblEnlaces[[#This Row],[Velocidad]]+tblEnlaces[[#This Row],[Trazabilidad]]</f>
        <v>0</v>
      </c>
    </row>
    <row r="348" spans="2:16" ht="16.5" customHeight="1" x14ac:dyDescent="0.25">
      <c r="B348" s="66" t="str">
        <f t="array" ref="B34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48" s="10" t="e">
        <f>VLOOKUP(tblEnlaces[[#This Row],[Nodo Inicial]],tblNodos[],2,FALSE)</f>
        <v>#N/A</v>
      </c>
      <c r="E348" s="39"/>
      <c r="F348" s="10" t="e">
        <f>VLOOKUP(tblEnlaces[[#This Row],[Nodo Final]],tblNodos[],2,FALSE)</f>
        <v>#N/A</v>
      </c>
      <c r="G348" s="39"/>
      <c r="I348" s="53">
        <f>IFERROR(_xlfn.XLOOKUP(VLOOKUP(tblEnlaces[[#This Row],[Canal]],tblCanales[#All],2,FALSE),tblPesosValorOperativo[Valor],tblPesosValorOperativo[Frecuencia de Uso],0),0)</f>
        <v>0</v>
      </c>
      <c r="J34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48" s="64">
        <f>IFERROR(_xlfn.XLOOKUP(VLOOKUP(tblEnlaces[[#This Row],[Canal]],tblCanales[#All],3,FALSE),tblPesosCoste[Valor],tblPesosCoste[Peso],0),0)</f>
        <v>0</v>
      </c>
      <c r="L348" s="10">
        <f>IFERROR(_xlfn.XLOOKUP(VLOOKUP(tblEnlaces[[#This Row],[Canal]],tblCanales[#All],5,FALSE),tblPesosValorOperativo[Valor],tblPesosValorOperativo[Opacidad],0),0)</f>
        <v>0</v>
      </c>
      <c r="M348" s="14">
        <f>IFERROR(_xlfn.XLOOKUP(VLOOKUP(tblEnlaces[[#This Row],[Canal]],tblCanales[#All],6,FALSE),tblPesosValorOperativo[Valor],tblPesosValorOperativo[Trazabilidad],0),0)</f>
        <v>0</v>
      </c>
      <c r="N348" s="14">
        <f>IFERROR(_xlfn.XLOOKUP(VLOOKUP(tblEnlaces[[#This Row],[Canal]],tblCanales[#All],7,FALSE),tblPesosValorOperativo[Valor],tblPesosValorOperativo[Velocidad],0),0)</f>
        <v>0</v>
      </c>
      <c r="O348" s="14">
        <f>IFERROR(_xlfn.XLOOKUP(VLOOKUP(tblEnlaces[[#This Row],[Canal]],tblCanales[#All],8,FALSE),tblPesosValorOperativo[Valor],tblPesosValorOperativo[Escalabilidad],0),0)</f>
        <v>0</v>
      </c>
      <c r="P348" s="53">
        <f>tblEnlaces[[#This Row],[Opacidad]]+tblEnlaces[[#This Row],[Escalabilidad]]+tblEnlaces[[#This Row],[Velocidad]]+tblEnlaces[[#This Row],[Trazabilidad]]</f>
        <v>0</v>
      </c>
    </row>
    <row r="349" spans="2:16" ht="16.5" customHeight="1" x14ac:dyDescent="0.25">
      <c r="B349" s="66" t="str">
        <f t="array" ref="B34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49" s="10" t="e">
        <f>VLOOKUP(tblEnlaces[[#This Row],[Nodo Inicial]],tblNodos[],2,FALSE)</f>
        <v>#N/A</v>
      </c>
      <c r="E349" s="39"/>
      <c r="F349" s="10" t="e">
        <f>VLOOKUP(tblEnlaces[[#This Row],[Nodo Final]],tblNodos[],2,FALSE)</f>
        <v>#N/A</v>
      </c>
      <c r="G349" s="39"/>
      <c r="I349" s="53">
        <f>IFERROR(_xlfn.XLOOKUP(VLOOKUP(tblEnlaces[[#This Row],[Canal]],tblCanales[#All],2,FALSE),tblPesosValorOperativo[Valor],tblPesosValorOperativo[Frecuencia de Uso],0),0)</f>
        <v>0</v>
      </c>
      <c r="J34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49" s="64">
        <f>IFERROR(_xlfn.XLOOKUP(VLOOKUP(tblEnlaces[[#This Row],[Canal]],tblCanales[#All],3,FALSE),tblPesosCoste[Valor],tblPesosCoste[Peso],0),0)</f>
        <v>0</v>
      </c>
      <c r="L349" s="10">
        <f>IFERROR(_xlfn.XLOOKUP(VLOOKUP(tblEnlaces[[#This Row],[Canal]],tblCanales[#All],5,FALSE),tblPesosValorOperativo[Valor],tblPesosValorOperativo[Opacidad],0),0)</f>
        <v>0</v>
      </c>
      <c r="M349" s="14">
        <f>IFERROR(_xlfn.XLOOKUP(VLOOKUP(tblEnlaces[[#This Row],[Canal]],tblCanales[#All],6,FALSE),tblPesosValorOperativo[Valor],tblPesosValorOperativo[Trazabilidad],0),0)</f>
        <v>0</v>
      </c>
      <c r="N349" s="14">
        <f>IFERROR(_xlfn.XLOOKUP(VLOOKUP(tblEnlaces[[#This Row],[Canal]],tblCanales[#All],7,FALSE),tblPesosValorOperativo[Valor],tblPesosValorOperativo[Velocidad],0),0)</f>
        <v>0</v>
      </c>
      <c r="O349" s="14">
        <f>IFERROR(_xlfn.XLOOKUP(VLOOKUP(tblEnlaces[[#This Row],[Canal]],tblCanales[#All],8,FALSE),tblPesosValorOperativo[Valor],tblPesosValorOperativo[Escalabilidad],0),0)</f>
        <v>0</v>
      </c>
      <c r="P349" s="53">
        <f>tblEnlaces[[#This Row],[Opacidad]]+tblEnlaces[[#This Row],[Escalabilidad]]+tblEnlaces[[#This Row],[Velocidad]]+tblEnlaces[[#This Row],[Trazabilidad]]</f>
        <v>0</v>
      </c>
    </row>
    <row r="350" spans="2:16" ht="16.5" customHeight="1" x14ac:dyDescent="0.25">
      <c r="B350" s="66" t="str">
        <f t="array" ref="B35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50" s="10" t="e">
        <f>VLOOKUP(tblEnlaces[[#This Row],[Nodo Inicial]],tblNodos[],2,FALSE)</f>
        <v>#N/A</v>
      </c>
      <c r="E350" s="39"/>
      <c r="F350" s="10" t="e">
        <f>VLOOKUP(tblEnlaces[[#This Row],[Nodo Final]],tblNodos[],2,FALSE)</f>
        <v>#N/A</v>
      </c>
      <c r="G350" s="39"/>
      <c r="I350" s="53">
        <f>IFERROR(_xlfn.XLOOKUP(VLOOKUP(tblEnlaces[[#This Row],[Canal]],tblCanales[#All],2,FALSE),tblPesosValorOperativo[Valor],tblPesosValorOperativo[Frecuencia de Uso],0),0)</f>
        <v>0</v>
      </c>
      <c r="J35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50" s="64">
        <f>IFERROR(_xlfn.XLOOKUP(VLOOKUP(tblEnlaces[[#This Row],[Canal]],tblCanales[#All],3,FALSE),tblPesosCoste[Valor],tblPesosCoste[Peso],0),0)</f>
        <v>0</v>
      </c>
      <c r="L350" s="10">
        <f>IFERROR(_xlfn.XLOOKUP(VLOOKUP(tblEnlaces[[#This Row],[Canal]],tblCanales[#All],5,FALSE),tblPesosValorOperativo[Valor],tblPesosValorOperativo[Opacidad],0),0)</f>
        <v>0</v>
      </c>
      <c r="M350" s="14">
        <f>IFERROR(_xlfn.XLOOKUP(VLOOKUP(tblEnlaces[[#This Row],[Canal]],tblCanales[#All],6,FALSE),tblPesosValorOperativo[Valor],tblPesosValorOperativo[Trazabilidad],0),0)</f>
        <v>0</v>
      </c>
      <c r="N350" s="14">
        <f>IFERROR(_xlfn.XLOOKUP(VLOOKUP(tblEnlaces[[#This Row],[Canal]],tblCanales[#All],7,FALSE),tblPesosValorOperativo[Valor],tblPesosValorOperativo[Velocidad],0),0)</f>
        <v>0</v>
      </c>
      <c r="O350" s="14">
        <f>IFERROR(_xlfn.XLOOKUP(VLOOKUP(tblEnlaces[[#This Row],[Canal]],tblCanales[#All],8,FALSE),tblPesosValorOperativo[Valor],tblPesosValorOperativo[Escalabilidad],0),0)</f>
        <v>0</v>
      </c>
      <c r="P350" s="53">
        <f>tblEnlaces[[#This Row],[Opacidad]]+tblEnlaces[[#This Row],[Escalabilidad]]+tblEnlaces[[#This Row],[Velocidad]]+tblEnlaces[[#This Row],[Trazabilidad]]</f>
        <v>0</v>
      </c>
    </row>
    <row r="351" spans="2:16" ht="16.5" customHeight="1" x14ac:dyDescent="0.25">
      <c r="B351" s="66" t="str">
        <f t="array" ref="B35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51" s="10" t="e">
        <f>VLOOKUP(tblEnlaces[[#This Row],[Nodo Inicial]],tblNodos[],2,FALSE)</f>
        <v>#N/A</v>
      </c>
      <c r="E351" s="39"/>
      <c r="F351" s="10" t="e">
        <f>VLOOKUP(tblEnlaces[[#This Row],[Nodo Final]],tblNodos[],2,FALSE)</f>
        <v>#N/A</v>
      </c>
      <c r="G351" s="39"/>
      <c r="I351" s="53">
        <f>IFERROR(_xlfn.XLOOKUP(VLOOKUP(tblEnlaces[[#This Row],[Canal]],tblCanales[#All],2,FALSE),tblPesosValorOperativo[Valor],tblPesosValorOperativo[Frecuencia de Uso],0),0)</f>
        <v>0</v>
      </c>
      <c r="J35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51" s="64">
        <f>IFERROR(_xlfn.XLOOKUP(VLOOKUP(tblEnlaces[[#This Row],[Canal]],tblCanales[#All],3,FALSE),tblPesosCoste[Valor],tblPesosCoste[Peso],0),0)</f>
        <v>0</v>
      </c>
      <c r="L351" s="10">
        <f>IFERROR(_xlfn.XLOOKUP(VLOOKUP(tblEnlaces[[#This Row],[Canal]],tblCanales[#All],5,FALSE),tblPesosValorOperativo[Valor],tblPesosValorOperativo[Opacidad],0),0)</f>
        <v>0</v>
      </c>
      <c r="M351" s="14">
        <f>IFERROR(_xlfn.XLOOKUP(VLOOKUP(tblEnlaces[[#This Row],[Canal]],tblCanales[#All],6,FALSE),tblPesosValorOperativo[Valor],tblPesosValorOperativo[Trazabilidad],0),0)</f>
        <v>0</v>
      </c>
      <c r="N351" s="14">
        <f>IFERROR(_xlfn.XLOOKUP(VLOOKUP(tblEnlaces[[#This Row],[Canal]],tblCanales[#All],7,FALSE),tblPesosValorOperativo[Valor],tblPesosValorOperativo[Velocidad],0),0)</f>
        <v>0</v>
      </c>
      <c r="O351" s="14">
        <f>IFERROR(_xlfn.XLOOKUP(VLOOKUP(tblEnlaces[[#This Row],[Canal]],tblCanales[#All],8,FALSE),tblPesosValorOperativo[Valor],tblPesosValorOperativo[Escalabilidad],0),0)</f>
        <v>0</v>
      </c>
      <c r="P351" s="53">
        <f>tblEnlaces[[#This Row],[Opacidad]]+tblEnlaces[[#This Row],[Escalabilidad]]+tblEnlaces[[#This Row],[Velocidad]]+tblEnlaces[[#This Row],[Trazabilidad]]</f>
        <v>0</v>
      </c>
    </row>
    <row r="352" spans="2:16" ht="16.5" customHeight="1" x14ac:dyDescent="0.25">
      <c r="B352" s="66" t="str">
        <f t="array" ref="B35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52" s="10" t="e">
        <f>VLOOKUP(tblEnlaces[[#This Row],[Nodo Inicial]],tblNodos[],2,FALSE)</f>
        <v>#N/A</v>
      </c>
      <c r="E352" s="39"/>
      <c r="F352" s="10" t="e">
        <f>VLOOKUP(tblEnlaces[[#This Row],[Nodo Final]],tblNodos[],2,FALSE)</f>
        <v>#N/A</v>
      </c>
      <c r="G352" s="39"/>
      <c r="I352" s="53">
        <f>IFERROR(_xlfn.XLOOKUP(VLOOKUP(tblEnlaces[[#This Row],[Canal]],tblCanales[#All],2,FALSE),tblPesosValorOperativo[Valor],tblPesosValorOperativo[Frecuencia de Uso],0),0)</f>
        <v>0</v>
      </c>
      <c r="J35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52" s="64">
        <f>IFERROR(_xlfn.XLOOKUP(VLOOKUP(tblEnlaces[[#This Row],[Canal]],tblCanales[#All],3,FALSE),tblPesosCoste[Valor],tblPesosCoste[Peso],0),0)</f>
        <v>0</v>
      </c>
      <c r="L352" s="10">
        <f>IFERROR(_xlfn.XLOOKUP(VLOOKUP(tblEnlaces[[#This Row],[Canal]],tblCanales[#All],5,FALSE),tblPesosValorOperativo[Valor],tblPesosValorOperativo[Opacidad],0),0)</f>
        <v>0</v>
      </c>
      <c r="M352" s="14">
        <f>IFERROR(_xlfn.XLOOKUP(VLOOKUP(tblEnlaces[[#This Row],[Canal]],tblCanales[#All],6,FALSE),tblPesosValorOperativo[Valor],tblPesosValorOperativo[Trazabilidad],0),0)</f>
        <v>0</v>
      </c>
      <c r="N352" s="14">
        <f>IFERROR(_xlfn.XLOOKUP(VLOOKUP(tblEnlaces[[#This Row],[Canal]],tblCanales[#All],7,FALSE),tblPesosValorOperativo[Valor],tblPesosValorOperativo[Velocidad],0),0)</f>
        <v>0</v>
      </c>
      <c r="O352" s="14">
        <f>IFERROR(_xlfn.XLOOKUP(VLOOKUP(tblEnlaces[[#This Row],[Canal]],tblCanales[#All],8,FALSE),tblPesosValorOperativo[Valor],tblPesosValorOperativo[Escalabilidad],0),0)</f>
        <v>0</v>
      </c>
      <c r="P352" s="53">
        <f>tblEnlaces[[#This Row],[Opacidad]]+tblEnlaces[[#This Row],[Escalabilidad]]+tblEnlaces[[#This Row],[Velocidad]]+tblEnlaces[[#This Row],[Trazabilidad]]</f>
        <v>0</v>
      </c>
    </row>
    <row r="353" spans="2:16" ht="16.5" customHeight="1" x14ac:dyDescent="0.25">
      <c r="B353" s="66" t="str">
        <f t="array" ref="B35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53" s="10" t="e">
        <f>VLOOKUP(tblEnlaces[[#This Row],[Nodo Inicial]],tblNodos[],2,FALSE)</f>
        <v>#N/A</v>
      </c>
      <c r="E353" s="39"/>
      <c r="F353" s="10" t="e">
        <f>VLOOKUP(tblEnlaces[[#This Row],[Nodo Final]],tblNodos[],2,FALSE)</f>
        <v>#N/A</v>
      </c>
      <c r="G353" s="39"/>
      <c r="I353" s="53">
        <f>IFERROR(_xlfn.XLOOKUP(VLOOKUP(tblEnlaces[[#This Row],[Canal]],tblCanales[#All],2,FALSE),tblPesosValorOperativo[Valor],tblPesosValorOperativo[Frecuencia de Uso],0),0)</f>
        <v>0</v>
      </c>
      <c r="J35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53" s="64">
        <f>IFERROR(_xlfn.XLOOKUP(VLOOKUP(tblEnlaces[[#This Row],[Canal]],tblCanales[#All],3,FALSE),tblPesosCoste[Valor],tblPesosCoste[Peso],0),0)</f>
        <v>0</v>
      </c>
      <c r="L353" s="10">
        <f>IFERROR(_xlfn.XLOOKUP(VLOOKUP(tblEnlaces[[#This Row],[Canal]],tblCanales[#All],5,FALSE),tblPesosValorOperativo[Valor],tblPesosValorOperativo[Opacidad],0),0)</f>
        <v>0</v>
      </c>
      <c r="M353" s="14">
        <f>IFERROR(_xlfn.XLOOKUP(VLOOKUP(tblEnlaces[[#This Row],[Canal]],tblCanales[#All],6,FALSE),tblPesosValorOperativo[Valor],tblPesosValorOperativo[Trazabilidad],0),0)</f>
        <v>0</v>
      </c>
      <c r="N353" s="14">
        <f>IFERROR(_xlfn.XLOOKUP(VLOOKUP(tblEnlaces[[#This Row],[Canal]],tblCanales[#All],7,FALSE),tblPesosValorOperativo[Valor],tblPesosValorOperativo[Velocidad],0),0)</f>
        <v>0</v>
      </c>
      <c r="O353" s="14">
        <f>IFERROR(_xlfn.XLOOKUP(VLOOKUP(tblEnlaces[[#This Row],[Canal]],tblCanales[#All],8,FALSE),tblPesosValorOperativo[Valor],tblPesosValorOperativo[Escalabilidad],0),0)</f>
        <v>0</v>
      </c>
      <c r="P353" s="53">
        <f>tblEnlaces[[#This Row],[Opacidad]]+tblEnlaces[[#This Row],[Escalabilidad]]+tblEnlaces[[#This Row],[Velocidad]]+tblEnlaces[[#This Row],[Trazabilidad]]</f>
        <v>0</v>
      </c>
    </row>
    <row r="354" spans="2:16" ht="16.5" customHeight="1" x14ac:dyDescent="0.25">
      <c r="B354" s="66" t="str">
        <f t="array" ref="B35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54" s="10" t="e">
        <f>VLOOKUP(tblEnlaces[[#This Row],[Nodo Inicial]],tblNodos[],2,FALSE)</f>
        <v>#N/A</v>
      </c>
      <c r="E354" s="39"/>
      <c r="F354" s="10" t="e">
        <f>VLOOKUP(tblEnlaces[[#This Row],[Nodo Final]],tblNodos[],2,FALSE)</f>
        <v>#N/A</v>
      </c>
      <c r="G354" s="39"/>
      <c r="I354" s="53">
        <f>IFERROR(_xlfn.XLOOKUP(VLOOKUP(tblEnlaces[[#This Row],[Canal]],tblCanales[#All],2,FALSE),tblPesosValorOperativo[Valor],tblPesosValorOperativo[Frecuencia de Uso],0),0)</f>
        <v>0</v>
      </c>
      <c r="J35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54" s="64">
        <f>IFERROR(_xlfn.XLOOKUP(VLOOKUP(tblEnlaces[[#This Row],[Canal]],tblCanales[#All],3,FALSE),tblPesosCoste[Valor],tblPesosCoste[Peso],0),0)</f>
        <v>0</v>
      </c>
      <c r="L354" s="10">
        <f>IFERROR(_xlfn.XLOOKUP(VLOOKUP(tblEnlaces[[#This Row],[Canal]],tblCanales[#All],5,FALSE),tblPesosValorOperativo[Valor],tblPesosValorOperativo[Opacidad],0),0)</f>
        <v>0</v>
      </c>
      <c r="M354" s="14">
        <f>IFERROR(_xlfn.XLOOKUP(VLOOKUP(tblEnlaces[[#This Row],[Canal]],tblCanales[#All],6,FALSE),tblPesosValorOperativo[Valor],tblPesosValorOperativo[Trazabilidad],0),0)</f>
        <v>0</v>
      </c>
      <c r="N354" s="14">
        <f>IFERROR(_xlfn.XLOOKUP(VLOOKUP(tblEnlaces[[#This Row],[Canal]],tblCanales[#All],7,FALSE),tblPesosValorOperativo[Valor],tblPesosValorOperativo[Velocidad],0),0)</f>
        <v>0</v>
      </c>
      <c r="O354" s="14">
        <f>IFERROR(_xlfn.XLOOKUP(VLOOKUP(tblEnlaces[[#This Row],[Canal]],tblCanales[#All],8,FALSE),tblPesosValorOperativo[Valor],tblPesosValorOperativo[Escalabilidad],0),0)</f>
        <v>0</v>
      </c>
      <c r="P354" s="53">
        <f>tblEnlaces[[#This Row],[Opacidad]]+tblEnlaces[[#This Row],[Escalabilidad]]+tblEnlaces[[#This Row],[Velocidad]]+tblEnlaces[[#This Row],[Trazabilidad]]</f>
        <v>0</v>
      </c>
    </row>
    <row r="355" spans="2:16" ht="16.5" customHeight="1" x14ac:dyDescent="0.25">
      <c r="B355" s="66" t="str">
        <f t="array" ref="B35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55" s="10" t="e">
        <f>VLOOKUP(tblEnlaces[[#This Row],[Nodo Inicial]],tblNodos[],2,FALSE)</f>
        <v>#N/A</v>
      </c>
      <c r="E355" s="39"/>
      <c r="F355" s="10" t="e">
        <f>VLOOKUP(tblEnlaces[[#This Row],[Nodo Final]],tblNodos[],2,FALSE)</f>
        <v>#N/A</v>
      </c>
      <c r="G355" s="39"/>
      <c r="I355" s="53">
        <f>IFERROR(_xlfn.XLOOKUP(VLOOKUP(tblEnlaces[[#This Row],[Canal]],tblCanales[#All],2,FALSE),tblPesosValorOperativo[Valor],tblPesosValorOperativo[Frecuencia de Uso],0),0)</f>
        <v>0</v>
      </c>
      <c r="J35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55" s="64">
        <f>IFERROR(_xlfn.XLOOKUP(VLOOKUP(tblEnlaces[[#This Row],[Canal]],tblCanales[#All],3,FALSE),tblPesosCoste[Valor],tblPesosCoste[Peso],0),0)</f>
        <v>0</v>
      </c>
      <c r="L355" s="10">
        <f>IFERROR(_xlfn.XLOOKUP(VLOOKUP(tblEnlaces[[#This Row],[Canal]],tblCanales[#All],5,FALSE),tblPesosValorOperativo[Valor],tblPesosValorOperativo[Opacidad],0),0)</f>
        <v>0</v>
      </c>
      <c r="M355" s="14">
        <f>IFERROR(_xlfn.XLOOKUP(VLOOKUP(tblEnlaces[[#This Row],[Canal]],tblCanales[#All],6,FALSE),tblPesosValorOperativo[Valor],tblPesosValorOperativo[Trazabilidad],0),0)</f>
        <v>0</v>
      </c>
      <c r="N355" s="14">
        <f>IFERROR(_xlfn.XLOOKUP(VLOOKUP(tblEnlaces[[#This Row],[Canal]],tblCanales[#All],7,FALSE),tblPesosValorOperativo[Valor],tblPesosValorOperativo[Velocidad],0),0)</f>
        <v>0</v>
      </c>
      <c r="O355" s="14">
        <f>IFERROR(_xlfn.XLOOKUP(VLOOKUP(tblEnlaces[[#This Row],[Canal]],tblCanales[#All],8,FALSE),tblPesosValorOperativo[Valor],tblPesosValorOperativo[Escalabilidad],0),0)</f>
        <v>0</v>
      </c>
      <c r="P355" s="53">
        <f>tblEnlaces[[#This Row],[Opacidad]]+tblEnlaces[[#This Row],[Escalabilidad]]+tblEnlaces[[#This Row],[Velocidad]]+tblEnlaces[[#This Row],[Trazabilidad]]</f>
        <v>0</v>
      </c>
    </row>
    <row r="356" spans="2:16" ht="16.5" customHeight="1" x14ac:dyDescent="0.25">
      <c r="B356" s="66" t="str">
        <f t="array" ref="B35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56" s="10" t="e">
        <f>VLOOKUP(tblEnlaces[[#This Row],[Nodo Inicial]],tblNodos[],2,FALSE)</f>
        <v>#N/A</v>
      </c>
      <c r="E356" s="39"/>
      <c r="F356" s="10" t="e">
        <f>VLOOKUP(tblEnlaces[[#This Row],[Nodo Final]],tblNodos[],2,FALSE)</f>
        <v>#N/A</v>
      </c>
      <c r="G356" s="39"/>
      <c r="I356" s="53">
        <f>IFERROR(_xlfn.XLOOKUP(VLOOKUP(tblEnlaces[[#This Row],[Canal]],tblCanales[#All],2,FALSE),tblPesosValorOperativo[Valor],tblPesosValorOperativo[Frecuencia de Uso],0),0)</f>
        <v>0</v>
      </c>
      <c r="J35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56" s="64">
        <f>IFERROR(_xlfn.XLOOKUP(VLOOKUP(tblEnlaces[[#This Row],[Canal]],tblCanales[#All],3,FALSE),tblPesosCoste[Valor],tblPesosCoste[Peso],0),0)</f>
        <v>0</v>
      </c>
      <c r="L356" s="10">
        <f>IFERROR(_xlfn.XLOOKUP(VLOOKUP(tblEnlaces[[#This Row],[Canal]],tblCanales[#All],5,FALSE),tblPesosValorOperativo[Valor],tblPesosValorOperativo[Opacidad],0),0)</f>
        <v>0</v>
      </c>
      <c r="M356" s="14">
        <f>IFERROR(_xlfn.XLOOKUP(VLOOKUP(tblEnlaces[[#This Row],[Canal]],tblCanales[#All],6,FALSE),tblPesosValorOperativo[Valor],tblPesosValorOperativo[Trazabilidad],0),0)</f>
        <v>0</v>
      </c>
      <c r="N356" s="14">
        <f>IFERROR(_xlfn.XLOOKUP(VLOOKUP(tblEnlaces[[#This Row],[Canal]],tblCanales[#All],7,FALSE),tblPesosValorOperativo[Valor],tblPesosValorOperativo[Velocidad],0),0)</f>
        <v>0</v>
      </c>
      <c r="O356" s="14">
        <f>IFERROR(_xlfn.XLOOKUP(VLOOKUP(tblEnlaces[[#This Row],[Canal]],tblCanales[#All],8,FALSE),tblPesosValorOperativo[Valor],tblPesosValorOperativo[Escalabilidad],0),0)</f>
        <v>0</v>
      </c>
      <c r="P356" s="53">
        <f>tblEnlaces[[#This Row],[Opacidad]]+tblEnlaces[[#This Row],[Escalabilidad]]+tblEnlaces[[#This Row],[Velocidad]]+tblEnlaces[[#This Row],[Trazabilidad]]</f>
        <v>0</v>
      </c>
    </row>
    <row r="357" spans="2:16" ht="16.5" customHeight="1" x14ac:dyDescent="0.25">
      <c r="B357" s="66" t="str">
        <f t="array" ref="B35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57" s="10" t="e">
        <f>VLOOKUP(tblEnlaces[[#This Row],[Nodo Inicial]],tblNodos[],2,FALSE)</f>
        <v>#N/A</v>
      </c>
      <c r="E357" s="39"/>
      <c r="F357" s="10" t="e">
        <f>VLOOKUP(tblEnlaces[[#This Row],[Nodo Final]],tblNodos[],2,FALSE)</f>
        <v>#N/A</v>
      </c>
      <c r="G357" s="39"/>
      <c r="I357" s="53">
        <f>IFERROR(_xlfn.XLOOKUP(VLOOKUP(tblEnlaces[[#This Row],[Canal]],tblCanales[#All],2,FALSE),tblPesosValorOperativo[Valor],tblPesosValorOperativo[Frecuencia de Uso],0),0)</f>
        <v>0</v>
      </c>
      <c r="J35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57" s="64">
        <f>IFERROR(_xlfn.XLOOKUP(VLOOKUP(tblEnlaces[[#This Row],[Canal]],tblCanales[#All],3,FALSE),tblPesosCoste[Valor],tblPesosCoste[Peso],0),0)</f>
        <v>0</v>
      </c>
      <c r="L357" s="10">
        <f>IFERROR(_xlfn.XLOOKUP(VLOOKUP(tblEnlaces[[#This Row],[Canal]],tblCanales[#All],5,FALSE),tblPesosValorOperativo[Valor],tblPesosValorOperativo[Opacidad],0),0)</f>
        <v>0</v>
      </c>
      <c r="M357" s="14">
        <f>IFERROR(_xlfn.XLOOKUP(VLOOKUP(tblEnlaces[[#This Row],[Canal]],tblCanales[#All],6,FALSE),tblPesosValorOperativo[Valor],tblPesosValorOperativo[Trazabilidad],0),0)</f>
        <v>0</v>
      </c>
      <c r="N357" s="14">
        <f>IFERROR(_xlfn.XLOOKUP(VLOOKUP(tblEnlaces[[#This Row],[Canal]],tblCanales[#All],7,FALSE),tblPesosValorOperativo[Valor],tblPesosValorOperativo[Velocidad],0),0)</f>
        <v>0</v>
      </c>
      <c r="O357" s="14">
        <f>IFERROR(_xlfn.XLOOKUP(VLOOKUP(tblEnlaces[[#This Row],[Canal]],tblCanales[#All],8,FALSE),tblPesosValorOperativo[Valor],tblPesosValorOperativo[Escalabilidad],0),0)</f>
        <v>0</v>
      </c>
      <c r="P357" s="53">
        <f>tblEnlaces[[#This Row],[Opacidad]]+tblEnlaces[[#This Row],[Escalabilidad]]+tblEnlaces[[#This Row],[Velocidad]]+tblEnlaces[[#This Row],[Trazabilidad]]</f>
        <v>0</v>
      </c>
    </row>
    <row r="358" spans="2:16" ht="16.5" customHeight="1" x14ac:dyDescent="0.25">
      <c r="B358" s="66" t="str">
        <f t="array" ref="B35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58" s="10" t="e">
        <f>VLOOKUP(tblEnlaces[[#This Row],[Nodo Inicial]],tblNodos[],2,FALSE)</f>
        <v>#N/A</v>
      </c>
      <c r="E358" s="39"/>
      <c r="F358" s="10" t="e">
        <f>VLOOKUP(tblEnlaces[[#This Row],[Nodo Final]],tblNodos[],2,FALSE)</f>
        <v>#N/A</v>
      </c>
      <c r="G358" s="39"/>
      <c r="I358" s="53">
        <f>IFERROR(_xlfn.XLOOKUP(VLOOKUP(tblEnlaces[[#This Row],[Canal]],tblCanales[#All],2,FALSE),tblPesosValorOperativo[Valor],tblPesosValorOperativo[Frecuencia de Uso],0),0)</f>
        <v>0</v>
      </c>
      <c r="J35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58" s="64">
        <f>IFERROR(_xlfn.XLOOKUP(VLOOKUP(tblEnlaces[[#This Row],[Canal]],tblCanales[#All],3,FALSE),tblPesosCoste[Valor],tblPesosCoste[Peso],0),0)</f>
        <v>0</v>
      </c>
      <c r="L358" s="10">
        <f>IFERROR(_xlfn.XLOOKUP(VLOOKUP(tblEnlaces[[#This Row],[Canal]],tblCanales[#All],5,FALSE),tblPesosValorOperativo[Valor],tblPesosValorOperativo[Opacidad],0),0)</f>
        <v>0</v>
      </c>
      <c r="M358" s="14">
        <f>IFERROR(_xlfn.XLOOKUP(VLOOKUP(tblEnlaces[[#This Row],[Canal]],tblCanales[#All],6,FALSE),tblPesosValorOperativo[Valor],tblPesosValorOperativo[Trazabilidad],0),0)</f>
        <v>0</v>
      </c>
      <c r="N358" s="14">
        <f>IFERROR(_xlfn.XLOOKUP(VLOOKUP(tblEnlaces[[#This Row],[Canal]],tblCanales[#All],7,FALSE),tblPesosValorOperativo[Valor],tblPesosValorOperativo[Velocidad],0),0)</f>
        <v>0</v>
      </c>
      <c r="O358" s="14">
        <f>IFERROR(_xlfn.XLOOKUP(VLOOKUP(tblEnlaces[[#This Row],[Canal]],tblCanales[#All],8,FALSE),tblPesosValorOperativo[Valor],tblPesosValorOperativo[Escalabilidad],0),0)</f>
        <v>0</v>
      </c>
      <c r="P358" s="53">
        <f>tblEnlaces[[#This Row],[Opacidad]]+tblEnlaces[[#This Row],[Escalabilidad]]+tblEnlaces[[#This Row],[Velocidad]]+tblEnlaces[[#This Row],[Trazabilidad]]</f>
        <v>0</v>
      </c>
    </row>
    <row r="359" spans="2:16" ht="16.5" customHeight="1" x14ac:dyDescent="0.25">
      <c r="B359" s="66" t="str">
        <f t="array" ref="B35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59" s="10" t="e">
        <f>VLOOKUP(tblEnlaces[[#This Row],[Nodo Inicial]],tblNodos[],2,FALSE)</f>
        <v>#N/A</v>
      </c>
      <c r="E359" s="39"/>
      <c r="F359" s="10" t="e">
        <f>VLOOKUP(tblEnlaces[[#This Row],[Nodo Final]],tblNodos[],2,FALSE)</f>
        <v>#N/A</v>
      </c>
      <c r="G359" s="39"/>
      <c r="I359" s="53">
        <f>IFERROR(_xlfn.XLOOKUP(VLOOKUP(tblEnlaces[[#This Row],[Canal]],tblCanales[#All],2,FALSE),tblPesosValorOperativo[Valor],tblPesosValorOperativo[Frecuencia de Uso],0),0)</f>
        <v>0</v>
      </c>
      <c r="J35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59" s="64">
        <f>IFERROR(_xlfn.XLOOKUP(VLOOKUP(tblEnlaces[[#This Row],[Canal]],tblCanales[#All],3,FALSE),tblPesosCoste[Valor],tblPesosCoste[Peso],0),0)</f>
        <v>0</v>
      </c>
      <c r="L359" s="10">
        <f>IFERROR(_xlfn.XLOOKUP(VLOOKUP(tblEnlaces[[#This Row],[Canal]],tblCanales[#All],5,FALSE),tblPesosValorOperativo[Valor],tblPesosValorOperativo[Opacidad],0),0)</f>
        <v>0</v>
      </c>
      <c r="M359" s="14">
        <f>IFERROR(_xlfn.XLOOKUP(VLOOKUP(tblEnlaces[[#This Row],[Canal]],tblCanales[#All],6,FALSE),tblPesosValorOperativo[Valor],tblPesosValorOperativo[Trazabilidad],0),0)</f>
        <v>0</v>
      </c>
      <c r="N359" s="14">
        <f>IFERROR(_xlfn.XLOOKUP(VLOOKUP(tblEnlaces[[#This Row],[Canal]],tblCanales[#All],7,FALSE),tblPesosValorOperativo[Valor],tblPesosValorOperativo[Velocidad],0),0)</f>
        <v>0</v>
      </c>
      <c r="O359" s="14">
        <f>IFERROR(_xlfn.XLOOKUP(VLOOKUP(tblEnlaces[[#This Row],[Canal]],tblCanales[#All],8,FALSE),tblPesosValorOperativo[Valor],tblPesosValorOperativo[Escalabilidad],0),0)</f>
        <v>0</v>
      </c>
      <c r="P359" s="53">
        <f>tblEnlaces[[#This Row],[Opacidad]]+tblEnlaces[[#This Row],[Escalabilidad]]+tblEnlaces[[#This Row],[Velocidad]]+tblEnlaces[[#This Row],[Trazabilidad]]</f>
        <v>0</v>
      </c>
    </row>
    <row r="360" spans="2:16" ht="16.5" customHeight="1" x14ac:dyDescent="0.25">
      <c r="B360" s="66" t="str">
        <f t="array" ref="B36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60" s="10" t="e">
        <f>VLOOKUP(tblEnlaces[[#This Row],[Nodo Inicial]],tblNodos[],2,FALSE)</f>
        <v>#N/A</v>
      </c>
      <c r="E360" s="39"/>
      <c r="F360" s="10" t="e">
        <f>VLOOKUP(tblEnlaces[[#This Row],[Nodo Final]],tblNodos[],2,FALSE)</f>
        <v>#N/A</v>
      </c>
      <c r="G360" s="39"/>
      <c r="I360" s="53">
        <f>IFERROR(_xlfn.XLOOKUP(VLOOKUP(tblEnlaces[[#This Row],[Canal]],tblCanales[#All],2,FALSE),tblPesosValorOperativo[Valor],tblPesosValorOperativo[Frecuencia de Uso],0),0)</f>
        <v>0</v>
      </c>
      <c r="J36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60" s="64">
        <f>IFERROR(_xlfn.XLOOKUP(VLOOKUP(tblEnlaces[[#This Row],[Canal]],tblCanales[#All],3,FALSE),tblPesosCoste[Valor],tblPesosCoste[Peso],0),0)</f>
        <v>0</v>
      </c>
      <c r="L360" s="10">
        <f>IFERROR(_xlfn.XLOOKUP(VLOOKUP(tblEnlaces[[#This Row],[Canal]],tblCanales[#All],5,FALSE),tblPesosValorOperativo[Valor],tblPesosValorOperativo[Opacidad],0),0)</f>
        <v>0</v>
      </c>
      <c r="M360" s="14">
        <f>IFERROR(_xlfn.XLOOKUP(VLOOKUP(tblEnlaces[[#This Row],[Canal]],tblCanales[#All],6,FALSE),tblPesosValorOperativo[Valor],tblPesosValorOperativo[Trazabilidad],0),0)</f>
        <v>0</v>
      </c>
      <c r="N360" s="14">
        <f>IFERROR(_xlfn.XLOOKUP(VLOOKUP(tblEnlaces[[#This Row],[Canal]],tblCanales[#All],7,FALSE),tblPesosValorOperativo[Valor],tblPesosValorOperativo[Velocidad],0),0)</f>
        <v>0</v>
      </c>
      <c r="O360" s="14">
        <f>IFERROR(_xlfn.XLOOKUP(VLOOKUP(tblEnlaces[[#This Row],[Canal]],tblCanales[#All],8,FALSE),tblPesosValorOperativo[Valor],tblPesosValorOperativo[Escalabilidad],0),0)</f>
        <v>0</v>
      </c>
      <c r="P360" s="53">
        <f>tblEnlaces[[#This Row],[Opacidad]]+tblEnlaces[[#This Row],[Escalabilidad]]+tblEnlaces[[#This Row],[Velocidad]]+tblEnlaces[[#This Row],[Trazabilidad]]</f>
        <v>0</v>
      </c>
    </row>
    <row r="361" spans="2:16" ht="16.5" customHeight="1" x14ac:dyDescent="0.25">
      <c r="B361" s="66" t="str">
        <f t="array" ref="B36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61" s="10" t="e">
        <f>VLOOKUP(tblEnlaces[[#This Row],[Nodo Inicial]],tblNodos[],2,FALSE)</f>
        <v>#N/A</v>
      </c>
      <c r="E361" s="39"/>
      <c r="F361" s="10" t="e">
        <f>VLOOKUP(tblEnlaces[[#This Row],[Nodo Final]],tblNodos[],2,FALSE)</f>
        <v>#N/A</v>
      </c>
      <c r="G361" s="39"/>
      <c r="I361" s="53">
        <f>IFERROR(_xlfn.XLOOKUP(VLOOKUP(tblEnlaces[[#This Row],[Canal]],tblCanales[#All],2,FALSE),tblPesosValorOperativo[Valor],tblPesosValorOperativo[Frecuencia de Uso],0),0)</f>
        <v>0</v>
      </c>
      <c r="J36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61" s="64">
        <f>IFERROR(_xlfn.XLOOKUP(VLOOKUP(tblEnlaces[[#This Row],[Canal]],tblCanales[#All],3,FALSE),tblPesosCoste[Valor],tblPesosCoste[Peso],0),0)</f>
        <v>0</v>
      </c>
      <c r="L361" s="10">
        <f>IFERROR(_xlfn.XLOOKUP(VLOOKUP(tblEnlaces[[#This Row],[Canal]],tblCanales[#All],5,FALSE),tblPesosValorOperativo[Valor],tblPesosValorOperativo[Opacidad],0),0)</f>
        <v>0</v>
      </c>
      <c r="M361" s="14">
        <f>IFERROR(_xlfn.XLOOKUP(VLOOKUP(tblEnlaces[[#This Row],[Canal]],tblCanales[#All],6,FALSE),tblPesosValorOperativo[Valor],tblPesosValorOperativo[Trazabilidad],0),0)</f>
        <v>0</v>
      </c>
      <c r="N361" s="14">
        <f>IFERROR(_xlfn.XLOOKUP(VLOOKUP(tblEnlaces[[#This Row],[Canal]],tblCanales[#All],7,FALSE),tblPesosValorOperativo[Valor],tblPesosValorOperativo[Velocidad],0),0)</f>
        <v>0</v>
      </c>
      <c r="O361" s="14">
        <f>IFERROR(_xlfn.XLOOKUP(VLOOKUP(tblEnlaces[[#This Row],[Canal]],tblCanales[#All],8,FALSE),tblPesosValorOperativo[Valor],tblPesosValorOperativo[Escalabilidad],0),0)</f>
        <v>0</v>
      </c>
      <c r="P361" s="53">
        <f>tblEnlaces[[#This Row],[Opacidad]]+tblEnlaces[[#This Row],[Escalabilidad]]+tblEnlaces[[#This Row],[Velocidad]]+tblEnlaces[[#This Row],[Trazabilidad]]</f>
        <v>0</v>
      </c>
    </row>
    <row r="362" spans="2:16" ht="16.5" customHeight="1" x14ac:dyDescent="0.25">
      <c r="B362" s="66" t="str">
        <f t="array" ref="B36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62" s="10" t="e">
        <f>VLOOKUP(tblEnlaces[[#This Row],[Nodo Inicial]],tblNodos[],2,FALSE)</f>
        <v>#N/A</v>
      </c>
      <c r="E362" s="39"/>
      <c r="F362" s="10" t="e">
        <f>VLOOKUP(tblEnlaces[[#This Row],[Nodo Final]],tblNodos[],2,FALSE)</f>
        <v>#N/A</v>
      </c>
      <c r="G362" s="39"/>
      <c r="I362" s="53">
        <f>IFERROR(_xlfn.XLOOKUP(VLOOKUP(tblEnlaces[[#This Row],[Canal]],tblCanales[#All],2,FALSE),tblPesosValorOperativo[Valor],tblPesosValorOperativo[Frecuencia de Uso],0),0)</f>
        <v>0</v>
      </c>
      <c r="J36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62" s="64">
        <f>IFERROR(_xlfn.XLOOKUP(VLOOKUP(tblEnlaces[[#This Row],[Canal]],tblCanales[#All],3,FALSE),tblPesosCoste[Valor],tblPesosCoste[Peso],0),0)</f>
        <v>0</v>
      </c>
      <c r="L362" s="10">
        <f>IFERROR(_xlfn.XLOOKUP(VLOOKUP(tblEnlaces[[#This Row],[Canal]],tblCanales[#All],5,FALSE),tblPesosValorOperativo[Valor],tblPesosValorOperativo[Opacidad],0),0)</f>
        <v>0</v>
      </c>
      <c r="M362" s="14">
        <f>IFERROR(_xlfn.XLOOKUP(VLOOKUP(tblEnlaces[[#This Row],[Canal]],tblCanales[#All],6,FALSE),tblPesosValorOperativo[Valor],tblPesosValorOperativo[Trazabilidad],0),0)</f>
        <v>0</v>
      </c>
      <c r="N362" s="14">
        <f>IFERROR(_xlfn.XLOOKUP(VLOOKUP(tblEnlaces[[#This Row],[Canal]],tblCanales[#All],7,FALSE),tblPesosValorOperativo[Valor],tblPesosValorOperativo[Velocidad],0),0)</f>
        <v>0</v>
      </c>
      <c r="O362" s="14">
        <f>IFERROR(_xlfn.XLOOKUP(VLOOKUP(tblEnlaces[[#This Row],[Canal]],tblCanales[#All],8,FALSE),tblPesosValorOperativo[Valor],tblPesosValorOperativo[Escalabilidad],0),0)</f>
        <v>0</v>
      </c>
      <c r="P362" s="53">
        <f>tblEnlaces[[#This Row],[Opacidad]]+tblEnlaces[[#This Row],[Escalabilidad]]+tblEnlaces[[#This Row],[Velocidad]]+tblEnlaces[[#This Row],[Trazabilidad]]</f>
        <v>0</v>
      </c>
    </row>
    <row r="363" spans="2:16" ht="16.5" customHeight="1" x14ac:dyDescent="0.25">
      <c r="B363" s="66" t="str">
        <f t="array" ref="B36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63" s="10" t="e">
        <f>VLOOKUP(tblEnlaces[[#This Row],[Nodo Inicial]],tblNodos[],2,FALSE)</f>
        <v>#N/A</v>
      </c>
      <c r="E363" s="39"/>
      <c r="F363" s="10" t="e">
        <f>VLOOKUP(tblEnlaces[[#This Row],[Nodo Final]],tblNodos[],2,FALSE)</f>
        <v>#N/A</v>
      </c>
      <c r="G363" s="39"/>
      <c r="I363" s="53">
        <f>IFERROR(_xlfn.XLOOKUP(VLOOKUP(tblEnlaces[[#This Row],[Canal]],tblCanales[#All],2,FALSE),tblPesosValorOperativo[Valor],tblPesosValorOperativo[Frecuencia de Uso],0),0)</f>
        <v>0</v>
      </c>
      <c r="J36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63" s="64">
        <f>IFERROR(_xlfn.XLOOKUP(VLOOKUP(tblEnlaces[[#This Row],[Canal]],tblCanales[#All],3,FALSE),tblPesosCoste[Valor],tblPesosCoste[Peso],0),0)</f>
        <v>0</v>
      </c>
      <c r="L363" s="10">
        <f>IFERROR(_xlfn.XLOOKUP(VLOOKUP(tblEnlaces[[#This Row],[Canal]],tblCanales[#All],5,FALSE),tblPesosValorOperativo[Valor],tblPesosValorOperativo[Opacidad],0),0)</f>
        <v>0</v>
      </c>
      <c r="M363" s="14">
        <f>IFERROR(_xlfn.XLOOKUP(VLOOKUP(tblEnlaces[[#This Row],[Canal]],tblCanales[#All],6,FALSE),tblPesosValorOperativo[Valor],tblPesosValorOperativo[Trazabilidad],0),0)</f>
        <v>0</v>
      </c>
      <c r="N363" s="14">
        <f>IFERROR(_xlfn.XLOOKUP(VLOOKUP(tblEnlaces[[#This Row],[Canal]],tblCanales[#All],7,FALSE),tblPesosValorOperativo[Valor],tblPesosValorOperativo[Velocidad],0),0)</f>
        <v>0</v>
      </c>
      <c r="O363" s="14">
        <f>IFERROR(_xlfn.XLOOKUP(VLOOKUP(tblEnlaces[[#This Row],[Canal]],tblCanales[#All],8,FALSE),tblPesosValorOperativo[Valor],tblPesosValorOperativo[Escalabilidad],0),0)</f>
        <v>0</v>
      </c>
      <c r="P363" s="53">
        <f>tblEnlaces[[#This Row],[Opacidad]]+tblEnlaces[[#This Row],[Escalabilidad]]+tblEnlaces[[#This Row],[Velocidad]]+tblEnlaces[[#This Row],[Trazabilidad]]</f>
        <v>0</v>
      </c>
    </row>
    <row r="364" spans="2:16" ht="16.5" customHeight="1" x14ac:dyDescent="0.25">
      <c r="B364" s="66" t="str">
        <f t="array" ref="B36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64" s="10" t="e">
        <f>VLOOKUP(tblEnlaces[[#This Row],[Nodo Inicial]],tblNodos[],2,FALSE)</f>
        <v>#N/A</v>
      </c>
      <c r="E364" s="39"/>
      <c r="F364" s="10" t="e">
        <f>VLOOKUP(tblEnlaces[[#This Row],[Nodo Final]],tblNodos[],2,FALSE)</f>
        <v>#N/A</v>
      </c>
      <c r="G364" s="39"/>
      <c r="I364" s="53">
        <f>IFERROR(_xlfn.XLOOKUP(VLOOKUP(tblEnlaces[[#This Row],[Canal]],tblCanales[#All],2,FALSE),tblPesosValorOperativo[Valor],tblPesosValorOperativo[Frecuencia de Uso],0),0)</f>
        <v>0</v>
      </c>
      <c r="J36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64" s="64">
        <f>IFERROR(_xlfn.XLOOKUP(VLOOKUP(tblEnlaces[[#This Row],[Canal]],tblCanales[#All],3,FALSE),tblPesosCoste[Valor],tblPesosCoste[Peso],0),0)</f>
        <v>0</v>
      </c>
      <c r="L364" s="10">
        <f>IFERROR(_xlfn.XLOOKUP(VLOOKUP(tblEnlaces[[#This Row],[Canal]],tblCanales[#All],5,FALSE),tblPesosValorOperativo[Valor],tblPesosValorOperativo[Opacidad],0),0)</f>
        <v>0</v>
      </c>
      <c r="M364" s="14">
        <f>IFERROR(_xlfn.XLOOKUP(VLOOKUP(tblEnlaces[[#This Row],[Canal]],tblCanales[#All],6,FALSE),tblPesosValorOperativo[Valor],tblPesosValorOperativo[Trazabilidad],0),0)</f>
        <v>0</v>
      </c>
      <c r="N364" s="14">
        <f>IFERROR(_xlfn.XLOOKUP(VLOOKUP(tblEnlaces[[#This Row],[Canal]],tblCanales[#All],7,FALSE),tblPesosValorOperativo[Valor],tblPesosValorOperativo[Velocidad],0),0)</f>
        <v>0</v>
      </c>
      <c r="O364" s="14">
        <f>IFERROR(_xlfn.XLOOKUP(VLOOKUP(tblEnlaces[[#This Row],[Canal]],tblCanales[#All],8,FALSE),tblPesosValorOperativo[Valor],tblPesosValorOperativo[Escalabilidad],0),0)</f>
        <v>0</v>
      </c>
      <c r="P364" s="53">
        <f>tblEnlaces[[#This Row],[Opacidad]]+tblEnlaces[[#This Row],[Escalabilidad]]+tblEnlaces[[#This Row],[Velocidad]]+tblEnlaces[[#This Row],[Trazabilidad]]</f>
        <v>0</v>
      </c>
    </row>
    <row r="365" spans="2:16" ht="16.5" customHeight="1" x14ac:dyDescent="0.25">
      <c r="B365" s="66" t="str">
        <f t="array" ref="B36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65" s="10" t="e">
        <f>VLOOKUP(tblEnlaces[[#This Row],[Nodo Inicial]],tblNodos[],2,FALSE)</f>
        <v>#N/A</v>
      </c>
      <c r="E365" s="39"/>
      <c r="F365" s="10" t="e">
        <f>VLOOKUP(tblEnlaces[[#This Row],[Nodo Final]],tblNodos[],2,FALSE)</f>
        <v>#N/A</v>
      </c>
      <c r="G365" s="39"/>
      <c r="I365" s="53">
        <f>IFERROR(_xlfn.XLOOKUP(VLOOKUP(tblEnlaces[[#This Row],[Canal]],tblCanales[#All],2,FALSE),tblPesosValorOperativo[Valor],tblPesosValorOperativo[Frecuencia de Uso],0),0)</f>
        <v>0</v>
      </c>
      <c r="J36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65" s="64">
        <f>IFERROR(_xlfn.XLOOKUP(VLOOKUP(tblEnlaces[[#This Row],[Canal]],tblCanales[#All],3,FALSE),tblPesosCoste[Valor],tblPesosCoste[Peso],0),0)</f>
        <v>0</v>
      </c>
      <c r="L365" s="10">
        <f>IFERROR(_xlfn.XLOOKUP(VLOOKUP(tblEnlaces[[#This Row],[Canal]],tblCanales[#All],5,FALSE),tblPesosValorOperativo[Valor],tblPesosValorOperativo[Opacidad],0),0)</f>
        <v>0</v>
      </c>
      <c r="M365" s="14">
        <f>IFERROR(_xlfn.XLOOKUP(VLOOKUP(tblEnlaces[[#This Row],[Canal]],tblCanales[#All],6,FALSE),tblPesosValorOperativo[Valor],tblPesosValorOperativo[Trazabilidad],0),0)</f>
        <v>0</v>
      </c>
      <c r="N365" s="14">
        <f>IFERROR(_xlfn.XLOOKUP(VLOOKUP(tblEnlaces[[#This Row],[Canal]],tblCanales[#All],7,FALSE),tblPesosValorOperativo[Valor],tblPesosValorOperativo[Velocidad],0),0)</f>
        <v>0</v>
      </c>
      <c r="O365" s="14">
        <f>IFERROR(_xlfn.XLOOKUP(VLOOKUP(tblEnlaces[[#This Row],[Canal]],tblCanales[#All],8,FALSE),tblPesosValorOperativo[Valor],tblPesosValorOperativo[Escalabilidad],0),0)</f>
        <v>0</v>
      </c>
      <c r="P365" s="53">
        <f>tblEnlaces[[#This Row],[Opacidad]]+tblEnlaces[[#This Row],[Escalabilidad]]+tblEnlaces[[#This Row],[Velocidad]]+tblEnlaces[[#This Row],[Trazabilidad]]</f>
        <v>0</v>
      </c>
    </row>
    <row r="366" spans="2:16" ht="16.5" customHeight="1" x14ac:dyDescent="0.25">
      <c r="B366" s="66" t="str">
        <f t="array" ref="B36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66" s="10" t="e">
        <f>VLOOKUP(tblEnlaces[[#This Row],[Nodo Inicial]],tblNodos[],2,FALSE)</f>
        <v>#N/A</v>
      </c>
      <c r="E366" s="39"/>
      <c r="F366" s="10" t="e">
        <f>VLOOKUP(tblEnlaces[[#This Row],[Nodo Final]],tblNodos[],2,FALSE)</f>
        <v>#N/A</v>
      </c>
      <c r="G366" s="39"/>
      <c r="I366" s="53">
        <f>IFERROR(_xlfn.XLOOKUP(VLOOKUP(tblEnlaces[[#This Row],[Canal]],tblCanales[#All],2,FALSE),tblPesosValorOperativo[Valor],tblPesosValorOperativo[Frecuencia de Uso],0),0)</f>
        <v>0</v>
      </c>
      <c r="J36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66" s="64">
        <f>IFERROR(_xlfn.XLOOKUP(VLOOKUP(tblEnlaces[[#This Row],[Canal]],tblCanales[#All],3,FALSE),tblPesosCoste[Valor],tblPesosCoste[Peso],0),0)</f>
        <v>0</v>
      </c>
      <c r="L366" s="10">
        <f>IFERROR(_xlfn.XLOOKUP(VLOOKUP(tblEnlaces[[#This Row],[Canal]],tblCanales[#All],5,FALSE),tblPesosValorOperativo[Valor],tblPesosValorOperativo[Opacidad],0),0)</f>
        <v>0</v>
      </c>
      <c r="M366" s="14">
        <f>IFERROR(_xlfn.XLOOKUP(VLOOKUP(tblEnlaces[[#This Row],[Canal]],tblCanales[#All],6,FALSE),tblPesosValorOperativo[Valor],tblPesosValorOperativo[Trazabilidad],0),0)</f>
        <v>0</v>
      </c>
      <c r="N366" s="14">
        <f>IFERROR(_xlfn.XLOOKUP(VLOOKUP(tblEnlaces[[#This Row],[Canal]],tblCanales[#All],7,FALSE),tblPesosValorOperativo[Valor],tblPesosValorOperativo[Velocidad],0),0)</f>
        <v>0</v>
      </c>
      <c r="O366" s="14">
        <f>IFERROR(_xlfn.XLOOKUP(VLOOKUP(tblEnlaces[[#This Row],[Canal]],tblCanales[#All],8,FALSE),tblPesosValorOperativo[Valor],tblPesosValorOperativo[Escalabilidad],0),0)</f>
        <v>0</v>
      </c>
      <c r="P366" s="53">
        <f>tblEnlaces[[#This Row],[Opacidad]]+tblEnlaces[[#This Row],[Escalabilidad]]+tblEnlaces[[#This Row],[Velocidad]]+tblEnlaces[[#This Row],[Trazabilidad]]</f>
        <v>0</v>
      </c>
    </row>
    <row r="367" spans="2:16" ht="16.5" customHeight="1" x14ac:dyDescent="0.25">
      <c r="B367" s="66" t="str">
        <f t="array" ref="B36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67" s="10" t="e">
        <f>VLOOKUP(tblEnlaces[[#This Row],[Nodo Inicial]],tblNodos[],2,FALSE)</f>
        <v>#N/A</v>
      </c>
      <c r="E367" s="39"/>
      <c r="F367" s="10" t="e">
        <f>VLOOKUP(tblEnlaces[[#This Row],[Nodo Final]],tblNodos[],2,FALSE)</f>
        <v>#N/A</v>
      </c>
      <c r="G367" s="39"/>
      <c r="I367" s="53">
        <f>IFERROR(_xlfn.XLOOKUP(VLOOKUP(tblEnlaces[[#This Row],[Canal]],tblCanales[#All],2,FALSE),tblPesosValorOperativo[Valor],tblPesosValorOperativo[Frecuencia de Uso],0),0)</f>
        <v>0</v>
      </c>
      <c r="J36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67" s="64">
        <f>IFERROR(_xlfn.XLOOKUP(VLOOKUP(tblEnlaces[[#This Row],[Canal]],tblCanales[#All],3,FALSE),tblPesosCoste[Valor],tblPesosCoste[Peso],0),0)</f>
        <v>0</v>
      </c>
      <c r="L367" s="10">
        <f>IFERROR(_xlfn.XLOOKUP(VLOOKUP(tblEnlaces[[#This Row],[Canal]],tblCanales[#All],5,FALSE),tblPesosValorOperativo[Valor],tblPesosValorOperativo[Opacidad],0),0)</f>
        <v>0</v>
      </c>
      <c r="M367" s="14">
        <f>IFERROR(_xlfn.XLOOKUP(VLOOKUP(tblEnlaces[[#This Row],[Canal]],tblCanales[#All],6,FALSE),tblPesosValorOperativo[Valor],tblPesosValorOperativo[Trazabilidad],0),0)</f>
        <v>0</v>
      </c>
      <c r="N367" s="14">
        <f>IFERROR(_xlfn.XLOOKUP(VLOOKUP(tblEnlaces[[#This Row],[Canal]],tblCanales[#All],7,FALSE),tblPesosValorOperativo[Valor],tblPesosValorOperativo[Velocidad],0),0)</f>
        <v>0</v>
      </c>
      <c r="O367" s="14">
        <f>IFERROR(_xlfn.XLOOKUP(VLOOKUP(tblEnlaces[[#This Row],[Canal]],tblCanales[#All],8,FALSE),tblPesosValorOperativo[Valor],tblPesosValorOperativo[Escalabilidad],0),0)</f>
        <v>0</v>
      </c>
      <c r="P367" s="53">
        <f>tblEnlaces[[#This Row],[Opacidad]]+tblEnlaces[[#This Row],[Escalabilidad]]+tblEnlaces[[#This Row],[Velocidad]]+tblEnlaces[[#This Row],[Trazabilidad]]</f>
        <v>0</v>
      </c>
    </row>
    <row r="368" spans="2:16" ht="16.5" customHeight="1" x14ac:dyDescent="0.25">
      <c r="B368" s="66" t="str">
        <f t="array" ref="B36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68" s="10" t="e">
        <f>VLOOKUP(tblEnlaces[[#This Row],[Nodo Inicial]],tblNodos[],2,FALSE)</f>
        <v>#N/A</v>
      </c>
      <c r="E368" s="39"/>
      <c r="F368" s="10" t="e">
        <f>VLOOKUP(tblEnlaces[[#This Row],[Nodo Final]],tblNodos[],2,FALSE)</f>
        <v>#N/A</v>
      </c>
      <c r="G368" s="39"/>
      <c r="I368" s="53">
        <f>IFERROR(_xlfn.XLOOKUP(VLOOKUP(tblEnlaces[[#This Row],[Canal]],tblCanales[#All],2,FALSE),tblPesosValorOperativo[Valor],tblPesosValorOperativo[Frecuencia de Uso],0),0)</f>
        <v>0</v>
      </c>
      <c r="J36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68" s="64">
        <f>IFERROR(_xlfn.XLOOKUP(VLOOKUP(tblEnlaces[[#This Row],[Canal]],tblCanales[#All],3,FALSE),tblPesosCoste[Valor],tblPesosCoste[Peso],0),0)</f>
        <v>0</v>
      </c>
      <c r="L368" s="10">
        <f>IFERROR(_xlfn.XLOOKUP(VLOOKUP(tblEnlaces[[#This Row],[Canal]],tblCanales[#All],5,FALSE),tblPesosValorOperativo[Valor],tblPesosValorOperativo[Opacidad],0),0)</f>
        <v>0</v>
      </c>
      <c r="M368" s="14">
        <f>IFERROR(_xlfn.XLOOKUP(VLOOKUP(tblEnlaces[[#This Row],[Canal]],tblCanales[#All],6,FALSE),tblPesosValorOperativo[Valor],tblPesosValorOperativo[Trazabilidad],0),0)</f>
        <v>0</v>
      </c>
      <c r="N368" s="14">
        <f>IFERROR(_xlfn.XLOOKUP(VLOOKUP(tblEnlaces[[#This Row],[Canal]],tblCanales[#All],7,FALSE),tblPesosValorOperativo[Valor],tblPesosValorOperativo[Velocidad],0),0)</f>
        <v>0</v>
      </c>
      <c r="O368" s="14">
        <f>IFERROR(_xlfn.XLOOKUP(VLOOKUP(tblEnlaces[[#This Row],[Canal]],tblCanales[#All],8,FALSE),tblPesosValorOperativo[Valor],tblPesosValorOperativo[Escalabilidad],0),0)</f>
        <v>0</v>
      </c>
      <c r="P368" s="53">
        <f>tblEnlaces[[#This Row],[Opacidad]]+tblEnlaces[[#This Row],[Escalabilidad]]+tblEnlaces[[#This Row],[Velocidad]]+tblEnlaces[[#This Row],[Trazabilidad]]</f>
        <v>0</v>
      </c>
    </row>
    <row r="369" spans="2:16" ht="16.5" customHeight="1" x14ac:dyDescent="0.25">
      <c r="B369" s="66" t="str">
        <f t="array" ref="B36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69" s="10" t="e">
        <f>VLOOKUP(tblEnlaces[[#This Row],[Nodo Inicial]],tblNodos[],2,FALSE)</f>
        <v>#N/A</v>
      </c>
      <c r="E369" s="39"/>
      <c r="F369" s="10" t="e">
        <f>VLOOKUP(tblEnlaces[[#This Row],[Nodo Final]],tblNodos[],2,FALSE)</f>
        <v>#N/A</v>
      </c>
      <c r="G369" s="39"/>
      <c r="I369" s="53">
        <f>IFERROR(_xlfn.XLOOKUP(VLOOKUP(tblEnlaces[[#This Row],[Canal]],tblCanales[#All],2,FALSE),tblPesosValorOperativo[Valor],tblPesosValorOperativo[Frecuencia de Uso],0),0)</f>
        <v>0</v>
      </c>
      <c r="J36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69" s="64">
        <f>IFERROR(_xlfn.XLOOKUP(VLOOKUP(tblEnlaces[[#This Row],[Canal]],tblCanales[#All],3,FALSE),tblPesosCoste[Valor],tblPesosCoste[Peso],0),0)</f>
        <v>0</v>
      </c>
      <c r="L369" s="10">
        <f>IFERROR(_xlfn.XLOOKUP(VLOOKUP(tblEnlaces[[#This Row],[Canal]],tblCanales[#All],5,FALSE),tblPesosValorOperativo[Valor],tblPesosValorOperativo[Opacidad],0),0)</f>
        <v>0</v>
      </c>
      <c r="M369" s="14">
        <f>IFERROR(_xlfn.XLOOKUP(VLOOKUP(tblEnlaces[[#This Row],[Canal]],tblCanales[#All],6,FALSE),tblPesosValorOperativo[Valor],tblPesosValorOperativo[Trazabilidad],0),0)</f>
        <v>0</v>
      </c>
      <c r="N369" s="14">
        <f>IFERROR(_xlfn.XLOOKUP(VLOOKUP(tblEnlaces[[#This Row],[Canal]],tblCanales[#All],7,FALSE),tblPesosValorOperativo[Valor],tblPesosValorOperativo[Velocidad],0),0)</f>
        <v>0</v>
      </c>
      <c r="O369" s="14">
        <f>IFERROR(_xlfn.XLOOKUP(VLOOKUP(tblEnlaces[[#This Row],[Canal]],tblCanales[#All],8,FALSE),tblPesosValorOperativo[Valor],tblPesosValorOperativo[Escalabilidad],0),0)</f>
        <v>0</v>
      </c>
      <c r="P369" s="53">
        <f>tblEnlaces[[#This Row],[Opacidad]]+tblEnlaces[[#This Row],[Escalabilidad]]+tblEnlaces[[#This Row],[Velocidad]]+tblEnlaces[[#This Row],[Trazabilidad]]</f>
        <v>0</v>
      </c>
    </row>
    <row r="370" spans="2:16" ht="16.5" customHeight="1" x14ac:dyDescent="0.25">
      <c r="B370" s="66" t="str">
        <f t="array" ref="B37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70" s="10" t="e">
        <f>VLOOKUP(tblEnlaces[[#This Row],[Nodo Inicial]],tblNodos[],2,FALSE)</f>
        <v>#N/A</v>
      </c>
      <c r="E370" s="39"/>
      <c r="F370" s="10" t="e">
        <f>VLOOKUP(tblEnlaces[[#This Row],[Nodo Final]],tblNodos[],2,FALSE)</f>
        <v>#N/A</v>
      </c>
      <c r="G370" s="39"/>
      <c r="I370" s="53">
        <f>IFERROR(_xlfn.XLOOKUP(VLOOKUP(tblEnlaces[[#This Row],[Canal]],tblCanales[#All],2,FALSE),tblPesosValorOperativo[Valor],tblPesosValorOperativo[Frecuencia de Uso],0),0)</f>
        <v>0</v>
      </c>
      <c r="J37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70" s="64">
        <f>IFERROR(_xlfn.XLOOKUP(VLOOKUP(tblEnlaces[[#This Row],[Canal]],tblCanales[#All],3,FALSE),tblPesosCoste[Valor],tblPesosCoste[Peso],0),0)</f>
        <v>0</v>
      </c>
      <c r="L370" s="10">
        <f>IFERROR(_xlfn.XLOOKUP(VLOOKUP(tblEnlaces[[#This Row],[Canal]],tblCanales[#All],5,FALSE),tblPesosValorOperativo[Valor],tblPesosValorOperativo[Opacidad],0),0)</f>
        <v>0</v>
      </c>
      <c r="M370" s="14">
        <f>IFERROR(_xlfn.XLOOKUP(VLOOKUP(tblEnlaces[[#This Row],[Canal]],tblCanales[#All],6,FALSE),tblPesosValorOperativo[Valor],tblPesosValorOperativo[Trazabilidad],0),0)</f>
        <v>0</v>
      </c>
      <c r="N370" s="14">
        <f>IFERROR(_xlfn.XLOOKUP(VLOOKUP(tblEnlaces[[#This Row],[Canal]],tblCanales[#All],7,FALSE),tblPesosValorOperativo[Valor],tblPesosValorOperativo[Velocidad],0),0)</f>
        <v>0</v>
      </c>
      <c r="O370" s="14">
        <f>IFERROR(_xlfn.XLOOKUP(VLOOKUP(tblEnlaces[[#This Row],[Canal]],tblCanales[#All],8,FALSE),tblPesosValorOperativo[Valor],tblPesosValorOperativo[Escalabilidad],0),0)</f>
        <v>0</v>
      </c>
      <c r="P370" s="53">
        <f>tblEnlaces[[#This Row],[Opacidad]]+tblEnlaces[[#This Row],[Escalabilidad]]+tblEnlaces[[#This Row],[Velocidad]]+tblEnlaces[[#This Row],[Trazabilidad]]</f>
        <v>0</v>
      </c>
    </row>
    <row r="371" spans="2:16" ht="16.5" customHeight="1" x14ac:dyDescent="0.25">
      <c r="B371" s="66" t="str">
        <f t="array" ref="B37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71" s="10" t="e">
        <f>VLOOKUP(tblEnlaces[[#This Row],[Nodo Inicial]],tblNodos[],2,FALSE)</f>
        <v>#N/A</v>
      </c>
      <c r="E371" s="39"/>
      <c r="F371" s="10" t="e">
        <f>VLOOKUP(tblEnlaces[[#This Row],[Nodo Final]],tblNodos[],2,FALSE)</f>
        <v>#N/A</v>
      </c>
      <c r="G371" s="39"/>
      <c r="I371" s="53">
        <f>IFERROR(_xlfn.XLOOKUP(VLOOKUP(tblEnlaces[[#This Row],[Canal]],tblCanales[#All],2,FALSE),tblPesosValorOperativo[Valor],tblPesosValorOperativo[Frecuencia de Uso],0),0)</f>
        <v>0</v>
      </c>
      <c r="J37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71" s="64">
        <f>IFERROR(_xlfn.XLOOKUP(VLOOKUP(tblEnlaces[[#This Row],[Canal]],tblCanales[#All],3,FALSE),tblPesosCoste[Valor],tblPesosCoste[Peso],0),0)</f>
        <v>0</v>
      </c>
      <c r="L371" s="10">
        <f>IFERROR(_xlfn.XLOOKUP(VLOOKUP(tblEnlaces[[#This Row],[Canal]],tblCanales[#All],5,FALSE),tblPesosValorOperativo[Valor],tblPesosValorOperativo[Opacidad],0),0)</f>
        <v>0</v>
      </c>
      <c r="M371" s="14">
        <f>IFERROR(_xlfn.XLOOKUP(VLOOKUP(tblEnlaces[[#This Row],[Canal]],tblCanales[#All],6,FALSE),tblPesosValorOperativo[Valor],tblPesosValorOperativo[Trazabilidad],0),0)</f>
        <v>0</v>
      </c>
      <c r="N371" s="14">
        <f>IFERROR(_xlfn.XLOOKUP(VLOOKUP(tblEnlaces[[#This Row],[Canal]],tblCanales[#All],7,FALSE),tblPesosValorOperativo[Valor],tblPesosValorOperativo[Velocidad],0),0)</f>
        <v>0</v>
      </c>
      <c r="O371" s="14">
        <f>IFERROR(_xlfn.XLOOKUP(VLOOKUP(tblEnlaces[[#This Row],[Canal]],tblCanales[#All],8,FALSE),tblPesosValorOperativo[Valor],tblPesosValorOperativo[Escalabilidad],0),0)</f>
        <v>0</v>
      </c>
      <c r="P371" s="53">
        <f>tblEnlaces[[#This Row],[Opacidad]]+tblEnlaces[[#This Row],[Escalabilidad]]+tblEnlaces[[#This Row],[Velocidad]]+tblEnlaces[[#This Row],[Trazabilidad]]</f>
        <v>0</v>
      </c>
    </row>
    <row r="372" spans="2:16" ht="16.5" customHeight="1" x14ac:dyDescent="0.25">
      <c r="B372" s="66" t="str">
        <f t="array" ref="B37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72" s="10" t="e">
        <f>VLOOKUP(tblEnlaces[[#This Row],[Nodo Inicial]],tblNodos[],2,FALSE)</f>
        <v>#N/A</v>
      </c>
      <c r="E372" s="39"/>
      <c r="F372" s="10" t="e">
        <f>VLOOKUP(tblEnlaces[[#This Row],[Nodo Final]],tblNodos[],2,FALSE)</f>
        <v>#N/A</v>
      </c>
      <c r="G372" s="39"/>
      <c r="I372" s="53">
        <f>IFERROR(_xlfn.XLOOKUP(VLOOKUP(tblEnlaces[[#This Row],[Canal]],tblCanales[#All],2,FALSE),tblPesosValorOperativo[Valor],tblPesosValorOperativo[Frecuencia de Uso],0),0)</f>
        <v>0</v>
      </c>
      <c r="J37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72" s="64">
        <f>IFERROR(_xlfn.XLOOKUP(VLOOKUP(tblEnlaces[[#This Row],[Canal]],tblCanales[#All],3,FALSE),tblPesosCoste[Valor],tblPesosCoste[Peso],0),0)</f>
        <v>0</v>
      </c>
      <c r="L372" s="10">
        <f>IFERROR(_xlfn.XLOOKUP(VLOOKUP(tblEnlaces[[#This Row],[Canal]],tblCanales[#All],5,FALSE),tblPesosValorOperativo[Valor],tblPesosValorOperativo[Opacidad],0),0)</f>
        <v>0</v>
      </c>
      <c r="M372" s="14">
        <f>IFERROR(_xlfn.XLOOKUP(VLOOKUP(tblEnlaces[[#This Row],[Canal]],tblCanales[#All],6,FALSE),tblPesosValorOperativo[Valor],tblPesosValorOperativo[Trazabilidad],0),0)</f>
        <v>0</v>
      </c>
      <c r="N372" s="14">
        <f>IFERROR(_xlfn.XLOOKUP(VLOOKUP(tblEnlaces[[#This Row],[Canal]],tblCanales[#All],7,FALSE),tblPesosValorOperativo[Valor],tblPesosValorOperativo[Velocidad],0),0)</f>
        <v>0</v>
      </c>
      <c r="O372" s="14">
        <f>IFERROR(_xlfn.XLOOKUP(VLOOKUP(tblEnlaces[[#This Row],[Canal]],tblCanales[#All],8,FALSE),tblPesosValorOperativo[Valor],tblPesosValorOperativo[Escalabilidad],0),0)</f>
        <v>0</v>
      </c>
      <c r="P372" s="53">
        <f>tblEnlaces[[#This Row],[Opacidad]]+tblEnlaces[[#This Row],[Escalabilidad]]+tblEnlaces[[#This Row],[Velocidad]]+tblEnlaces[[#This Row],[Trazabilidad]]</f>
        <v>0</v>
      </c>
    </row>
    <row r="373" spans="2:16" ht="16.5" customHeight="1" x14ac:dyDescent="0.25">
      <c r="B373" s="66" t="str">
        <f t="array" ref="B37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73" s="10" t="e">
        <f>VLOOKUP(tblEnlaces[[#This Row],[Nodo Inicial]],tblNodos[],2,FALSE)</f>
        <v>#N/A</v>
      </c>
      <c r="E373" s="39"/>
      <c r="F373" s="10" t="e">
        <f>VLOOKUP(tblEnlaces[[#This Row],[Nodo Final]],tblNodos[],2,FALSE)</f>
        <v>#N/A</v>
      </c>
      <c r="G373" s="39"/>
      <c r="I373" s="53">
        <f>IFERROR(_xlfn.XLOOKUP(VLOOKUP(tblEnlaces[[#This Row],[Canal]],tblCanales[#All],2,FALSE),tblPesosValorOperativo[Valor],tblPesosValorOperativo[Frecuencia de Uso],0),0)</f>
        <v>0</v>
      </c>
      <c r="J37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73" s="64">
        <f>IFERROR(_xlfn.XLOOKUP(VLOOKUP(tblEnlaces[[#This Row],[Canal]],tblCanales[#All],3,FALSE),tblPesosCoste[Valor],tblPesosCoste[Peso],0),0)</f>
        <v>0</v>
      </c>
      <c r="L373" s="10">
        <f>IFERROR(_xlfn.XLOOKUP(VLOOKUP(tblEnlaces[[#This Row],[Canal]],tblCanales[#All],5,FALSE),tblPesosValorOperativo[Valor],tblPesosValorOperativo[Opacidad],0),0)</f>
        <v>0</v>
      </c>
      <c r="M373" s="14">
        <f>IFERROR(_xlfn.XLOOKUP(VLOOKUP(tblEnlaces[[#This Row],[Canal]],tblCanales[#All],6,FALSE),tblPesosValorOperativo[Valor],tblPesosValorOperativo[Trazabilidad],0),0)</f>
        <v>0</v>
      </c>
      <c r="N373" s="14">
        <f>IFERROR(_xlfn.XLOOKUP(VLOOKUP(tblEnlaces[[#This Row],[Canal]],tblCanales[#All],7,FALSE),tblPesosValorOperativo[Valor],tblPesosValorOperativo[Velocidad],0),0)</f>
        <v>0</v>
      </c>
      <c r="O373" s="14">
        <f>IFERROR(_xlfn.XLOOKUP(VLOOKUP(tblEnlaces[[#This Row],[Canal]],tblCanales[#All],8,FALSE),tblPesosValorOperativo[Valor],tblPesosValorOperativo[Escalabilidad],0),0)</f>
        <v>0</v>
      </c>
      <c r="P373" s="53">
        <f>tblEnlaces[[#This Row],[Opacidad]]+tblEnlaces[[#This Row],[Escalabilidad]]+tblEnlaces[[#This Row],[Velocidad]]+tblEnlaces[[#This Row],[Trazabilidad]]</f>
        <v>0</v>
      </c>
    </row>
    <row r="374" spans="2:16" ht="16.5" customHeight="1" x14ac:dyDescent="0.25">
      <c r="B374" s="66" t="str">
        <f t="array" ref="B37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74" s="10" t="e">
        <f>VLOOKUP(tblEnlaces[[#This Row],[Nodo Inicial]],tblNodos[],2,FALSE)</f>
        <v>#N/A</v>
      </c>
      <c r="E374" s="39"/>
      <c r="F374" s="10" t="e">
        <f>VLOOKUP(tblEnlaces[[#This Row],[Nodo Final]],tblNodos[],2,FALSE)</f>
        <v>#N/A</v>
      </c>
      <c r="G374" s="39"/>
      <c r="I374" s="53">
        <f>IFERROR(_xlfn.XLOOKUP(VLOOKUP(tblEnlaces[[#This Row],[Canal]],tblCanales[#All],2,FALSE),tblPesosValorOperativo[Valor],tblPesosValorOperativo[Frecuencia de Uso],0),0)</f>
        <v>0</v>
      </c>
      <c r="J37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74" s="64">
        <f>IFERROR(_xlfn.XLOOKUP(VLOOKUP(tblEnlaces[[#This Row],[Canal]],tblCanales[#All],3,FALSE),tblPesosCoste[Valor],tblPesosCoste[Peso],0),0)</f>
        <v>0</v>
      </c>
      <c r="L374" s="10">
        <f>IFERROR(_xlfn.XLOOKUP(VLOOKUP(tblEnlaces[[#This Row],[Canal]],tblCanales[#All],5,FALSE),tblPesosValorOperativo[Valor],tblPesosValorOperativo[Opacidad],0),0)</f>
        <v>0</v>
      </c>
      <c r="M374" s="14">
        <f>IFERROR(_xlfn.XLOOKUP(VLOOKUP(tblEnlaces[[#This Row],[Canal]],tblCanales[#All],6,FALSE),tblPesosValorOperativo[Valor],tblPesosValorOperativo[Trazabilidad],0),0)</f>
        <v>0</v>
      </c>
      <c r="N374" s="14">
        <f>IFERROR(_xlfn.XLOOKUP(VLOOKUP(tblEnlaces[[#This Row],[Canal]],tblCanales[#All],7,FALSE),tblPesosValorOperativo[Valor],tblPesosValorOperativo[Velocidad],0),0)</f>
        <v>0</v>
      </c>
      <c r="O374" s="14">
        <f>IFERROR(_xlfn.XLOOKUP(VLOOKUP(tblEnlaces[[#This Row],[Canal]],tblCanales[#All],8,FALSE),tblPesosValorOperativo[Valor],tblPesosValorOperativo[Escalabilidad],0),0)</f>
        <v>0</v>
      </c>
      <c r="P374" s="53">
        <f>tblEnlaces[[#This Row],[Opacidad]]+tblEnlaces[[#This Row],[Escalabilidad]]+tblEnlaces[[#This Row],[Velocidad]]+tblEnlaces[[#This Row],[Trazabilidad]]</f>
        <v>0</v>
      </c>
    </row>
    <row r="375" spans="2:16" ht="16.5" customHeight="1" x14ac:dyDescent="0.25">
      <c r="B375" s="66" t="str">
        <f t="array" ref="B37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75" s="10" t="e">
        <f>VLOOKUP(tblEnlaces[[#This Row],[Nodo Inicial]],tblNodos[],2,FALSE)</f>
        <v>#N/A</v>
      </c>
      <c r="E375" s="39"/>
      <c r="F375" s="10" t="e">
        <f>VLOOKUP(tblEnlaces[[#This Row],[Nodo Final]],tblNodos[],2,FALSE)</f>
        <v>#N/A</v>
      </c>
      <c r="G375" s="39"/>
      <c r="I375" s="53">
        <f>IFERROR(_xlfn.XLOOKUP(VLOOKUP(tblEnlaces[[#This Row],[Canal]],tblCanales[#All],2,FALSE),tblPesosValorOperativo[Valor],tblPesosValorOperativo[Frecuencia de Uso],0),0)</f>
        <v>0</v>
      </c>
      <c r="J37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75" s="64">
        <f>IFERROR(_xlfn.XLOOKUP(VLOOKUP(tblEnlaces[[#This Row],[Canal]],tblCanales[#All],3,FALSE),tblPesosCoste[Valor],tblPesosCoste[Peso],0),0)</f>
        <v>0</v>
      </c>
      <c r="L375" s="10">
        <f>IFERROR(_xlfn.XLOOKUP(VLOOKUP(tblEnlaces[[#This Row],[Canal]],tblCanales[#All],5,FALSE),tblPesosValorOperativo[Valor],tblPesosValorOperativo[Opacidad],0),0)</f>
        <v>0</v>
      </c>
      <c r="M375" s="14">
        <f>IFERROR(_xlfn.XLOOKUP(VLOOKUP(tblEnlaces[[#This Row],[Canal]],tblCanales[#All],6,FALSE),tblPesosValorOperativo[Valor],tblPesosValorOperativo[Trazabilidad],0),0)</f>
        <v>0</v>
      </c>
      <c r="N375" s="14">
        <f>IFERROR(_xlfn.XLOOKUP(VLOOKUP(tblEnlaces[[#This Row],[Canal]],tblCanales[#All],7,FALSE),tblPesosValorOperativo[Valor],tblPesosValorOperativo[Velocidad],0),0)</f>
        <v>0</v>
      </c>
      <c r="O375" s="14">
        <f>IFERROR(_xlfn.XLOOKUP(VLOOKUP(tblEnlaces[[#This Row],[Canal]],tblCanales[#All],8,FALSE),tblPesosValorOperativo[Valor],tblPesosValorOperativo[Escalabilidad],0),0)</f>
        <v>0</v>
      </c>
      <c r="P375" s="53">
        <f>tblEnlaces[[#This Row],[Opacidad]]+tblEnlaces[[#This Row],[Escalabilidad]]+tblEnlaces[[#This Row],[Velocidad]]+tblEnlaces[[#This Row],[Trazabilidad]]</f>
        <v>0</v>
      </c>
    </row>
    <row r="376" spans="2:16" ht="16.5" customHeight="1" x14ac:dyDescent="0.25">
      <c r="B376" s="66" t="str">
        <f t="array" ref="B37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76" s="10" t="e">
        <f>VLOOKUP(tblEnlaces[[#This Row],[Nodo Inicial]],tblNodos[],2,FALSE)</f>
        <v>#N/A</v>
      </c>
      <c r="E376" s="39"/>
      <c r="F376" s="10" t="e">
        <f>VLOOKUP(tblEnlaces[[#This Row],[Nodo Final]],tblNodos[],2,FALSE)</f>
        <v>#N/A</v>
      </c>
      <c r="G376" s="39"/>
      <c r="I376" s="53">
        <f>IFERROR(_xlfn.XLOOKUP(VLOOKUP(tblEnlaces[[#This Row],[Canal]],tblCanales[#All],2,FALSE),tblPesosValorOperativo[Valor],tblPesosValorOperativo[Frecuencia de Uso],0),0)</f>
        <v>0</v>
      </c>
      <c r="J37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76" s="64">
        <f>IFERROR(_xlfn.XLOOKUP(VLOOKUP(tblEnlaces[[#This Row],[Canal]],tblCanales[#All],3,FALSE),tblPesosCoste[Valor],tblPesosCoste[Peso],0),0)</f>
        <v>0</v>
      </c>
      <c r="L376" s="10">
        <f>IFERROR(_xlfn.XLOOKUP(VLOOKUP(tblEnlaces[[#This Row],[Canal]],tblCanales[#All],5,FALSE),tblPesosValorOperativo[Valor],tblPesosValorOperativo[Opacidad],0),0)</f>
        <v>0</v>
      </c>
      <c r="M376" s="14">
        <f>IFERROR(_xlfn.XLOOKUP(VLOOKUP(tblEnlaces[[#This Row],[Canal]],tblCanales[#All],6,FALSE),tblPesosValorOperativo[Valor],tblPesosValorOperativo[Trazabilidad],0),0)</f>
        <v>0</v>
      </c>
      <c r="N376" s="14">
        <f>IFERROR(_xlfn.XLOOKUP(VLOOKUP(tblEnlaces[[#This Row],[Canal]],tblCanales[#All],7,FALSE),tblPesosValorOperativo[Valor],tblPesosValorOperativo[Velocidad],0),0)</f>
        <v>0</v>
      </c>
      <c r="O376" s="14">
        <f>IFERROR(_xlfn.XLOOKUP(VLOOKUP(tblEnlaces[[#This Row],[Canal]],tblCanales[#All],8,FALSE),tblPesosValorOperativo[Valor],tblPesosValorOperativo[Escalabilidad],0),0)</f>
        <v>0</v>
      </c>
      <c r="P376" s="53">
        <f>tblEnlaces[[#This Row],[Opacidad]]+tblEnlaces[[#This Row],[Escalabilidad]]+tblEnlaces[[#This Row],[Velocidad]]+tblEnlaces[[#This Row],[Trazabilidad]]</f>
        <v>0</v>
      </c>
    </row>
    <row r="377" spans="2:16" ht="16.5" customHeight="1" x14ac:dyDescent="0.25">
      <c r="B377" s="66" t="str">
        <f t="array" ref="B37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77" s="10" t="e">
        <f>VLOOKUP(tblEnlaces[[#This Row],[Nodo Inicial]],tblNodos[],2,FALSE)</f>
        <v>#N/A</v>
      </c>
      <c r="E377" s="39"/>
      <c r="F377" s="10" t="e">
        <f>VLOOKUP(tblEnlaces[[#This Row],[Nodo Final]],tblNodos[],2,FALSE)</f>
        <v>#N/A</v>
      </c>
      <c r="G377" s="39"/>
      <c r="I377" s="53">
        <f>IFERROR(_xlfn.XLOOKUP(VLOOKUP(tblEnlaces[[#This Row],[Canal]],tblCanales[#All],2,FALSE),tblPesosValorOperativo[Valor],tblPesosValorOperativo[Frecuencia de Uso],0),0)</f>
        <v>0</v>
      </c>
      <c r="J37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77" s="64">
        <f>IFERROR(_xlfn.XLOOKUP(VLOOKUP(tblEnlaces[[#This Row],[Canal]],tblCanales[#All],3,FALSE),tblPesosCoste[Valor],tblPesosCoste[Peso],0),0)</f>
        <v>0</v>
      </c>
      <c r="L377" s="10">
        <f>IFERROR(_xlfn.XLOOKUP(VLOOKUP(tblEnlaces[[#This Row],[Canal]],tblCanales[#All],5,FALSE),tblPesosValorOperativo[Valor],tblPesosValorOperativo[Opacidad],0),0)</f>
        <v>0</v>
      </c>
      <c r="M377" s="14">
        <f>IFERROR(_xlfn.XLOOKUP(VLOOKUP(tblEnlaces[[#This Row],[Canal]],tblCanales[#All],6,FALSE),tblPesosValorOperativo[Valor],tblPesosValorOperativo[Trazabilidad],0),0)</f>
        <v>0</v>
      </c>
      <c r="N377" s="14">
        <f>IFERROR(_xlfn.XLOOKUP(VLOOKUP(tblEnlaces[[#This Row],[Canal]],tblCanales[#All],7,FALSE),tblPesosValorOperativo[Valor],tblPesosValorOperativo[Velocidad],0),0)</f>
        <v>0</v>
      </c>
      <c r="O377" s="14">
        <f>IFERROR(_xlfn.XLOOKUP(VLOOKUP(tblEnlaces[[#This Row],[Canal]],tblCanales[#All],8,FALSE),tblPesosValorOperativo[Valor],tblPesosValorOperativo[Escalabilidad],0),0)</f>
        <v>0</v>
      </c>
      <c r="P377" s="53">
        <f>tblEnlaces[[#This Row],[Opacidad]]+tblEnlaces[[#This Row],[Escalabilidad]]+tblEnlaces[[#This Row],[Velocidad]]+tblEnlaces[[#This Row],[Trazabilidad]]</f>
        <v>0</v>
      </c>
    </row>
    <row r="378" spans="2:16" ht="16.5" customHeight="1" x14ac:dyDescent="0.25">
      <c r="B378" s="66" t="str">
        <f t="array" ref="B37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78" s="10" t="e">
        <f>VLOOKUP(tblEnlaces[[#This Row],[Nodo Inicial]],tblNodos[],2,FALSE)</f>
        <v>#N/A</v>
      </c>
      <c r="E378" s="39"/>
      <c r="F378" s="10" t="e">
        <f>VLOOKUP(tblEnlaces[[#This Row],[Nodo Final]],tblNodos[],2,FALSE)</f>
        <v>#N/A</v>
      </c>
      <c r="G378" s="39"/>
      <c r="I378" s="53">
        <f>IFERROR(_xlfn.XLOOKUP(VLOOKUP(tblEnlaces[[#This Row],[Canal]],tblCanales[#All],2,FALSE),tblPesosValorOperativo[Valor],tblPesosValorOperativo[Frecuencia de Uso],0),0)</f>
        <v>0</v>
      </c>
      <c r="J37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78" s="64">
        <f>IFERROR(_xlfn.XLOOKUP(VLOOKUP(tblEnlaces[[#This Row],[Canal]],tblCanales[#All],3,FALSE),tblPesosCoste[Valor],tblPesosCoste[Peso],0),0)</f>
        <v>0</v>
      </c>
      <c r="L378" s="10">
        <f>IFERROR(_xlfn.XLOOKUP(VLOOKUP(tblEnlaces[[#This Row],[Canal]],tblCanales[#All],5,FALSE),tblPesosValorOperativo[Valor],tblPesosValorOperativo[Opacidad],0),0)</f>
        <v>0</v>
      </c>
      <c r="M378" s="14">
        <f>IFERROR(_xlfn.XLOOKUP(VLOOKUP(tblEnlaces[[#This Row],[Canal]],tblCanales[#All],6,FALSE),tblPesosValorOperativo[Valor],tblPesosValorOperativo[Trazabilidad],0),0)</f>
        <v>0</v>
      </c>
      <c r="N378" s="14">
        <f>IFERROR(_xlfn.XLOOKUP(VLOOKUP(tblEnlaces[[#This Row],[Canal]],tblCanales[#All],7,FALSE),tblPesosValorOperativo[Valor],tblPesosValorOperativo[Velocidad],0),0)</f>
        <v>0</v>
      </c>
      <c r="O378" s="14">
        <f>IFERROR(_xlfn.XLOOKUP(VLOOKUP(tblEnlaces[[#This Row],[Canal]],tblCanales[#All],8,FALSE),tblPesosValorOperativo[Valor],tblPesosValorOperativo[Escalabilidad],0),0)</f>
        <v>0</v>
      </c>
      <c r="P378" s="53">
        <f>tblEnlaces[[#This Row],[Opacidad]]+tblEnlaces[[#This Row],[Escalabilidad]]+tblEnlaces[[#This Row],[Velocidad]]+tblEnlaces[[#This Row],[Trazabilidad]]</f>
        <v>0</v>
      </c>
    </row>
    <row r="379" spans="2:16" ht="16.5" customHeight="1" x14ac:dyDescent="0.25">
      <c r="B379" s="66" t="str">
        <f t="array" ref="B37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79" s="10" t="e">
        <f>VLOOKUP(tblEnlaces[[#This Row],[Nodo Inicial]],tblNodos[],2,FALSE)</f>
        <v>#N/A</v>
      </c>
      <c r="E379" s="39"/>
      <c r="F379" s="10" t="e">
        <f>VLOOKUP(tblEnlaces[[#This Row],[Nodo Final]],tblNodos[],2,FALSE)</f>
        <v>#N/A</v>
      </c>
      <c r="G379" s="39"/>
      <c r="I379" s="53">
        <f>IFERROR(_xlfn.XLOOKUP(VLOOKUP(tblEnlaces[[#This Row],[Canal]],tblCanales[#All],2,FALSE),tblPesosValorOperativo[Valor],tblPesosValorOperativo[Frecuencia de Uso],0),0)</f>
        <v>0</v>
      </c>
      <c r="J37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79" s="64">
        <f>IFERROR(_xlfn.XLOOKUP(VLOOKUP(tblEnlaces[[#This Row],[Canal]],tblCanales[#All],3,FALSE),tblPesosCoste[Valor],tblPesosCoste[Peso],0),0)</f>
        <v>0</v>
      </c>
      <c r="L379" s="10">
        <f>IFERROR(_xlfn.XLOOKUP(VLOOKUP(tblEnlaces[[#This Row],[Canal]],tblCanales[#All],5,FALSE),tblPesosValorOperativo[Valor],tblPesosValorOperativo[Opacidad],0),0)</f>
        <v>0</v>
      </c>
      <c r="M379" s="14">
        <f>IFERROR(_xlfn.XLOOKUP(VLOOKUP(tblEnlaces[[#This Row],[Canal]],tblCanales[#All],6,FALSE),tblPesosValorOperativo[Valor],tblPesosValorOperativo[Trazabilidad],0),0)</f>
        <v>0</v>
      </c>
      <c r="N379" s="14">
        <f>IFERROR(_xlfn.XLOOKUP(VLOOKUP(tblEnlaces[[#This Row],[Canal]],tblCanales[#All],7,FALSE),tblPesosValorOperativo[Valor],tblPesosValorOperativo[Velocidad],0),0)</f>
        <v>0</v>
      </c>
      <c r="O379" s="14">
        <f>IFERROR(_xlfn.XLOOKUP(VLOOKUP(tblEnlaces[[#This Row],[Canal]],tblCanales[#All],8,FALSE),tblPesosValorOperativo[Valor],tblPesosValorOperativo[Escalabilidad],0),0)</f>
        <v>0</v>
      </c>
      <c r="P379" s="53">
        <f>tblEnlaces[[#This Row],[Opacidad]]+tblEnlaces[[#This Row],[Escalabilidad]]+tblEnlaces[[#This Row],[Velocidad]]+tblEnlaces[[#This Row],[Trazabilidad]]</f>
        <v>0</v>
      </c>
    </row>
    <row r="380" spans="2:16" ht="16.5" customHeight="1" x14ac:dyDescent="0.25">
      <c r="B380" s="66" t="str">
        <f t="array" ref="B38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80" s="10" t="e">
        <f>VLOOKUP(tblEnlaces[[#This Row],[Nodo Inicial]],tblNodos[],2,FALSE)</f>
        <v>#N/A</v>
      </c>
      <c r="E380" s="39"/>
      <c r="F380" s="10" t="e">
        <f>VLOOKUP(tblEnlaces[[#This Row],[Nodo Final]],tblNodos[],2,FALSE)</f>
        <v>#N/A</v>
      </c>
      <c r="G380" s="39"/>
      <c r="I380" s="53">
        <f>IFERROR(_xlfn.XLOOKUP(VLOOKUP(tblEnlaces[[#This Row],[Canal]],tblCanales[#All],2,FALSE),tblPesosValorOperativo[Valor],tblPesosValorOperativo[Frecuencia de Uso],0),0)</f>
        <v>0</v>
      </c>
      <c r="J38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80" s="64">
        <f>IFERROR(_xlfn.XLOOKUP(VLOOKUP(tblEnlaces[[#This Row],[Canal]],tblCanales[#All],3,FALSE),tblPesosCoste[Valor],tblPesosCoste[Peso],0),0)</f>
        <v>0</v>
      </c>
      <c r="L380" s="10">
        <f>IFERROR(_xlfn.XLOOKUP(VLOOKUP(tblEnlaces[[#This Row],[Canal]],tblCanales[#All],5,FALSE),tblPesosValorOperativo[Valor],tblPesosValorOperativo[Opacidad],0),0)</f>
        <v>0</v>
      </c>
      <c r="M380" s="14">
        <f>IFERROR(_xlfn.XLOOKUP(VLOOKUP(tblEnlaces[[#This Row],[Canal]],tblCanales[#All],6,FALSE),tblPesosValorOperativo[Valor],tblPesosValorOperativo[Trazabilidad],0),0)</f>
        <v>0</v>
      </c>
      <c r="N380" s="14">
        <f>IFERROR(_xlfn.XLOOKUP(VLOOKUP(tblEnlaces[[#This Row],[Canal]],tblCanales[#All],7,FALSE),tblPesosValorOperativo[Valor],tblPesosValorOperativo[Velocidad],0),0)</f>
        <v>0</v>
      </c>
      <c r="O380" s="14">
        <f>IFERROR(_xlfn.XLOOKUP(VLOOKUP(tblEnlaces[[#This Row],[Canal]],tblCanales[#All],8,FALSE),tblPesosValorOperativo[Valor],tblPesosValorOperativo[Escalabilidad],0),0)</f>
        <v>0</v>
      </c>
      <c r="P380" s="53">
        <f>tblEnlaces[[#This Row],[Opacidad]]+tblEnlaces[[#This Row],[Escalabilidad]]+tblEnlaces[[#This Row],[Velocidad]]+tblEnlaces[[#This Row],[Trazabilidad]]</f>
        <v>0</v>
      </c>
    </row>
    <row r="381" spans="2:16" ht="16.5" customHeight="1" x14ac:dyDescent="0.25">
      <c r="B381" s="66" t="str">
        <f t="array" ref="B38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81" s="10" t="e">
        <f>VLOOKUP(tblEnlaces[[#This Row],[Nodo Inicial]],tblNodos[],2,FALSE)</f>
        <v>#N/A</v>
      </c>
      <c r="E381" s="39"/>
      <c r="F381" s="10" t="e">
        <f>VLOOKUP(tblEnlaces[[#This Row],[Nodo Final]],tblNodos[],2,FALSE)</f>
        <v>#N/A</v>
      </c>
      <c r="G381" s="39"/>
      <c r="I381" s="53">
        <f>IFERROR(_xlfn.XLOOKUP(VLOOKUP(tblEnlaces[[#This Row],[Canal]],tblCanales[#All],2,FALSE),tblPesosValorOperativo[Valor],tblPesosValorOperativo[Frecuencia de Uso],0),0)</f>
        <v>0</v>
      </c>
      <c r="J38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81" s="64">
        <f>IFERROR(_xlfn.XLOOKUP(VLOOKUP(tblEnlaces[[#This Row],[Canal]],tblCanales[#All],3,FALSE),tblPesosCoste[Valor],tblPesosCoste[Peso],0),0)</f>
        <v>0</v>
      </c>
      <c r="L381" s="10">
        <f>IFERROR(_xlfn.XLOOKUP(VLOOKUP(tblEnlaces[[#This Row],[Canal]],tblCanales[#All],5,FALSE),tblPesosValorOperativo[Valor],tblPesosValorOperativo[Opacidad],0),0)</f>
        <v>0</v>
      </c>
      <c r="M381" s="14">
        <f>IFERROR(_xlfn.XLOOKUP(VLOOKUP(tblEnlaces[[#This Row],[Canal]],tblCanales[#All],6,FALSE),tblPesosValorOperativo[Valor],tblPesosValorOperativo[Trazabilidad],0),0)</f>
        <v>0</v>
      </c>
      <c r="N381" s="14">
        <f>IFERROR(_xlfn.XLOOKUP(VLOOKUP(tblEnlaces[[#This Row],[Canal]],tblCanales[#All],7,FALSE),tblPesosValorOperativo[Valor],tblPesosValorOperativo[Velocidad],0),0)</f>
        <v>0</v>
      </c>
      <c r="O381" s="14">
        <f>IFERROR(_xlfn.XLOOKUP(VLOOKUP(tblEnlaces[[#This Row],[Canal]],tblCanales[#All],8,FALSE),tblPesosValorOperativo[Valor],tblPesosValorOperativo[Escalabilidad],0),0)</f>
        <v>0</v>
      </c>
      <c r="P381" s="53">
        <f>tblEnlaces[[#This Row],[Opacidad]]+tblEnlaces[[#This Row],[Escalabilidad]]+tblEnlaces[[#This Row],[Velocidad]]+tblEnlaces[[#This Row],[Trazabilidad]]</f>
        <v>0</v>
      </c>
    </row>
    <row r="382" spans="2:16" ht="16.5" customHeight="1" x14ac:dyDescent="0.25">
      <c r="B382" s="66" t="str">
        <f t="array" ref="B38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82" s="10" t="e">
        <f>VLOOKUP(tblEnlaces[[#This Row],[Nodo Inicial]],tblNodos[],2,FALSE)</f>
        <v>#N/A</v>
      </c>
      <c r="E382" s="39"/>
      <c r="F382" s="10" t="e">
        <f>VLOOKUP(tblEnlaces[[#This Row],[Nodo Final]],tblNodos[],2,FALSE)</f>
        <v>#N/A</v>
      </c>
      <c r="G382" s="39"/>
      <c r="I382" s="53">
        <f>IFERROR(_xlfn.XLOOKUP(VLOOKUP(tblEnlaces[[#This Row],[Canal]],tblCanales[#All],2,FALSE),tblPesosValorOperativo[Valor],tblPesosValorOperativo[Frecuencia de Uso],0),0)</f>
        <v>0</v>
      </c>
      <c r="J38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82" s="64">
        <f>IFERROR(_xlfn.XLOOKUP(VLOOKUP(tblEnlaces[[#This Row],[Canal]],tblCanales[#All],3,FALSE),tblPesosCoste[Valor],tblPesosCoste[Peso],0),0)</f>
        <v>0</v>
      </c>
      <c r="L382" s="10">
        <f>IFERROR(_xlfn.XLOOKUP(VLOOKUP(tblEnlaces[[#This Row],[Canal]],tblCanales[#All],5,FALSE),tblPesosValorOperativo[Valor],tblPesosValorOperativo[Opacidad],0),0)</f>
        <v>0</v>
      </c>
      <c r="M382" s="14">
        <f>IFERROR(_xlfn.XLOOKUP(VLOOKUP(tblEnlaces[[#This Row],[Canal]],tblCanales[#All],6,FALSE),tblPesosValorOperativo[Valor],tblPesosValorOperativo[Trazabilidad],0),0)</f>
        <v>0</v>
      </c>
      <c r="N382" s="14">
        <f>IFERROR(_xlfn.XLOOKUP(VLOOKUP(tblEnlaces[[#This Row],[Canal]],tblCanales[#All],7,FALSE),tblPesosValorOperativo[Valor],tblPesosValorOperativo[Velocidad],0),0)</f>
        <v>0</v>
      </c>
      <c r="O382" s="14">
        <f>IFERROR(_xlfn.XLOOKUP(VLOOKUP(tblEnlaces[[#This Row],[Canal]],tblCanales[#All],8,FALSE),tblPesosValorOperativo[Valor],tblPesosValorOperativo[Escalabilidad],0),0)</f>
        <v>0</v>
      </c>
      <c r="P382" s="53">
        <f>tblEnlaces[[#This Row],[Opacidad]]+tblEnlaces[[#This Row],[Escalabilidad]]+tblEnlaces[[#This Row],[Velocidad]]+tblEnlaces[[#This Row],[Trazabilidad]]</f>
        <v>0</v>
      </c>
    </row>
    <row r="383" spans="2:16" ht="16.5" customHeight="1" x14ac:dyDescent="0.25">
      <c r="B383" s="66" t="str">
        <f t="array" ref="B38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83" s="10" t="e">
        <f>VLOOKUP(tblEnlaces[[#This Row],[Nodo Inicial]],tblNodos[],2,FALSE)</f>
        <v>#N/A</v>
      </c>
      <c r="E383" s="39"/>
      <c r="F383" s="10" t="e">
        <f>VLOOKUP(tblEnlaces[[#This Row],[Nodo Final]],tblNodos[],2,FALSE)</f>
        <v>#N/A</v>
      </c>
      <c r="G383" s="39"/>
      <c r="I383" s="53">
        <f>IFERROR(_xlfn.XLOOKUP(VLOOKUP(tblEnlaces[[#This Row],[Canal]],tblCanales[#All],2,FALSE),tblPesosValorOperativo[Valor],tblPesosValorOperativo[Frecuencia de Uso],0),0)</f>
        <v>0</v>
      </c>
      <c r="J38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83" s="64">
        <f>IFERROR(_xlfn.XLOOKUP(VLOOKUP(tblEnlaces[[#This Row],[Canal]],tblCanales[#All],3,FALSE),tblPesosCoste[Valor],tblPesosCoste[Peso],0),0)</f>
        <v>0</v>
      </c>
      <c r="L383" s="10">
        <f>IFERROR(_xlfn.XLOOKUP(VLOOKUP(tblEnlaces[[#This Row],[Canal]],tblCanales[#All],5,FALSE),tblPesosValorOperativo[Valor],tblPesosValorOperativo[Opacidad],0),0)</f>
        <v>0</v>
      </c>
      <c r="M383" s="14">
        <f>IFERROR(_xlfn.XLOOKUP(VLOOKUP(tblEnlaces[[#This Row],[Canal]],tblCanales[#All],6,FALSE),tblPesosValorOperativo[Valor],tblPesosValorOperativo[Trazabilidad],0),0)</f>
        <v>0</v>
      </c>
      <c r="N383" s="14">
        <f>IFERROR(_xlfn.XLOOKUP(VLOOKUP(tblEnlaces[[#This Row],[Canal]],tblCanales[#All],7,FALSE),tblPesosValorOperativo[Valor],tblPesosValorOperativo[Velocidad],0),0)</f>
        <v>0</v>
      </c>
      <c r="O383" s="14">
        <f>IFERROR(_xlfn.XLOOKUP(VLOOKUP(tblEnlaces[[#This Row],[Canal]],tblCanales[#All],8,FALSE),tblPesosValorOperativo[Valor],tblPesosValorOperativo[Escalabilidad],0),0)</f>
        <v>0</v>
      </c>
      <c r="P383" s="53">
        <f>tblEnlaces[[#This Row],[Opacidad]]+tblEnlaces[[#This Row],[Escalabilidad]]+tblEnlaces[[#This Row],[Velocidad]]+tblEnlaces[[#This Row],[Trazabilidad]]</f>
        <v>0</v>
      </c>
    </row>
    <row r="384" spans="2:16" ht="16.5" customHeight="1" x14ac:dyDescent="0.25">
      <c r="B384" s="66" t="str">
        <f t="array" ref="B38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84" s="10" t="e">
        <f>VLOOKUP(tblEnlaces[[#This Row],[Nodo Inicial]],tblNodos[],2,FALSE)</f>
        <v>#N/A</v>
      </c>
      <c r="E384" s="39"/>
      <c r="F384" s="10" t="e">
        <f>VLOOKUP(tblEnlaces[[#This Row],[Nodo Final]],tblNodos[],2,FALSE)</f>
        <v>#N/A</v>
      </c>
      <c r="G384" s="39"/>
      <c r="I384" s="53">
        <f>IFERROR(_xlfn.XLOOKUP(VLOOKUP(tblEnlaces[[#This Row],[Canal]],tblCanales[#All],2,FALSE),tblPesosValorOperativo[Valor],tblPesosValorOperativo[Frecuencia de Uso],0),0)</f>
        <v>0</v>
      </c>
      <c r="J38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84" s="64">
        <f>IFERROR(_xlfn.XLOOKUP(VLOOKUP(tblEnlaces[[#This Row],[Canal]],tblCanales[#All],3,FALSE),tblPesosCoste[Valor],tblPesosCoste[Peso],0),0)</f>
        <v>0</v>
      </c>
      <c r="L384" s="10">
        <f>IFERROR(_xlfn.XLOOKUP(VLOOKUP(tblEnlaces[[#This Row],[Canal]],tblCanales[#All],5,FALSE),tblPesosValorOperativo[Valor],tblPesosValorOperativo[Opacidad],0),0)</f>
        <v>0</v>
      </c>
      <c r="M384" s="14">
        <f>IFERROR(_xlfn.XLOOKUP(VLOOKUP(tblEnlaces[[#This Row],[Canal]],tblCanales[#All],6,FALSE),tblPesosValorOperativo[Valor],tblPesosValorOperativo[Trazabilidad],0),0)</f>
        <v>0</v>
      </c>
      <c r="N384" s="14">
        <f>IFERROR(_xlfn.XLOOKUP(VLOOKUP(tblEnlaces[[#This Row],[Canal]],tblCanales[#All],7,FALSE),tblPesosValorOperativo[Valor],tblPesosValorOperativo[Velocidad],0),0)</f>
        <v>0</v>
      </c>
      <c r="O384" s="14">
        <f>IFERROR(_xlfn.XLOOKUP(VLOOKUP(tblEnlaces[[#This Row],[Canal]],tblCanales[#All],8,FALSE),tblPesosValorOperativo[Valor],tblPesosValorOperativo[Escalabilidad],0),0)</f>
        <v>0</v>
      </c>
      <c r="P384" s="53">
        <f>tblEnlaces[[#This Row],[Opacidad]]+tblEnlaces[[#This Row],[Escalabilidad]]+tblEnlaces[[#This Row],[Velocidad]]+tblEnlaces[[#This Row],[Trazabilidad]]</f>
        <v>0</v>
      </c>
    </row>
    <row r="385" spans="2:16" ht="16.5" customHeight="1" x14ac:dyDescent="0.25">
      <c r="B385" s="66" t="str">
        <f t="array" ref="B38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85" s="10" t="e">
        <f>VLOOKUP(tblEnlaces[[#This Row],[Nodo Inicial]],tblNodos[],2,FALSE)</f>
        <v>#N/A</v>
      </c>
      <c r="E385" s="39"/>
      <c r="F385" s="10" t="e">
        <f>VLOOKUP(tblEnlaces[[#This Row],[Nodo Final]],tblNodos[],2,FALSE)</f>
        <v>#N/A</v>
      </c>
      <c r="G385" s="39"/>
      <c r="I385" s="53">
        <f>IFERROR(_xlfn.XLOOKUP(VLOOKUP(tblEnlaces[[#This Row],[Canal]],tblCanales[#All],2,FALSE),tblPesosValorOperativo[Valor],tblPesosValorOperativo[Frecuencia de Uso],0),0)</f>
        <v>0</v>
      </c>
      <c r="J38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85" s="64">
        <f>IFERROR(_xlfn.XLOOKUP(VLOOKUP(tblEnlaces[[#This Row],[Canal]],tblCanales[#All],3,FALSE),tblPesosCoste[Valor],tblPesosCoste[Peso],0),0)</f>
        <v>0</v>
      </c>
      <c r="L385" s="10">
        <f>IFERROR(_xlfn.XLOOKUP(VLOOKUP(tblEnlaces[[#This Row],[Canal]],tblCanales[#All],5,FALSE),tblPesosValorOperativo[Valor],tblPesosValorOperativo[Opacidad],0),0)</f>
        <v>0</v>
      </c>
      <c r="M385" s="14">
        <f>IFERROR(_xlfn.XLOOKUP(VLOOKUP(tblEnlaces[[#This Row],[Canal]],tblCanales[#All],6,FALSE),tblPesosValorOperativo[Valor],tblPesosValorOperativo[Trazabilidad],0),0)</f>
        <v>0</v>
      </c>
      <c r="N385" s="14">
        <f>IFERROR(_xlfn.XLOOKUP(VLOOKUP(tblEnlaces[[#This Row],[Canal]],tblCanales[#All],7,FALSE),tblPesosValorOperativo[Valor],tblPesosValorOperativo[Velocidad],0),0)</f>
        <v>0</v>
      </c>
      <c r="O385" s="14">
        <f>IFERROR(_xlfn.XLOOKUP(VLOOKUP(tblEnlaces[[#This Row],[Canal]],tblCanales[#All],8,FALSE),tblPesosValorOperativo[Valor],tblPesosValorOperativo[Escalabilidad],0),0)</f>
        <v>0</v>
      </c>
      <c r="P385" s="53">
        <f>tblEnlaces[[#This Row],[Opacidad]]+tblEnlaces[[#This Row],[Escalabilidad]]+tblEnlaces[[#This Row],[Velocidad]]+tblEnlaces[[#This Row],[Trazabilidad]]</f>
        <v>0</v>
      </c>
    </row>
    <row r="386" spans="2:16" ht="16.5" customHeight="1" x14ac:dyDescent="0.25">
      <c r="B386" s="66" t="str">
        <f t="array" ref="B38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86" s="10" t="e">
        <f>VLOOKUP(tblEnlaces[[#This Row],[Nodo Inicial]],tblNodos[],2,FALSE)</f>
        <v>#N/A</v>
      </c>
      <c r="E386" s="39"/>
      <c r="F386" s="10" t="e">
        <f>VLOOKUP(tblEnlaces[[#This Row],[Nodo Final]],tblNodos[],2,FALSE)</f>
        <v>#N/A</v>
      </c>
      <c r="G386" s="39"/>
      <c r="I386" s="53">
        <f>IFERROR(_xlfn.XLOOKUP(VLOOKUP(tblEnlaces[[#This Row],[Canal]],tblCanales[#All],2,FALSE),tblPesosValorOperativo[Valor],tblPesosValorOperativo[Frecuencia de Uso],0),0)</f>
        <v>0</v>
      </c>
      <c r="J38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86" s="64">
        <f>IFERROR(_xlfn.XLOOKUP(VLOOKUP(tblEnlaces[[#This Row],[Canal]],tblCanales[#All],3,FALSE),tblPesosCoste[Valor],tblPesosCoste[Peso],0),0)</f>
        <v>0</v>
      </c>
      <c r="L386" s="10">
        <f>IFERROR(_xlfn.XLOOKUP(VLOOKUP(tblEnlaces[[#This Row],[Canal]],tblCanales[#All],5,FALSE),tblPesosValorOperativo[Valor],tblPesosValorOperativo[Opacidad],0),0)</f>
        <v>0</v>
      </c>
      <c r="M386" s="14">
        <f>IFERROR(_xlfn.XLOOKUP(VLOOKUP(tblEnlaces[[#This Row],[Canal]],tblCanales[#All],6,FALSE),tblPesosValorOperativo[Valor],tblPesosValorOperativo[Trazabilidad],0),0)</f>
        <v>0</v>
      </c>
      <c r="N386" s="14">
        <f>IFERROR(_xlfn.XLOOKUP(VLOOKUP(tblEnlaces[[#This Row],[Canal]],tblCanales[#All],7,FALSE),tblPesosValorOperativo[Valor],tblPesosValorOperativo[Velocidad],0),0)</f>
        <v>0</v>
      </c>
      <c r="O386" s="14">
        <f>IFERROR(_xlfn.XLOOKUP(VLOOKUP(tblEnlaces[[#This Row],[Canal]],tblCanales[#All],8,FALSE),tblPesosValorOperativo[Valor],tblPesosValorOperativo[Escalabilidad],0),0)</f>
        <v>0</v>
      </c>
      <c r="P386" s="53">
        <f>tblEnlaces[[#This Row],[Opacidad]]+tblEnlaces[[#This Row],[Escalabilidad]]+tblEnlaces[[#This Row],[Velocidad]]+tblEnlaces[[#This Row],[Trazabilidad]]</f>
        <v>0</v>
      </c>
    </row>
    <row r="387" spans="2:16" ht="16.5" customHeight="1" x14ac:dyDescent="0.25">
      <c r="B387" s="66" t="str">
        <f t="array" ref="B38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87" s="10" t="e">
        <f>VLOOKUP(tblEnlaces[[#This Row],[Nodo Inicial]],tblNodos[],2,FALSE)</f>
        <v>#N/A</v>
      </c>
      <c r="E387" s="39"/>
      <c r="F387" s="10" t="e">
        <f>VLOOKUP(tblEnlaces[[#This Row],[Nodo Final]],tblNodos[],2,FALSE)</f>
        <v>#N/A</v>
      </c>
      <c r="G387" s="39"/>
      <c r="I387" s="53">
        <f>IFERROR(_xlfn.XLOOKUP(VLOOKUP(tblEnlaces[[#This Row],[Canal]],tblCanales[#All],2,FALSE),tblPesosValorOperativo[Valor],tblPesosValorOperativo[Frecuencia de Uso],0),0)</f>
        <v>0</v>
      </c>
      <c r="J38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87" s="64">
        <f>IFERROR(_xlfn.XLOOKUP(VLOOKUP(tblEnlaces[[#This Row],[Canal]],tblCanales[#All],3,FALSE),tblPesosCoste[Valor],tblPesosCoste[Peso],0),0)</f>
        <v>0</v>
      </c>
      <c r="L387" s="10">
        <f>IFERROR(_xlfn.XLOOKUP(VLOOKUP(tblEnlaces[[#This Row],[Canal]],tblCanales[#All],5,FALSE),tblPesosValorOperativo[Valor],tblPesosValorOperativo[Opacidad],0),0)</f>
        <v>0</v>
      </c>
      <c r="M387" s="14">
        <f>IFERROR(_xlfn.XLOOKUP(VLOOKUP(tblEnlaces[[#This Row],[Canal]],tblCanales[#All],6,FALSE),tblPesosValorOperativo[Valor],tblPesosValorOperativo[Trazabilidad],0),0)</f>
        <v>0</v>
      </c>
      <c r="N387" s="14">
        <f>IFERROR(_xlfn.XLOOKUP(VLOOKUP(tblEnlaces[[#This Row],[Canal]],tblCanales[#All],7,FALSE),tblPesosValorOperativo[Valor],tblPesosValorOperativo[Velocidad],0),0)</f>
        <v>0</v>
      </c>
      <c r="O387" s="14">
        <f>IFERROR(_xlfn.XLOOKUP(VLOOKUP(tblEnlaces[[#This Row],[Canal]],tblCanales[#All],8,FALSE),tblPesosValorOperativo[Valor],tblPesosValorOperativo[Escalabilidad],0),0)</f>
        <v>0</v>
      </c>
      <c r="P387" s="53">
        <f>tblEnlaces[[#This Row],[Opacidad]]+tblEnlaces[[#This Row],[Escalabilidad]]+tblEnlaces[[#This Row],[Velocidad]]+tblEnlaces[[#This Row],[Trazabilidad]]</f>
        <v>0</v>
      </c>
    </row>
    <row r="388" spans="2:16" ht="16.5" customHeight="1" x14ac:dyDescent="0.25">
      <c r="B388" s="66" t="str">
        <f t="array" ref="B38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88" s="10" t="e">
        <f>VLOOKUP(tblEnlaces[[#This Row],[Nodo Inicial]],tblNodos[],2,FALSE)</f>
        <v>#N/A</v>
      </c>
      <c r="E388" s="39"/>
      <c r="F388" s="10" t="e">
        <f>VLOOKUP(tblEnlaces[[#This Row],[Nodo Final]],tblNodos[],2,FALSE)</f>
        <v>#N/A</v>
      </c>
      <c r="G388" s="39"/>
      <c r="I388" s="53">
        <f>IFERROR(_xlfn.XLOOKUP(VLOOKUP(tblEnlaces[[#This Row],[Canal]],tblCanales[#All],2,FALSE),tblPesosValorOperativo[Valor],tblPesosValorOperativo[Frecuencia de Uso],0),0)</f>
        <v>0</v>
      </c>
      <c r="J38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88" s="64">
        <f>IFERROR(_xlfn.XLOOKUP(VLOOKUP(tblEnlaces[[#This Row],[Canal]],tblCanales[#All],3,FALSE),tblPesosCoste[Valor],tblPesosCoste[Peso],0),0)</f>
        <v>0</v>
      </c>
      <c r="L388" s="10">
        <f>IFERROR(_xlfn.XLOOKUP(VLOOKUP(tblEnlaces[[#This Row],[Canal]],tblCanales[#All],5,FALSE),tblPesosValorOperativo[Valor],tblPesosValorOperativo[Opacidad],0),0)</f>
        <v>0</v>
      </c>
      <c r="M388" s="14">
        <f>IFERROR(_xlfn.XLOOKUP(VLOOKUP(tblEnlaces[[#This Row],[Canal]],tblCanales[#All],6,FALSE),tblPesosValorOperativo[Valor],tblPesosValorOperativo[Trazabilidad],0),0)</f>
        <v>0</v>
      </c>
      <c r="N388" s="14">
        <f>IFERROR(_xlfn.XLOOKUP(VLOOKUP(tblEnlaces[[#This Row],[Canal]],tblCanales[#All],7,FALSE),tblPesosValorOperativo[Valor],tblPesosValorOperativo[Velocidad],0),0)</f>
        <v>0</v>
      </c>
      <c r="O388" s="14">
        <f>IFERROR(_xlfn.XLOOKUP(VLOOKUP(tblEnlaces[[#This Row],[Canal]],tblCanales[#All],8,FALSE),tblPesosValorOperativo[Valor],tblPesosValorOperativo[Escalabilidad],0),0)</f>
        <v>0</v>
      </c>
      <c r="P388" s="53">
        <f>tblEnlaces[[#This Row],[Opacidad]]+tblEnlaces[[#This Row],[Escalabilidad]]+tblEnlaces[[#This Row],[Velocidad]]+tblEnlaces[[#This Row],[Trazabilidad]]</f>
        <v>0</v>
      </c>
    </row>
    <row r="389" spans="2:16" ht="16.5" customHeight="1" x14ac:dyDescent="0.25">
      <c r="B389" s="66" t="str">
        <f t="array" ref="B38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89" s="10" t="e">
        <f>VLOOKUP(tblEnlaces[[#This Row],[Nodo Inicial]],tblNodos[],2,FALSE)</f>
        <v>#N/A</v>
      </c>
      <c r="E389" s="39"/>
      <c r="F389" s="10" t="e">
        <f>VLOOKUP(tblEnlaces[[#This Row],[Nodo Final]],tblNodos[],2,FALSE)</f>
        <v>#N/A</v>
      </c>
      <c r="G389" s="39"/>
      <c r="I389" s="53">
        <f>IFERROR(_xlfn.XLOOKUP(VLOOKUP(tblEnlaces[[#This Row],[Canal]],tblCanales[#All],2,FALSE),tblPesosValorOperativo[Valor],tblPesosValorOperativo[Frecuencia de Uso],0),0)</f>
        <v>0</v>
      </c>
      <c r="J38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89" s="64">
        <f>IFERROR(_xlfn.XLOOKUP(VLOOKUP(tblEnlaces[[#This Row],[Canal]],tblCanales[#All],3,FALSE),tblPesosCoste[Valor],tblPesosCoste[Peso],0),0)</f>
        <v>0</v>
      </c>
      <c r="L389" s="10">
        <f>IFERROR(_xlfn.XLOOKUP(VLOOKUP(tblEnlaces[[#This Row],[Canal]],tblCanales[#All],5,FALSE),tblPesosValorOperativo[Valor],tblPesosValorOperativo[Opacidad],0),0)</f>
        <v>0</v>
      </c>
      <c r="M389" s="14">
        <f>IFERROR(_xlfn.XLOOKUP(VLOOKUP(tblEnlaces[[#This Row],[Canal]],tblCanales[#All],6,FALSE),tblPesosValorOperativo[Valor],tblPesosValorOperativo[Trazabilidad],0),0)</f>
        <v>0</v>
      </c>
      <c r="N389" s="14">
        <f>IFERROR(_xlfn.XLOOKUP(VLOOKUP(tblEnlaces[[#This Row],[Canal]],tblCanales[#All],7,FALSE),tblPesosValorOperativo[Valor],tblPesosValorOperativo[Velocidad],0),0)</f>
        <v>0</v>
      </c>
      <c r="O389" s="14">
        <f>IFERROR(_xlfn.XLOOKUP(VLOOKUP(tblEnlaces[[#This Row],[Canal]],tblCanales[#All],8,FALSE),tblPesosValorOperativo[Valor],tblPesosValorOperativo[Escalabilidad],0),0)</f>
        <v>0</v>
      </c>
      <c r="P389" s="53">
        <f>tblEnlaces[[#This Row],[Opacidad]]+tblEnlaces[[#This Row],[Escalabilidad]]+tblEnlaces[[#This Row],[Velocidad]]+tblEnlaces[[#This Row],[Trazabilidad]]</f>
        <v>0</v>
      </c>
    </row>
    <row r="390" spans="2:16" ht="16.5" customHeight="1" x14ac:dyDescent="0.25">
      <c r="B390" s="66" t="str">
        <f t="array" ref="B39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90" s="10" t="e">
        <f>VLOOKUP(tblEnlaces[[#This Row],[Nodo Inicial]],tblNodos[],2,FALSE)</f>
        <v>#N/A</v>
      </c>
      <c r="E390" s="39"/>
      <c r="F390" s="10" t="e">
        <f>VLOOKUP(tblEnlaces[[#This Row],[Nodo Final]],tblNodos[],2,FALSE)</f>
        <v>#N/A</v>
      </c>
      <c r="G390" s="39"/>
      <c r="I390" s="53">
        <f>IFERROR(_xlfn.XLOOKUP(VLOOKUP(tblEnlaces[[#This Row],[Canal]],tblCanales[#All],2,FALSE),tblPesosValorOperativo[Valor],tblPesosValorOperativo[Frecuencia de Uso],0),0)</f>
        <v>0</v>
      </c>
      <c r="J39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90" s="64">
        <f>IFERROR(_xlfn.XLOOKUP(VLOOKUP(tblEnlaces[[#This Row],[Canal]],tblCanales[#All],3,FALSE),tblPesosCoste[Valor],tblPesosCoste[Peso],0),0)</f>
        <v>0</v>
      </c>
      <c r="L390" s="10">
        <f>IFERROR(_xlfn.XLOOKUP(VLOOKUP(tblEnlaces[[#This Row],[Canal]],tblCanales[#All],5,FALSE),tblPesosValorOperativo[Valor],tblPesosValorOperativo[Opacidad],0),0)</f>
        <v>0</v>
      </c>
      <c r="M390" s="14">
        <f>IFERROR(_xlfn.XLOOKUP(VLOOKUP(tblEnlaces[[#This Row],[Canal]],tblCanales[#All],6,FALSE),tblPesosValorOperativo[Valor],tblPesosValorOperativo[Trazabilidad],0),0)</f>
        <v>0</v>
      </c>
      <c r="N390" s="14">
        <f>IFERROR(_xlfn.XLOOKUP(VLOOKUP(tblEnlaces[[#This Row],[Canal]],tblCanales[#All],7,FALSE),tblPesosValorOperativo[Valor],tblPesosValorOperativo[Velocidad],0),0)</f>
        <v>0</v>
      </c>
      <c r="O390" s="14">
        <f>IFERROR(_xlfn.XLOOKUP(VLOOKUP(tblEnlaces[[#This Row],[Canal]],tblCanales[#All],8,FALSE),tblPesosValorOperativo[Valor],tblPesosValorOperativo[Escalabilidad],0),0)</f>
        <v>0</v>
      </c>
      <c r="P390" s="53">
        <f>tblEnlaces[[#This Row],[Opacidad]]+tblEnlaces[[#This Row],[Escalabilidad]]+tblEnlaces[[#This Row],[Velocidad]]+tblEnlaces[[#This Row],[Trazabilidad]]</f>
        <v>0</v>
      </c>
    </row>
    <row r="391" spans="2:16" ht="16.5" customHeight="1" x14ac:dyDescent="0.25">
      <c r="B391" s="66" t="str">
        <f t="array" ref="B39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91" s="10" t="e">
        <f>VLOOKUP(tblEnlaces[[#This Row],[Nodo Inicial]],tblNodos[],2,FALSE)</f>
        <v>#N/A</v>
      </c>
      <c r="E391" s="39"/>
      <c r="F391" s="10" t="e">
        <f>VLOOKUP(tblEnlaces[[#This Row],[Nodo Final]],tblNodos[],2,FALSE)</f>
        <v>#N/A</v>
      </c>
      <c r="G391" s="39"/>
      <c r="I391" s="53">
        <f>IFERROR(_xlfn.XLOOKUP(VLOOKUP(tblEnlaces[[#This Row],[Canal]],tblCanales[#All],2,FALSE),tblPesosValorOperativo[Valor],tblPesosValorOperativo[Frecuencia de Uso],0),0)</f>
        <v>0</v>
      </c>
      <c r="J39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91" s="64">
        <f>IFERROR(_xlfn.XLOOKUP(VLOOKUP(tblEnlaces[[#This Row],[Canal]],tblCanales[#All],3,FALSE),tblPesosCoste[Valor],tblPesosCoste[Peso],0),0)</f>
        <v>0</v>
      </c>
      <c r="L391" s="10">
        <f>IFERROR(_xlfn.XLOOKUP(VLOOKUP(tblEnlaces[[#This Row],[Canal]],tblCanales[#All],5,FALSE),tblPesosValorOperativo[Valor],tblPesosValorOperativo[Opacidad],0),0)</f>
        <v>0</v>
      </c>
      <c r="M391" s="14">
        <f>IFERROR(_xlfn.XLOOKUP(VLOOKUP(tblEnlaces[[#This Row],[Canal]],tblCanales[#All],6,FALSE),tblPesosValorOperativo[Valor],tblPesosValorOperativo[Trazabilidad],0),0)</f>
        <v>0</v>
      </c>
      <c r="N391" s="14">
        <f>IFERROR(_xlfn.XLOOKUP(VLOOKUP(tblEnlaces[[#This Row],[Canal]],tblCanales[#All],7,FALSE),tblPesosValorOperativo[Valor],tblPesosValorOperativo[Velocidad],0),0)</f>
        <v>0</v>
      </c>
      <c r="O391" s="14">
        <f>IFERROR(_xlfn.XLOOKUP(VLOOKUP(tblEnlaces[[#This Row],[Canal]],tblCanales[#All],8,FALSE),tblPesosValorOperativo[Valor],tblPesosValorOperativo[Escalabilidad],0),0)</f>
        <v>0</v>
      </c>
      <c r="P391" s="53">
        <f>tblEnlaces[[#This Row],[Opacidad]]+tblEnlaces[[#This Row],[Escalabilidad]]+tblEnlaces[[#This Row],[Velocidad]]+tblEnlaces[[#This Row],[Trazabilidad]]</f>
        <v>0</v>
      </c>
    </row>
    <row r="392" spans="2:16" ht="16.5" customHeight="1" x14ac:dyDescent="0.25">
      <c r="B392" s="66" t="str">
        <f t="array" ref="B39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92" s="10" t="e">
        <f>VLOOKUP(tblEnlaces[[#This Row],[Nodo Inicial]],tblNodos[],2,FALSE)</f>
        <v>#N/A</v>
      </c>
      <c r="E392" s="39"/>
      <c r="F392" s="10" t="e">
        <f>VLOOKUP(tblEnlaces[[#This Row],[Nodo Final]],tblNodos[],2,FALSE)</f>
        <v>#N/A</v>
      </c>
      <c r="G392" s="39"/>
      <c r="I392" s="53">
        <f>IFERROR(_xlfn.XLOOKUP(VLOOKUP(tblEnlaces[[#This Row],[Canal]],tblCanales[#All],2,FALSE),tblPesosValorOperativo[Valor],tblPesosValorOperativo[Frecuencia de Uso],0),0)</f>
        <v>0</v>
      </c>
      <c r="J39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92" s="64">
        <f>IFERROR(_xlfn.XLOOKUP(VLOOKUP(tblEnlaces[[#This Row],[Canal]],tblCanales[#All],3,FALSE),tblPesosCoste[Valor],tblPesosCoste[Peso],0),0)</f>
        <v>0</v>
      </c>
      <c r="L392" s="10">
        <f>IFERROR(_xlfn.XLOOKUP(VLOOKUP(tblEnlaces[[#This Row],[Canal]],tblCanales[#All],5,FALSE),tblPesosValorOperativo[Valor],tblPesosValorOperativo[Opacidad],0),0)</f>
        <v>0</v>
      </c>
      <c r="M392" s="14">
        <f>IFERROR(_xlfn.XLOOKUP(VLOOKUP(tblEnlaces[[#This Row],[Canal]],tblCanales[#All],6,FALSE),tblPesosValorOperativo[Valor],tblPesosValorOperativo[Trazabilidad],0),0)</f>
        <v>0</v>
      </c>
      <c r="N392" s="14">
        <f>IFERROR(_xlfn.XLOOKUP(VLOOKUP(tblEnlaces[[#This Row],[Canal]],tblCanales[#All],7,FALSE),tblPesosValorOperativo[Valor],tblPesosValorOperativo[Velocidad],0),0)</f>
        <v>0</v>
      </c>
      <c r="O392" s="14">
        <f>IFERROR(_xlfn.XLOOKUP(VLOOKUP(tblEnlaces[[#This Row],[Canal]],tblCanales[#All],8,FALSE),tblPesosValorOperativo[Valor],tblPesosValorOperativo[Escalabilidad],0),0)</f>
        <v>0</v>
      </c>
      <c r="P392" s="53">
        <f>tblEnlaces[[#This Row],[Opacidad]]+tblEnlaces[[#This Row],[Escalabilidad]]+tblEnlaces[[#This Row],[Velocidad]]+tblEnlaces[[#This Row],[Trazabilidad]]</f>
        <v>0</v>
      </c>
    </row>
    <row r="393" spans="2:16" ht="16.5" customHeight="1" x14ac:dyDescent="0.25">
      <c r="B393" s="66" t="str">
        <f t="array" ref="B39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93" s="10" t="e">
        <f>VLOOKUP(tblEnlaces[[#This Row],[Nodo Inicial]],tblNodos[],2,FALSE)</f>
        <v>#N/A</v>
      </c>
      <c r="E393" s="39"/>
      <c r="F393" s="10" t="e">
        <f>VLOOKUP(tblEnlaces[[#This Row],[Nodo Final]],tblNodos[],2,FALSE)</f>
        <v>#N/A</v>
      </c>
      <c r="G393" s="39"/>
      <c r="I393" s="53">
        <f>IFERROR(_xlfn.XLOOKUP(VLOOKUP(tblEnlaces[[#This Row],[Canal]],tblCanales[#All],2,FALSE),tblPesosValorOperativo[Valor],tblPesosValorOperativo[Frecuencia de Uso],0),0)</f>
        <v>0</v>
      </c>
      <c r="J39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93" s="64">
        <f>IFERROR(_xlfn.XLOOKUP(VLOOKUP(tblEnlaces[[#This Row],[Canal]],tblCanales[#All],3,FALSE),tblPesosCoste[Valor],tblPesosCoste[Peso],0),0)</f>
        <v>0</v>
      </c>
      <c r="L393" s="10">
        <f>IFERROR(_xlfn.XLOOKUP(VLOOKUP(tblEnlaces[[#This Row],[Canal]],tblCanales[#All],5,FALSE),tblPesosValorOperativo[Valor],tblPesosValorOperativo[Opacidad],0),0)</f>
        <v>0</v>
      </c>
      <c r="M393" s="14">
        <f>IFERROR(_xlfn.XLOOKUP(VLOOKUP(tblEnlaces[[#This Row],[Canal]],tblCanales[#All],6,FALSE),tblPesosValorOperativo[Valor],tblPesosValorOperativo[Trazabilidad],0),0)</f>
        <v>0</v>
      </c>
      <c r="N393" s="14">
        <f>IFERROR(_xlfn.XLOOKUP(VLOOKUP(tblEnlaces[[#This Row],[Canal]],tblCanales[#All],7,FALSE),tblPesosValorOperativo[Valor],tblPesosValorOperativo[Velocidad],0),0)</f>
        <v>0</v>
      </c>
      <c r="O393" s="14">
        <f>IFERROR(_xlfn.XLOOKUP(VLOOKUP(tblEnlaces[[#This Row],[Canal]],tblCanales[#All],8,FALSE),tblPesosValorOperativo[Valor],tblPesosValorOperativo[Escalabilidad],0),0)</f>
        <v>0</v>
      </c>
      <c r="P393" s="53">
        <f>tblEnlaces[[#This Row],[Opacidad]]+tblEnlaces[[#This Row],[Escalabilidad]]+tblEnlaces[[#This Row],[Velocidad]]+tblEnlaces[[#This Row],[Trazabilidad]]</f>
        <v>0</v>
      </c>
    </row>
    <row r="394" spans="2:16" ht="16.5" customHeight="1" x14ac:dyDescent="0.25">
      <c r="B394" s="66" t="str">
        <f t="array" ref="B39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94" s="10" t="e">
        <f>VLOOKUP(tblEnlaces[[#This Row],[Nodo Inicial]],tblNodos[],2,FALSE)</f>
        <v>#N/A</v>
      </c>
      <c r="E394" s="39"/>
      <c r="F394" s="10" t="e">
        <f>VLOOKUP(tblEnlaces[[#This Row],[Nodo Final]],tblNodos[],2,FALSE)</f>
        <v>#N/A</v>
      </c>
      <c r="G394" s="39"/>
      <c r="I394" s="53">
        <f>IFERROR(_xlfn.XLOOKUP(VLOOKUP(tblEnlaces[[#This Row],[Canal]],tblCanales[#All],2,FALSE),tblPesosValorOperativo[Valor],tblPesosValorOperativo[Frecuencia de Uso],0),0)</f>
        <v>0</v>
      </c>
      <c r="J39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94" s="64">
        <f>IFERROR(_xlfn.XLOOKUP(VLOOKUP(tblEnlaces[[#This Row],[Canal]],tblCanales[#All],3,FALSE),tblPesosCoste[Valor],tblPesosCoste[Peso],0),0)</f>
        <v>0</v>
      </c>
      <c r="L394" s="10">
        <f>IFERROR(_xlfn.XLOOKUP(VLOOKUP(tblEnlaces[[#This Row],[Canal]],tblCanales[#All],5,FALSE),tblPesosValorOperativo[Valor],tblPesosValorOperativo[Opacidad],0),0)</f>
        <v>0</v>
      </c>
      <c r="M394" s="14">
        <f>IFERROR(_xlfn.XLOOKUP(VLOOKUP(tblEnlaces[[#This Row],[Canal]],tblCanales[#All],6,FALSE),tblPesosValorOperativo[Valor],tblPesosValorOperativo[Trazabilidad],0),0)</f>
        <v>0</v>
      </c>
      <c r="N394" s="14">
        <f>IFERROR(_xlfn.XLOOKUP(VLOOKUP(tblEnlaces[[#This Row],[Canal]],tblCanales[#All],7,FALSE),tblPesosValorOperativo[Valor],tblPesosValorOperativo[Velocidad],0),0)</f>
        <v>0</v>
      </c>
      <c r="O394" s="14">
        <f>IFERROR(_xlfn.XLOOKUP(VLOOKUP(tblEnlaces[[#This Row],[Canal]],tblCanales[#All],8,FALSE),tblPesosValorOperativo[Valor],tblPesosValorOperativo[Escalabilidad],0),0)</f>
        <v>0</v>
      </c>
      <c r="P394" s="53">
        <f>tblEnlaces[[#This Row],[Opacidad]]+tblEnlaces[[#This Row],[Escalabilidad]]+tblEnlaces[[#This Row],[Velocidad]]+tblEnlaces[[#This Row],[Trazabilidad]]</f>
        <v>0</v>
      </c>
    </row>
    <row r="395" spans="2:16" ht="16.5" customHeight="1" x14ac:dyDescent="0.25">
      <c r="B395" s="66" t="str">
        <f t="array" ref="B39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95" s="10" t="e">
        <f>VLOOKUP(tblEnlaces[[#This Row],[Nodo Inicial]],tblNodos[],2,FALSE)</f>
        <v>#N/A</v>
      </c>
      <c r="E395" s="39"/>
      <c r="F395" s="10" t="e">
        <f>VLOOKUP(tblEnlaces[[#This Row],[Nodo Final]],tblNodos[],2,FALSE)</f>
        <v>#N/A</v>
      </c>
      <c r="G395" s="39"/>
      <c r="I395" s="53">
        <f>IFERROR(_xlfn.XLOOKUP(VLOOKUP(tblEnlaces[[#This Row],[Canal]],tblCanales[#All],2,FALSE),tblPesosValorOperativo[Valor],tblPesosValorOperativo[Frecuencia de Uso],0),0)</f>
        <v>0</v>
      </c>
      <c r="J39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95" s="64">
        <f>IFERROR(_xlfn.XLOOKUP(VLOOKUP(tblEnlaces[[#This Row],[Canal]],tblCanales[#All],3,FALSE),tblPesosCoste[Valor],tblPesosCoste[Peso],0),0)</f>
        <v>0</v>
      </c>
      <c r="L395" s="10">
        <f>IFERROR(_xlfn.XLOOKUP(VLOOKUP(tblEnlaces[[#This Row],[Canal]],tblCanales[#All],5,FALSE),tblPesosValorOperativo[Valor],tblPesosValorOperativo[Opacidad],0),0)</f>
        <v>0</v>
      </c>
      <c r="M395" s="14">
        <f>IFERROR(_xlfn.XLOOKUP(VLOOKUP(tblEnlaces[[#This Row],[Canal]],tblCanales[#All],6,FALSE),tblPesosValorOperativo[Valor],tblPesosValorOperativo[Trazabilidad],0),0)</f>
        <v>0</v>
      </c>
      <c r="N395" s="14">
        <f>IFERROR(_xlfn.XLOOKUP(VLOOKUP(tblEnlaces[[#This Row],[Canal]],tblCanales[#All],7,FALSE),tblPesosValorOperativo[Valor],tblPesosValorOperativo[Velocidad],0),0)</f>
        <v>0</v>
      </c>
      <c r="O395" s="14">
        <f>IFERROR(_xlfn.XLOOKUP(VLOOKUP(tblEnlaces[[#This Row],[Canal]],tblCanales[#All],8,FALSE),tblPesosValorOperativo[Valor],tblPesosValorOperativo[Escalabilidad],0),0)</f>
        <v>0</v>
      </c>
      <c r="P395" s="53">
        <f>tblEnlaces[[#This Row],[Opacidad]]+tblEnlaces[[#This Row],[Escalabilidad]]+tblEnlaces[[#This Row],[Velocidad]]+tblEnlaces[[#This Row],[Trazabilidad]]</f>
        <v>0</v>
      </c>
    </row>
    <row r="396" spans="2:16" ht="16.5" customHeight="1" x14ac:dyDescent="0.25">
      <c r="B396" s="66" t="str">
        <f t="array" ref="B39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96" s="10" t="e">
        <f>VLOOKUP(tblEnlaces[[#This Row],[Nodo Inicial]],tblNodos[],2,FALSE)</f>
        <v>#N/A</v>
      </c>
      <c r="E396" s="39"/>
      <c r="F396" s="10" t="e">
        <f>VLOOKUP(tblEnlaces[[#This Row],[Nodo Final]],tblNodos[],2,FALSE)</f>
        <v>#N/A</v>
      </c>
      <c r="G396" s="39"/>
      <c r="I396" s="53">
        <f>IFERROR(_xlfn.XLOOKUP(VLOOKUP(tblEnlaces[[#This Row],[Canal]],tblCanales[#All],2,FALSE),tblPesosValorOperativo[Valor],tblPesosValorOperativo[Frecuencia de Uso],0),0)</f>
        <v>0</v>
      </c>
      <c r="J39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96" s="64">
        <f>IFERROR(_xlfn.XLOOKUP(VLOOKUP(tblEnlaces[[#This Row],[Canal]],tblCanales[#All],3,FALSE),tblPesosCoste[Valor],tblPesosCoste[Peso],0),0)</f>
        <v>0</v>
      </c>
      <c r="L396" s="10">
        <f>IFERROR(_xlfn.XLOOKUP(VLOOKUP(tblEnlaces[[#This Row],[Canal]],tblCanales[#All],5,FALSE),tblPesosValorOperativo[Valor],tblPesosValorOperativo[Opacidad],0),0)</f>
        <v>0</v>
      </c>
      <c r="M396" s="14">
        <f>IFERROR(_xlfn.XLOOKUP(VLOOKUP(tblEnlaces[[#This Row],[Canal]],tblCanales[#All],6,FALSE),tblPesosValorOperativo[Valor],tblPesosValorOperativo[Trazabilidad],0),0)</f>
        <v>0</v>
      </c>
      <c r="N396" s="14">
        <f>IFERROR(_xlfn.XLOOKUP(VLOOKUP(tblEnlaces[[#This Row],[Canal]],tblCanales[#All],7,FALSE),tblPesosValorOperativo[Valor],tblPesosValorOperativo[Velocidad],0),0)</f>
        <v>0</v>
      </c>
      <c r="O396" s="14">
        <f>IFERROR(_xlfn.XLOOKUP(VLOOKUP(tblEnlaces[[#This Row],[Canal]],tblCanales[#All],8,FALSE),tblPesosValorOperativo[Valor],tblPesosValorOperativo[Escalabilidad],0),0)</f>
        <v>0</v>
      </c>
      <c r="P396" s="53">
        <f>tblEnlaces[[#This Row],[Opacidad]]+tblEnlaces[[#This Row],[Escalabilidad]]+tblEnlaces[[#This Row],[Velocidad]]+tblEnlaces[[#This Row],[Trazabilidad]]</f>
        <v>0</v>
      </c>
    </row>
    <row r="397" spans="2:16" ht="16.5" customHeight="1" x14ac:dyDescent="0.25">
      <c r="B397" s="66" t="str">
        <f t="array" ref="B39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97" s="10" t="e">
        <f>VLOOKUP(tblEnlaces[[#This Row],[Nodo Inicial]],tblNodos[],2,FALSE)</f>
        <v>#N/A</v>
      </c>
      <c r="E397" s="39"/>
      <c r="F397" s="10" t="e">
        <f>VLOOKUP(tblEnlaces[[#This Row],[Nodo Final]],tblNodos[],2,FALSE)</f>
        <v>#N/A</v>
      </c>
      <c r="G397" s="39"/>
      <c r="I397" s="53">
        <f>IFERROR(_xlfn.XLOOKUP(VLOOKUP(tblEnlaces[[#This Row],[Canal]],tblCanales[#All],2,FALSE),tblPesosValorOperativo[Valor],tblPesosValorOperativo[Frecuencia de Uso],0),0)</f>
        <v>0</v>
      </c>
      <c r="J39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97" s="64">
        <f>IFERROR(_xlfn.XLOOKUP(VLOOKUP(tblEnlaces[[#This Row],[Canal]],tblCanales[#All],3,FALSE),tblPesosCoste[Valor],tblPesosCoste[Peso],0),0)</f>
        <v>0</v>
      </c>
      <c r="L397" s="10">
        <f>IFERROR(_xlfn.XLOOKUP(VLOOKUP(tblEnlaces[[#This Row],[Canal]],tblCanales[#All],5,FALSE),tblPesosValorOperativo[Valor],tblPesosValorOperativo[Opacidad],0),0)</f>
        <v>0</v>
      </c>
      <c r="M397" s="14">
        <f>IFERROR(_xlfn.XLOOKUP(VLOOKUP(tblEnlaces[[#This Row],[Canal]],tblCanales[#All],6,FALSE),tblPesosValorOperativo[Valor],tblPesosValorOperativo[Trazabilidad],0),0)</f>
        <v>0</v>
      </c>
      <c r="N397" s="14">
        <f>IFERROR(_xlfn.XLOOKUP(VLOOKUP(tblEnlaces[[#This Row],[Canal]],tblCanales[#All],7,FALSE),tblPesosValorOperativo[Valor],tblPesosValorOperativo[Velocidad],0),0)</f>
        <v>0</v>
      </c>
      <c r="O397" s="14">
        <f>IFERROR(_xlfn.XLOOKUP(VLOOKUP(tblEnlaces[[#This Row],[Canal]],tblCanales[#All],8,FALSE),tblPesosValorOperativo[Valor],tblPesosValorOperativo[Escalabilidad],0),0)</f>
        <v>0</v>
      </c>
      <c r="P397" s="53">
        <f>tblEnlaces[[#This Row],[Opacidad]]+tblEnlaces[[#This Row],[Escalabilidad]]+tblEnlaces[[#This Row],[Velocidad]]+tblEnlaces[[#This Row],[Trazabilidad]]</f>
        <v>0</v>
      </c>
    </row>
    <row r="398" spans="2:16" ht="16.5" customHeight="1" x14ac:dyDescent="0.25">
      <c r="B398" s="66" t="str">
        <f t="array" ref="B39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98" s="10" t="e">
        <f>VLOOKUP(tblEnlaces[[#This Row],[Nodo Inicial]],tblNodos[],2,FALSE)</f>
        <v>#N/A</v>
      </c>
      <c r="E398" s="39"/>
      <c r="F398" s="10" t="e">
        <f>VLOOKUP(tblEnlaces[[#This Row],[Nodo Final]],tblNodos[],2,FALSE)</f>
        <v>#N/A</v>
      </c>
      <c r="G398" s="39"/>
      <c r="I398" s="53">
        <f>IFERROR(_xlfn.XLOOKUP(VLOOKUP(tblEnlaces[[#This Row],[Canal]],tblCanales[#All],2,FALSE),tblPesosValorOperativo[Valor],tblPesosValorOperativo[Frecuencia de Uso],0),0)</f>
        <v>0</v>
      </c>
      <c r="J39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98" s="64">
        <f>IFERROR(_xlfn.XLOOKUP(VLOOKUP(tblEnlaces[[#This Row],[Canal]],tblCanales[#All],3,FALSE),tblPesosCoste[Valor],tblPesosCoste[Peso],0),0)</f>
        <v>0</v>
      </c>
      <c r="L398" s="10">
        <f>IFERROR(_xlfn.XLOOKUP(VLOOKUP(tblEnlaces[[#This Row],[Canal]],tblCanales[#All],5,FALSE),tblPesosValorOperativo[Valor],tblPesosValorOperativo[Opacidad],0),0)</f>
        <v>0</v>
      </c>
      <c r="M398" s="14">
        <f>IFERROR(_xlfn.XLOOKUP(VLOOKUP(tblEnlaces[[#This Row],[Canal]],tblCanales[#All],6,FALSE),tblPesosValorOperativo[Valor],tblPesosValorOperativo[Trazabilidad],0),0)</f>
        <v>0</v>
      </c>
      <c r="N398" s="14">
        <f>IFERROR(_xlfn.XLOOKUP(VLOOKUP(tblEnlaces[[#This Row],[Canal]],tblCanales[#All],7,FALSE),tblPesosValorOperativo[Valor],tblPesosValorOperativo[Velocidad],0),0)</f>
        <v>0</v>
      </c>
      <c r="O398" s="14">
        <f>IFERROR(_xlfn.XLOOKUP(VLOOKUP(tblEnlaces[[#This Row],[Canal]],tblCanales[#All],8,FALSE),tblPesosValorOperativo[Valor],tblPesosValorOperativo[Escalabilidad],0),0)</f>
        <v>0</v>
      </c>
      <c r="P398" s="53">
        <f>tblEnlaces[[#This Row],[Opacidad]]+tblEnlaces[[#This Row],[Escalabilidad]]+tblEnlaces[[#This Row],[Velocidad]]+tblEnlaces[[#This Row],[Trazabilidad]]</f>
        <v>0</v>
      </c>
    </row>
    <row r="399" spans="2:16" ht="16.5" customHeight="1" x14ac:dyDescent="0.25">
      <c r="B399" s="66" t="str">
        <f t="array" ref="B39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399" s="10" t="e">
        <f>VLOOKUP(tblEnlaces[[#This Row],[Nodo Inicial]],tblNodos[],2,FALSE)</f>
        <v>#N/A</v>
      </c>
      <c r="E399" s="39"/>
      <c r="F399" s="10" t="e">
        <f>VLOOKUP(tblEnlaces[[#This Row],[Nodo Final]],tblNodos[],2,FALSE)</f>
        <v>#N/A</v>
      </c>
      <c r="G399" s="39"/>
      <c r="I399" s="53">
        <f>IFERROR(_xlfn.XLOOKUP(VLOOKUP(tblEnlaces[[#This Row],[Canal]],tblCanales[#All],2,FALSE),tblPesosValorOperativo[Valor],tblPesosValorOperativo[Frecuencia de Uso],0),0)</f>
        <v>0</v>
      </c>
      <c r="J39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399" s="64">
        <f>IFERROR(_xlfn.XLOOKUP(VLOOKUP(tblEnlaces[[#This Row],[Canal]],tblCanales[#All],3,FALSE),tblPesosCoste[Valor],tblPesosCoste[Peso],0),0)</f>
        <v>0</v>
      </c>
      <c r="L399" s="10">
        <f>IFERROR(_xlfn.XLOOKUP(VLOOKUP(tblEnlaces[[#This Row],[Canal]],tblCanales[#All],5,FALSE),tblPesosValorOperativo[Valor],tblPesosValorOperativo[Opacidad],0),0)</f>
        <v>0</v>
      </c>
      <c r="M399" s="14">
        <f>IFERROR(_xlfn.XLOOKUP(VLOOKUP(tblEnlaces[[#This Row],[Canal]],tblCanales[#All],6,FALSE),tblPesosValorOperativo[Valor],tblPesosValorOperativo[Trazabilidad],0),0)</f>
        <v>0</v>
      </c>
      <c r="N399" s="14">
        <f>IFERROR(_xlfn.XLOOKUP(VLOOKUP(tblEnlaces[[#This Row],[Canal]],tblCanales[#All],7,FALSE),tblPesosValorOperativo[Valor],tblPesosValorOperativo[Velocidad],0),0)</f>
        <v>0</v>
      </c>
      <c r="O399" s="14">
        <f>IFERROR(_xlfn.XLOOKUP(VLOOKUP(tblEnlaces[[#This Row],[Canal]],tblCanales[#All],8,FALSE),tblPesosValorOperativo[Valor],tblPesosValorOperativo[Escalabilidad],0),0)</f>
        <v>0</v>
      </c>
      <c r="P399" s="53">
        <f>tblEnlaces[[#This Row],[Opacidad]]+tblEnlaces[[#This Row],[Escalabilidad]]+tblEnlaces[[#This Row],[Velocidad]]+tblEnlaces[[#This Row],[Trazabilidad]]</f>
        <v>0</v>
      </c>
    </row>
    <row r="400" spans="2:16" ht="16.5" customHeight="1" x14ac:dyDescent="0.25">
      <c r="B400" s="66" t="str">
        <f t="array" ref="B40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00" s="10" t="e">
        <f>VLOOKUP(tblEnlaces[[#This Row],[Nodo Inicial]],tblNodos[],2,FALSE)</f>
        <v>#N/A</v>
      </c>
      <c r="E400" s="39"/>
      <c r="F400" s="10" t="e">
        <f>VLOOKUP(tblEnlaces[[#This Row],[Nodo Final]],tblNodos[],2,FALSE)</f>
        <v>#N/A</v>
      </c>
      <c r="G400" s="39"/>
      <c r="I400" s="53">
        <f>IFERROR(_xlfn.XLOOKUP(VLOOKUP(tblEnlaces[[#This Row],[Canal]],tblCanales[#All],2,FALSE),tblPesosValorOperativo[Valor],tblPesosValorOperativo[Frecuencia de Uso],0),0)</f>
        <v>0</v>
      </c>
      <c r="J40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00" s="64">
        <f>IFERROR(_xlfn.XLOOKUP(VLOOKUP(tblEnlaces[[#This Row],[Canal]],tblCanales[#All],3,FALSE),tblPesosCoste[Valor],tblPesosCoste[Peso],0),0)</f>
        <v>0</v>
      </c>
      <c r="L400" s="10">
        <f>IFERROR(_xlfn.XLOOKUP(VLOOKUP(tblEnlaces[[#This Row],[Canal]],tblCanales[#All],5,FALSE),tblPesosValorOperativo[Valor],tblPesosValorOperativo[Opacidad],0),0)</f>
        <v>0</v>
      </c>
      <c r="M400" s="14">
        <f>IFERROR(_xlfn.XLOOKUP(VLOOKUP(tblEnlaces[[#This Row],[Canal]],tblCanales[#All],6,FALSE),tblPesosValorOperativo[Valor],tblPesosValorOperativo[Trazabilidad],0),0)</f>
        <v>0</v>
      </c>
      <c r="N400" s="14">
        <f>IFERROR(_xlfn.XLOOKUP(VLOOKUP(tblEnlaces[[#This Row],[Canal]],tblCanales[#All],7,FALSE),tblPesosValorOperativo[Valor],tblPesosValorOperativo[Velocidad],0),0)</f>
        <v>0</v>
      </c>
      <c r="O400" s="14">
        <f>IFERROR(_xlfn.XLOOKUP(VLOOKUP(tblEnlaces[[#This Row],[Canal]],tblCanales[#All],8,FALSE),tblPesosValorOperativo[Valor],tblPesosValorOperativo[Escalabilidad],0),0)</f>
        <v>0</v>
      </c>
      <c r="P400" s="53">
        <f>tblEnlaces[[#This Row],[Opacidad]]+tblEnlaces[[#This Row],[Escalabilidad]]+tblEnlaces[[#This Row],[Velocidad]]+tblEnlaces[[#This Row],[Trazabilidad]]</f>
        <v>0</v>
      </c>
    </row>
    <row r="401" spans="2:16" ht="16.5" customHeight="1" x14ac:dyDescent="0.25">
      <c r="B401" s="66" t="str">
        <f t="array" ref="B40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01" s="10" t="e">
        <f>VLOOKUP(tblEnlaces[[#This Row],[Nodo Inicial]],tblNodos[],2,FALSE)</f>
        <v>#N/A</v>
      </c>
      <c r="E401" s="39"/>
      <c r="F401" s="10" t="e">
        <f>VLOOKUP(tblEnlaces[[#This Row],[Nodo Final]],tblNodos[],2,FALSE)</f>
        <v>#N/A</v>
      </c>
      <c r="G401" s="39"/>
      <c r="I401" s="53">
        <f>IFERROR(_xlfn.XLOOKUP(VLOOKUP(tblEnlaces[[#This Row],[Canal]],tblCanales[#All],2,FALSE),tblPesosValorOperativo[Valor],tblPesosValorOperativo[Frecuencia de Uso],0),0)</f>
        <v>0</v>
      </c>
      <c r="J40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01" s="64">
        <f>IFERROR(_xlfn.XLOOKUP(VLOOKUP(tblEnlaces[[#This Row],[Canal]],tblCanales[#All],3,FALSE),tblPesosCoste[Valor],tblPesosCoste[Peso],0),0)</f>
        <v>0</v>
      </c>
      <c r="L401" s="10">
        <f>IFERROR(_xlfn.XLOOKUP(VLOOKUP(tblEnlaces[[#This Row],[Canal]],tblCanales[#All],5,FALSE),tblPesosValorOperativo[Valor],tblPesosValorOperativo[Opacidad],0),0)</f>
        <v>0</v>
      </c>
      <c r="M401" s="14">
        <f>IFERROR(_xlfn.XLOOKUP(VLOOKUP(tblEnlaces[[#This Row],[Canal]],tblCanales[#All],6,FALSE),tblPesosValorOperativo[Valor],tblPesosValorOperativo[Trazabilidad],0),0)</f>
        <v>0</v>
      </c>
      <c r="N401" s="14">
        <f>IFERROR(_xlfn.XLOOKUP(VLOOKUP(tblEnlaces[[#This Row],[Canal]],tblCanales[#All],7,FALSE),tblPesosValorOperativo[Valor],tblPesosValorOperativo[Velocidad],0),0)</f>
        <v>0</v>
      </c>
      <c r="O401" s="14">
        <f>IFERROR(_xlfn.XLOOKUP(VLOOKUP(tblEnlaces[[#This Row],[Canal]],tblCanales[#All],8,FALSE),tblPesosValorOperativo[Valor],tblPesosValorOperativo[Escalabilidad],0),0)</f>
        <v>0</v>
      </c>
      <c r="P401" s="53">
        <f>tblEnlaces[[#This Row],[Opacidad]]+tblEnlaces[[#This Row],[Escalabilidad]]+tblEnlaces[[#This Row],[Velocidad]]+tblEnlaces[[#This Row],[Trazabilidad]]</f>
        <v>0</v>
      </c>
    </row>
    <row r="402" spans="2:16" ht="16.5" customHeight="1" x14ac:dyDescent="0.25">
      <c r="B402" s="66" t="str">
        <f t="array" ref="B40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02" s="10" t="e">
        <f>VLOOKUP(tblEnlaces[[#This Row],[Nodo Inicial]],tblNodos[],2,FALSE)</f>
        <v>#N/A</v>
      </c>
      <c r="E402" s="39"/>
      <c r="F402" s="10" t="e">
        <f>VLOOKUP(tblEnlaces[[#This Row],[Nodo Final]],tblNodos[],2,FALSE)</f>
        <v>#N/A</v>
      </c>
      <c r="G402" s="39"/>
      <c r="I402" s="53">
        <f>IFERROR(_xlfn.XLOOKUP(VLOOKUP(tblEnlaces[[#This Row],[Canal]],tblCanales[#All],2,FALSE),tblPesosValorOperativo[Valor],tblPesosValorOperativo[Frecuencia de Uso],0),0)</f>
        <v>0</v>
      </c>
      <c r="J40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02" s="64">
        <f>IFERROR(_xlfn.XLOOKUP(VLOOKUP(tblEnlaces[[#This Row],[Canal]],tblCanales[#All],3,FALSE),tblPesosCoste[Valor],tblPesosCoste[Peso],0),0)</f>
        <v>0</v>
      </c>
      <c r="L402" s="10">
        <f>IFERROR(_xlfn.XLOOKUP(VLOOKUP(tblEnlaces[[#This Row],[Canal]],tblCanales[#All],5,FALSE),tblPesosValorOperativo[Valor],tblPesosValorOperativo[Opacidad],0),0)</f>
        <v>0</v>
      </c>
      <c r="M402" s="14">
        <f>IFERROR(_xlfn.XLOOKUP(VLOOKUP(tblEnlaces[[#This Row],[Canal]],tblCanales[#All],6,FALSE),tblPesosValorOperativo[Valor],tblPesosValorOperativo[Trazabilidad],0),0)</f>
        <v>0</v>
      </c>
      <c r="N402" s="14">
        <f>IFERROR(_xlfn.XLOOKUP(VLOOKUP(tblEnlaces[[#This Row],[Canal]],tblCanales[#All],7,FALSE),tblPesosValorOperativo[Valor],tblPesosValorOperativo[Velocidad],0),0)</f>
        <v>0</v>
      </c>
      <c r="O402" s="14">
        <f>IFERROR(_xlfn.XLOOKUP(VLOOKUP(tblEnlaces[[#This Row],[Canal]],tblCanales[#All],8,FALSE),tblPesosValorOperativo[Valor],tblPesosValorOperativo[Escalabilidad],0),0)</f>
        <v>0</v>
      </c>
      <c r="P402" s="53">
        <f>tblEnlaces[[#This Row],[Opacidad]]+tblEnlaces[[#This Row],[Escalabilidad]]+tblEnlaces[[#This Row],[Velocidad]]+tblEnlaces[[#This Row],[Trazabilidad]]</f>
        <v>0</v>
      </c>
    </row>
    <row r="403" spans="2:16" ht="16.5" customHeight="1" x14ac:dyDescent="0.25">
      <c r="B403" s="66" t="str">
        <f t="array" ref="B40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03" s="10" t="e">
        <f>VLOOKUP(tblEnlaces[[#This Row],[Nodo Inicial]],tblNodos[],2,FALSE)</f>
        <v>#N/A</v>
      </c>
      <c r="E403" s="39"/>
      <c r="F403" s="10" t="e">
        <f>VLOOKUP(tblEnlaces[[#This Row],[Nodo Final]],tblNodos[],2,FALSE)</f>
        <v>#N/A</v>
      </c>
      <c r="G403" s="39"/>
      <c r="I403" s="53">
        <f>IFERROR(_xlfn.XLOOKUP(VLOOKUP(tblEnlaces[[#This Row],[Canal]],tblCanales[#All],2,FALSE),tblPesosValorOperativo[Valor],tblPesosValorOperativo[Frecuencia de Uso],0),0)</f>
        <v>0</v>
      </c>
      <c r="J40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03" s="64">
        <f>IFERROR(_xlfn.XLOOKUP(VLOOKUP(tblEnlaces[[#This Row],[Canal]],tblCanales[#All],3,FALSE),tblPesosCoste[Valor],tblPesosCoste[Peso],0),0)</f>
        <v>0</v>
      </c>
      <c r="L403" s="10">
        <f>IFERROR(_xlfn.XLOOKUP(VLOOKUP(tblEnlaces[[#This Row],[Canal]],tblCanales[#All],5,FALSE),tblPesosValorOperativo[Valor],tblPesosValorOperativo[Opacidad],0),0)</f>
        <v>0</v>
      </c>
      <c r="M403" s="14">
        <f>IFERROR(_xlfn.XLOOKUP(VLOOKUP(tblEnlaces[[#This Row],[Canal]],tblCanales[#All],6,FALSE),tblPesosValorOperativo[Valor],tblPesosValorOperativo[Trazabilidad],0),0)</f>
        <v>0</v>
      </c>
      <c r="N403" s="14">
        <f>IFERROR(_xlfn.XLOOKUP(VLOOKUP(tblEnlaces[[#This Row],[Canal]],tblCanales[#All],7,FALSE),tblPesosValorOperativo[Valor],tblPesosValorOperativo[Velocidad],0),0)</f>
        <v>0</v>
      </c>
      <c r="O403" s="14">
        <f>IFERROR(_xlfn.XLOOKUP(VLOOKUP(tblEnlaces[[#This Row],[Canal]],tblCanales[#All],8,FALSE),tblPesosValorOperativo[Valor],tblPesosValorOperativo[Escalabilidad],0),0)</f>
        <v>0</v>
      </c>
      <c r="P403" s="53">
        <f>tblEnlaces[[#This Row],[Opacidad]]+tblEnlaces[[#This Row],[Escalabilidad]]+tblEnlaces[[#This Row],[Velocidad]]+tblEnlaces[[#This Row],[Trazabilidad]]</f>
        <v>0</v>
      </c>
    </row>
    <row r="404" spans="2:16" ht="16.5" customHeight="1" x14ac:dyDescent="0.25">
      <c r="B404" s="66" t="str">
        <f t="array" ref="B40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04" s="10" t="e">
        <f>VLOOKUP(tblEnlaces[[#This Row],[Nodo Inicial]],tblNodos[],2,FALSE)</f>
        <v>#N/A</v>
      </c>
      <c r="E404" s="39"/>
      <c r="F404" s="10" t="e">
        <f>VLOOKUP(tblEnlaces[[#This Row],[Nodo Final]],tblNodos[],2,FALSE)</f>
        <v>#N/A</v>
      </c>
      <c r="G404" s="39"/>
      <c r="I404" s="53">
        <f>IFERROR(_xlfn.XLOOKUP(VLOOKUP(tblEnlaces[[#This Row],[Canal]],tblCanales[#All],2,FALSE),tblPesosValorOperativo[Valor],tblPesosValorOperativo[Frecuencia de Uso],0),0)</f>
        <v>0</v>
      </c>
      <c r="J40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04" s="64">
        <f>IFERROR(_xlfn.XLOOKUP(VLOOKUP(tblEnlaces[[#This Row],[Canal]],tblCanales[#All],3,FALSE),tblPesosCoste[Valor],tblPesosCoste[Peso],0),0)</f>
        <v>0</v>
      </c>
      <c r="L404" s="10">
        <f>IFERROR(_xlfn.XLOOKUP(VLOOKUP(tblEnlaces[[#This Row],[Canal]],tblCanales[#All],5,FALSE),tblPesosValorOperativo[Valor],tblPesosValorOperativo[Opacidad],0),0)</f>
        <v>0</v>
      </c>
      <c r="M404" s="14">
        <f>IFERROR(_xlfn.XLOOKUP(VLOOKUP(tblEnlaces[[#This Row],[Canal]],tblCanales[#All],6,FALSE),tblPesosValorOperativo[Valor],tblPesosValorOperativo[Trazabilidad],0),0)</f>
        <v>0</v>
      </c>
      <c r="N404" s="14">
        <f>IFERROR(_xlfn.XLOOKUP(VLOOKUP(tblEnlaces[[#This Row],[Canal]],tblCanales[#All],7,FALSE),tblPesosValorOperativo[Valor],tblPesosValorOperativo[Velocidad],0),0)</f>
        <v>0</v>
      </c>
      <c r="O404" s="14">
        <f>IFERROR(_xlfn.XLOOKUP(VLOOKUP(tblEnlaces[[#This Row],[Canal]],tblCanales[#All],8,FALSE),tblPesosValorOperativo[Valor],tblPesosValorOperativo[Escalabilidad],0),0)</f>
        <v>0</v>
      </c>
      <c r="P404" s="53">
        <f>tblEnlaces[[#This Row],[Opacidad]]+tblEnlaces[[#This Row],[Escalabilidad]]+tblEnlaces[[#This Row],[Velocidad]]+tblEnlaces[[#This Row],[Trazabilidad]]</f>
        <v>0</v>
      </c>
    </row>
    <row r="405" spans="2:16" ht="16.5" customHeight="1" x14ac:dyDescent="0.25">
      <c r="B405" s="66" t="str">
        <f t="array" ref="B40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05" s="10" t="e">
        <f>VLOOKUP(tblEnlaces[[#This Row],[Nodo Inicial]],tblNodos[],2,FALSE)</f>
        <v>#N/A</v>
      </c>
      <c r="E405" s="39"/>
      <c r="F405" s="10" t="e">
        <f>VLOOKUP(tblEnlaces[[#This Row],[Nodo Final]],tblNodos[],2,FALSE)</f>
        <v>#N/A</v>
      </c>
      <c r="G405" s="39"/>
      <c r="I405" s="53">
        <f>IFERROR(_xlfn.XLOOKUP(VLOOKUP(tblEnlaces[[#This Row],[Canal]],tblCanales[#All],2,FALSE),tblPesosValorOperativo[Valor],tblPesosValorOperativo[Frecuencia de Uso],0),0)</f>
        <v>0</v>
      </c>
      <c r="J40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05" s="64">
        <f>IFERROR(_xlfn.XLOOKUP(VLOOKUP(tblEnlaces[[#This Row],[Canal]],tblCanales[#All],3,FALSE),tblPesosCoste[Valor],tblPesosCoste[Peso],0),0)</f>
        <v>0</v>
      </c>
      <c r="L405" s="10">
        <f>IFERROR(_xlfn.XLOOKUP(VLOOKUP(tblEnlaces[[#This Row],[Canal]],tblCanales[#All],5,FALSE),tblPesosValorOperativo[Valor],tblPesosValorOperativo[Opacidad],0),0)</f>
        <v>0</v>
      </c>
      <c r="M405" s="14">
        <f>IFERROR(_xlfn.XLOOKUP(VLOOKUP(tblEnlaces[[#This Row],[Canal]],tblCanales[#All],6,FALSE),tblPesosValorOperativo[Valor],tblPesosValorOperativo[Trazabilidad],0),0)</f>
        <v>0</v>
      </c>
      <c r="N405" s="14">
        <f>IFERROR(_xlfn.XLOOKUP(VLOOKUP(tblEnlaces[[#This Row],[Canal]],tblCanales[#All],7,FALSE),tblPesosValorOperativo[Valor],tblPesosValorOperativo[Velocidad],0),0)</f>
        <v>0</v>
      </c>
      <c r="O405" s="14">
        <f>IFERROR(_xlfn.XLOOKUP(VLOOKUP(tblEnlaces[[#This Row],[Canal]],tblCanales[#All],8,FALSE),tblPesosValorOperativo[Valor],tblPesosValorOperativo[Escalabilidad],0),0)</f>
        <v>0</v>
      </c>
      <c r="P405" s="53">
        <f>tblEnlaces[[#This Row],[Opacidad]]+tblEnlaces[[#This Row],[Escalabilidad]]+tblEnlaces[[#This Row],[Velocidad]]+tblEnlaces[[#This Row],[Trazabilidad]]</f>
        <v>0</v>
      </c>
    </row>
    <row r="406" spans="2:16" ht="16.5" customHeight="1" x14ac:dyDescent="0.25">
      <c r="B406" s="66" t="str">
        <f t="array" ref="B40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06" s="10" t="e">
        <f>VLOOKUP(tblEnlaces[[#This Row],[Nodo Inicial]],tblNodos[],2,FALSE)</f>
        <v>#N/A</v>
      </c>
      <c r="E406" s="39"/>
      <c r="F406" s="10" t="e">
        <f>VLOOKUP(tblEnlaces[[#This Row],[Nodo Final]],tblNodos[],2,FALSE)</f>
        <v>#N/A</v>
      </c>
      <c r="G406" s="39"/>
      <c r="I406" s="53">
        <f>IFERROR(_xlfn.XLOOKUP(VLOOKUP(tblEnlaces[[#This Row],[Canal]],tblCanales[#All],2,FALSE),tblPesosValorOperativo[Valor],tblPesosValorOperativo[Frecuencia de Uso],0),0)</f>
        <v>0</v>
      </c>
      <c r="J40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06" s="64">
        <f>IFERROR(_xlfn.XLOOKUP(VLOOKUP(tblEnlaces[[#This Row],[Canal]],tblCanales[#All],3,FALSE),tblPesosCoste[Valor],tblPesosCoste[Peso],0),0)</f>
        <v>0</v>
      </c>
      <c r="L406" s="10">
        <f>IFERROR(_xlfn.XLOOKUP(VLOOKUP(tblEnlaces[[#This Row],[Canal]],tblCanales[#All],5,FALSE),tblPesosValorOperativo[Valor],tblPesosValorOperativo[Opacidad],0),0)</f>
        <v>0</v>
      </c>
      <c r="M406" s="14">
        <f>IFERROR(_xlfn.XLOOKUP(VLOOKUP(tblEnlaces[[#This Row],[Canal]],tblCanales[#All],6,FALSE),tblPesosValorOperativo[Valor],tblPesosValorOperativo[Trazabilidad],0),0)</f>
        <v>0</v>
      </c>
      <c r="N406" s="14">
        <f>IFERROR(_xlfn.XLOOKUP(VLOOKUP(tblEnlaces[[#This Row],[Canal]],tblCanales[#All],7,FALSE),tblPesosValorOperativo[Valor],tblPesosValorOperativo[Velocidad],0),0)</f>
        <v>0</v>
      </c>
      <c r="O406" s="14">
        <f>IFERROR(_xlfn.XLOOKUP(VLOOKUP(tblEnlaces[[#This Row],[Canal]],tblCanales[#All],8,FALSE),tblPesosValorOperativo[Valor],tblPesosValorOperativo[Escalabilidad],0),0)</f>
        <v>0</v>
      </c>
      <c r="P406" s="53">
        <f>tblEnlaces[[#This Row],[Opacidad]]+tblEnlaces[[#This Row],[Escalabilidad]]+tblEnlaces[[#This Row],[Velocidad]]+tblEnlaces[[#This Row],[Trazabilidad]]</f>
        <v>0</v>
      </c>
    </row>
    <row r="407" spans="2:16" ht="16.5" customHeight="1" x14ac:dyDescent="0.25">
      <c r="B407" s="66" t="str">
        <f t="array" ref="B40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07" s="10" t="e">
        <f>VLOOKUP(tblEnlaces[[#This Row],[Nodo Inicial]],tblNodos[],2,FALSE)</f>
        <v>#N/A</v>
      </c>
      <c r="E407" s="39"/>
      <c r="F407" s="10" t="e">
        <f>VLOOKUP(tblEnlaces[[#This Row],[Nodo Final]],tblNodos[],2,FALSE)</f>
        <v>#N/A</v>
      </c>
      <c r="G407" s="39"/>
      <c r="I407" s="53">
        <f>IFERROR(_xlfn.XLOOKUP(VLOOKUP(tblEnlaces[[#This Row],[Canal]],tblCanales[#All],2,FALSE),tblPesosValorOperativo[Valor],tblPesosValorOperativo[Frecuencia de Uso],0),0)</f>
        <v>0</v>
      </c>
      <c r="J40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07" s="64">
        <f>IFERROR(_xlfn.XLOOKUP(VLOOKUP(tblEnlaces[[#This Row],[Canal]],tblCanales[#All],3,FALSE),tblPesosCoste[Valor],tblPesosCoste[Peso],0),0)</f>
        <v>0</v>
      </c>
      <c r="L407" s="10">
        <f>IFERROR(_xlfn.XLOOKUP(VLOOKUP(tblEnlaces[[#This Row],[Canal]],tblCanales[#All],5,FALSE),tblPesosValorOperativo[Valor],tblPesosValorOperativo[Opacidad],0),0)</f>
        <v>0</v>
      </c>
      <c r="M407" s="14">
        <f>IFERROR(_xlfn.XLOOKUP(VLOOKUP(tblEnlaces[[#This Row],[Canal]],tblCanales[#All],6,FALSE),tblPesosValorOperativo[Valor],tblPesosValorOperativo[Trazabilidad],0),0)</f>
        <v>0</v>
      </c>
      <c r="N407" s="14">
        <f>IFERROR(_xlfn.XLOOKUP(VLOOKUP(tblEnlaces[[#This Row],[Canal]],tblCanales[#All],7,FALSE),tblPesosValorOperativo[Valor],tblPesosValorOperativo[Velocidad],0),0)</f>
        <v>0</v>
      </c>
      <c r="O407" s="14">
        <f>IFERROR(_xlfn.XLOOKUP(VLOOKUP(tblEnlaces[[#This Row],[Canal]],tblCanales[#All],8,FALSE),tblPesosValorOperativo[Valor],tblPesosValorOperativo[Escalabilidad],0),0)</f>
        <v>0</v>
      </c>
      <c r="P407" s="53">
        <f>tblEnlaces[[#This Row],[Opacidad]]+tblEnlaces[[#This Row],[Escalabilidad]]+tblEnlaces[[#This Row],[Velocidad]]+tblEnlaces[[#This Row],[Trazabilidad]]</f>
        <v>0</v>
      </c>
    </row>
    <row r="408" spans="2:16" ht="16.5" customHeight="1" x14ac:dyDescent="0.25">
      <c r="B408" s="66" t="str">
        <f t="array" ref="B40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08" s="10" t="e">
        <f>VLOOKUP(tblEnlaces[[#This Row],[Nodo Inicial]],tblNodos[],2,FALSE)</f>
        <v>#N/A</v>
      </c>
      <c r="E408" s="39"/>
      <c r="F408" s="10" t="e">
        <f>VLOOKUP(tblEnlaces[[#This Row],[Nodo Final]],tblNodos[],2,FALSE)</f>
        <v>#N/A</v>
      </c>
      <c r="G408" s="39"/>
      <c r="I408" s="53">
        <f>IFERROR(_xlfn.XLOOKUP(VLOOKUP(tblEnlaces[[#This Row],[Canal]],tblCanales[#All],2,FALSE),tblPesosValorOperativo[Valor],tblPesosValorOperativo[Frecuencia de Uso],0),0)</f>
        <v>0</v>
      </c>
      <c r="J40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08" s="64">
        <f>IFERROR(_xlfn.XLOOKUP(VLOOKUP(tblEnlaces[[#This Row],[Canal]],tblCanales[#All],3,FALSE),tblPesosCoste[Valor],tblPesosCoste[Peso],0),0)</f>
        <v>0</v>
      </c>
      <c r="L408" s="10">
        <f>IFERROR(_xlfn.XLOOKUP(VLOOKUP(tblEnlaces[[#This Row],[Canal]],tblCanales[#All],5,FALSE),tblPesosValorOperativo[Valor],tblPesosValorOperativo[Opacidad],0),0)</f>
        <v>0</v>
      </c>
      <c r="M408" s="14">
        <f>IFERROR(_xlfn.XLOOKUP(VLOOKUP(tblEnlaces[[#This Row],[Canal]],tblCanales[#All],6,FALSE),tblPesosValorOperativo[Valor],tblPesosValorOperativo[Trazabilidad],0),0)</f>
        <v>0</v>
      </c>
      <c r="N408" s="14">
        <f>IFERROR(_xlfn.XLOOKUP(VLOOKUP(tblEnlaces[[#This Row],[Canal]],tblCanales[#All],7,FALSE),tblPesosValorOperativo[Valor],tblPesosValorOperativo[Velocidad],0),0)</f>
        <v>0</v>
      </c>
      <c r="O408" s="14">
        <f>IFERROR(_xlfn.XLOOKUP(VLOOKUP(tblEnlaces[[#This Row],[Canal]],tblCanales[#All],8,FALSE),tblPesosValorOperativo[Valor],tblPesosValorOperativo[Escalabilidad],0),0)</f>
        <v>0</v>
      </c>
      <c r="P408" s="53">
        <f>tblEnlaces[[#This Row],[Opacidad]]+tblEnlaces[[#This Row],[Escalabilidad]]+tblEnlaces[[#This Row],[Velocidad]]+tblEnlaces[[#This Row],[Trazabilidad]]</f>
        <v>0</v>
      </c>
    </row>
    <row r="409" spans="2:16" ht="16.5" customHeight="1" x14ac:dyDescent="0.25">
      <c r="B409" s="66" t="str">
        <f t="array" ref="B40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09" s="10" t="e">
        <f>VLOOKUP(tblEnlaces[[#This Row],[Nodo Inicial]],tblNodos[],2,FALSE)</f>
        <v>#N/A</v>
      </c>
      <c r="E409" s="39"/>
      <c r="F409" s="10" t="e">
        <f>VLOOKUP(tblEnlaces[[#This Row],[Nodo Final]],tblNodos[],2,FALSE)</f>
        <v>#N/A</v>
      </c>
      <c r="G409" s="39"/>
      <c r="I409" s="53">
        <f>IFERROR(_xlfn.XLOOKUP(VLOOKUP(tblEnlaces[[#This Row],[Canal]],tblCanales[#All],2,FALSE),tblPesosValorOperativo[Valor],tblPesosValorOperativo[Frecuencia de Uso],0),0)</f>
        <v>0</v>
      </c>
      <c r="J40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09" s="64">
        <f>IFERROR(_xlfn.XLOOKUP(VLOOKUP(tblEnlaces[[#This Row],[Canal]],tblCanales[#All],3,FALSE),tblPesosCoste[Valor],tblPesosCoste[Peso],0),0)</f>
        <v>0</v>
      </c>
      <c r="L409" s="10">
        <f>IFERROR(_xlfn.XLOOKUP(VLOOKUP(tblEnlaces[[#This Row],[Canal]],tblCanales[#All],5,FALSE),tblPesosValorOperativo[Valor],tblPesosValorOperativo[Opacidad],0),0)</f>
        <v>0</v>
      </c>
      <c r="M409" s="14">
        <f>IFERROR(_xlfn.XLOOKUP(VLOOKUP(tblEnlaces[[#This Row],[Canal]],tblCanales[#All],6,FALSE),tblPesosValorOperativo[Valor],tblPesosValorOperativo[Trazabilidad],0),0)</f>
        <v>0</v>
      </c>
      <c r="N409" s="14">
        <f>IFERROR(_xlfn.XLOOKUP(VLOOKUP(tblEnlaces[[#This Row],[Canal]],tblCanales[#All],7,FALSE),tblPesosValorOperativo[Valor],tblPesosValorOperativo[Velocidad],0),0)</f>
        <v>0</v>
      </c>
      <c r="O409" s="14">
        <f>IFERROR(_xlfn.XLOOKUP(VLOOKUP(tblEnlaces[[#This Row],[Canal]],tblCanales[#All],8,FALSE),tblPesosValorOperativo[Valor],tblPesosValorOperativo[Escalabilidad],0),0)</f>
        <v>0</v>
      </c>
      <c r="P409" s="53">
        <f>tblEnlaces[[#This Row],[Opacidad]]+tblEnlaces[[#This Row],[Escalabilidad]]+tblEnlaces[[#This Row],[Velocidad]]+tblEnlaces[[#This Row],[Trazabilidad]]</f>
        <v>0</v>
      </c>
    </row>
    <row r="410" spans="2:16" ht="16.5" customHeight="1" x14ac:dyDescent="0.25">
      <c r="B410" s="66" t="str">
        <f t="array" ref="B41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10" s="10" t="e">
        <f>VLOOKUP(tblEnlaces[[#This Row],[Nodo Inicial]],tblNodos[],2,FALSE)</f>
        <v>#N/A</v>
      </c>
      <c r="E410" s="39"/>
      <c r="F410" s="10" t="e">
        <f>VLOOKUP(tblEnlaces[[#This Row],[Nodo Final]],tblNodos[],2,FALSE)</f>
        <v>#N/A</v>
      </c>
      <c r="G410" s="39"/>
      <c r="I410" s="53">
        <f>IFERROR(_xlfn.XLOOKUP(VLOOKUP(tblEnlaces[[#This Row],[Canal]],tblCanales[#All],2,FALSE),tblPesosValorOperativo[Valor],tblPesosValorOperativo[Frecuencia de Uso],0),0)</f>
        <v>0</v>
      </c>
      <c r="J41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10" s="64">
        <f>IFERROR(_xlfn.XLOOKUP(VLOOKUP(tblEnlaces[[#This Row],[Canal]],tblCanales[#All],3,FALSE),tblPesosCoste[Valor],tblPesosCoste[Peso],0),0)</f>
        <v>0</v>
      </c>
      <c r="L410" s="10">
        <f>IFERROR(_xlfn.XLOOKUP(VLOOKUP(tblEnlaces[[#This Row],[Canal]],tblCanales[#All],5,FALSE),tblPesosValorOperativo[Valor],tblPesosValorOperativo[Opacidad],0),0)</f>
        <v>0</v>
      </c>
      <c r="M410" s="14">
        <f>IFERROR(_xlfn.XLOOKUP(VLOOKUP(tblEnlaces[[#This Row],[Canal]],tblCanales[#All],6,FALSE),tblPesosValorOperativo[Valor],tblPesosValorOperativo[Trazabilidad],0),0)</f>
        <v>0</v>
      </c>
      <c r="N410" s="14">
        <f>IFERROR(_xlfn.XLOOKUP(VLOOKUP(tblEnlaces[[#This Row],[Canal]],tblCanales[#All],7,FALSE),tblPesosValorOperativo[Valor],tblPesosValorOperativo[Velocidad],0),0)</f>
        <v>0</v>
      </c>
      <c r="O410" s="14">
        <f>IFERROR(_xlfn.XLOOKUP(VLOOKUP(tblEnlaces[[#This Row],[Canal]],tblCanales[#All],8,FALSE),tblPesosValorOperativo[Valor],tblPesosValorOperativo[Escalabilidad],0),0)</f>
        <v>0</v>
      </c>
      <c r="P410" s="53">
        <f>tblEnlaces[[#This Row],[Opacidad]]+tblEnlaces[[#This Row],[Escalabilidad]]+tblEnlaces[[#This Row],[Velocidad]]+tblEnlaces[[#This Row],[Trazabilidad]]</f>
        <v>0</v>
      </c>
    </row>
    <row r="411" spans="2:16" ht="16.5" customHeight="1" x14ac:dyDescent="0.25">
      <c r="B411" s="66" t="str">
        <f t="array" ref="B41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11" s="10" t="e">
        <f>VLOOKUP(tblEnlaces[[#This Row],[Nodo Inicial]],tblNodos[],2,FALSE)</f>
        <v>#N/A</v>
      </c>
      <c r="E411" s="39"/>
      <c r="F411" s="10" t="e">
        <f>VLOOKUP(tblEnlaces[[#This Row],[Nodo Final]],tblNodos[],2,FALSE)</f>
        <v>#N/A</v>
      </c>
      <c r="G411" s="39"/>
      <c r="I411" s="53">
        <f>IFERROR(_xlfn.XLOOKUP(VLOOKUP(tblEnlaces[[#This Row],[Canal]],tblCanales[#All],2,FALSE),tblPesosValorOperativo[Valor],tblPesosValorOperativo[Frecuencia de Uso],0),0)</f>
        <v>0</v>
      </c>
      <c r="J41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11" s="64">
        <f>IFERROR(_xlfn.XLOOKUP(VLOOKUP(tblEnlaces[[#This Row],[Canal]],tblCanales[#All],3,FALSE),tblPesosCoste[Valor],tblPesosCoste[Peso],0),0)</f>
        <v>0</v>
      </c>
      <c r="L411" s="10">
        <f>IFERROR(_xlfn.XLOOKUP(VLOOKUP(tblEnlaces[[#This Row],[Canal]],tblCanales[#All],5,FALSE),tblPesosValorOperativo[Valor],tblPesosValorOperativo[Opacidad],0),0)</f>
        <v>0</v>
      </c>
      <c r="M411" s="14">
        <f>IFERROR(_xlfn.XLOOKUP(VLOOKUP(tblEnlaces[[#This Row],[Canal]],tblCanales[#All],6,FALSE),tblPesosValorOperativo[Valor],tblPesosValorOperativo[Trazabilidad],0),0)</f>
        <v>0</v>
      </c>
      <c r="N411" s="14">
        <f>IFERROR(_xlfn.XLOOKUP(VLOOKUP(tblEnlaces[[#This Row],[Canal]],tblCanales[#All],7,FALSE),tblPesosValorOperativo[Valor],tblPesosValorOperativo[Velocidad],0),0)</f>
        <v>0</v>
      </c>
      <c r="O411" s="14">
        <f>IFERROR(_xlfn.XLOOKUP(VLOOKUP(tblEnlaces[[#This Row],[Canal]],tblCanales[#All],8,FALSE),tblPesosValorOperativo[Valor],tblPesosValorOperativo[Escalabilidad],0),0)</f>
        <v>0</v>
      </c>
      <c r="P411" s="53">
        <f>tblEnlaces[[#This Row],[Opacidad]]+tblEnlaces[[#This Row],[Escalabilidad]]+tblEnlaces[[#This Row],[Velocidad]]+tblEnlaces[[#This Row],[Trazabilidad]]</f>
        <v>0</v>
      </c>
    </row>
    <row r="412" spans="2:16" ht="16.5" customHeight="1" x14ac:dyDescent="0.25">
      <c r="B412" s="66" t="str">
        <f t="array" ref="B41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12" s="10" t="e">
        <f>VLOOKUP(tblEnlaces[[#This Row],[Nodo Inicial]],tblNodos[],2,FALSE)</f>
        <v>#N/A</v>
      </c>
      <c r="E412" s="39"/>
      <c r="F412" s="10" t="e">
        <f>VLOOKUP(tblEnlaces[[#This Row],[Nodo Final]],tblNodos[],2,FALSE)</f>
        <v>#N/A</v>
      </c>
      <c r="G412" s="39"/>
      <c r="I412" s="53">
        <f>IFERROR(_xlfn.XLOOKUP(VLOOKUP(tblEnlaces[[#This Row],[Canal]],tblCanales[#All],2,FALSE),tblPesosValorOperativo[Valor],tblPesosValorOperativo[Frecuencia de Uso],0),0)</f>
        <v>0</v>
      </c>
      <c r="J41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12" s="64">
        <f>IFERROR(_xlfn.XLOOKUP(VLOOKUP(tblEnlaces[[#This Row],[Canal]],tblCanales[#All],3,FALSE),tblPesosCoste[Valor],tblPesosCoste[Peso],0),0)</f>
        <v>0</v>
      </c>
      <c r="L412" s="10">
        <f>IFERROR(_xlfn.XLOOKUP(VLOOKUP(tblEnlaces[[#This Row],[Canal]],tblCanales[#All],5,FALSE),tblPesosValorOperativo[Valor],tblPesosValorOperativo[Opacidad],0),0)</f>
        <v>0</v>
      </c>
      <c r="M412" s="14">
        <f>IFERROR(_xlfn.XLOOKUP(VLOOKUP(tblEnlaces[[#This Row],[Canal]],tblCanales[#All],6,FALSE),tblPesosValorOperativo[Valor],tblPesosValorOperativo[Trazabilidad],0),0)</f>
        <v>0</v>
      </c>
      <c r="N412" s="14">
        <f>IFERROR(_xlfn.XLOOKUP(VLOOKUP(tblEnlaces[[#This Row],[Canal]],tblCanales[#All],7,FALSE),tblPesosValorOperativo[Valor],tblPesosValorOperativo[Velocidad],0),0)</f>
        <v>0</v>
      </c>
      <c r="O412" s="14">
        <f>IFERROR(_xlfn.XLOOKUP(VLOOKUP(tblEnlaces[[#This Row],[Canal]],tblCanales[#All],8,FALSE),tblPesosValorOperativo[Valor],tblPesosValorOperativo[Escalabilidad],0),0)</f>
        <v>0</v>
      </c>
      <c r="P412" s="53">
        <f>tblEnlaces[[#This Row],[Opacidad]]+tblEnlaces[[#This Row],[Escalabilidad]]+tblEnlaces[[#This Row],[Velocidad]]+tblEnlaces[[#This Row],[Trazabilidad]]</f>
        <v>0</v>
      </c>
    </row>
    <row r="413" spans="2:16" ht="16.5" customHeight="1" x14ac:dyDescent="0.25">
      <c r="B413" s="66" t="str">
        <f t="array" ref="B41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13" s="10" t="e">
        <f>VLOOKUP(tblEnlaces[[#This Row],[Nodo Inicial]],tblNodos[],2,FALSE)</f>
        <v>#N/A</v>
      </c>
      <c r="E413" s="39"/>
      <c r="F413" s="10" t="e">
        <f>VLOOKUP(tblEnlaces[[#This Row],[Nodo Final]],tblNodos[],2,FALSE)</f>
        <v>#N/A</v>
      </c>
      <c r="G413" s="39"/>
      <c r="I413" s="53">
        <f>IFERROR(_xlfn.XLOOKUP(VLOOKUP(tblEnlaces[[#This Row],[Canal]],tblCanales[#All],2,FALSE),tblPesosValorOperativo[Valor],tblPesosValorOperativo[Frecuencia de Uso],0),0)</f>
        <v>0</v>
      </c>
      <c r="J41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13" s="64">
        <f>IFERROR(_xlfn.XLOOKUP(VLOOKUP(tblEnlaces[[#This Row],[Canal]],tblCanales[#All],3,FALSE),tblPesosCoste[Valor],tblPesosCoste[Peso],0),0)</f>
        <v>0</v>
      </c>
      <c r="L413" s="10">
        <f>IFERROR(_xlfn.XLOOKUP(VLOOKUP(tblEnlaces[[#This Row],[Canal]],tblCanales[#All],5,FALSE),tblPesosValorOperativo[Valor],tblPesosValorOperativo[Opacidad],0),0)</f>
        <v>0</v>
      </c>
      <c r="M413" s="14">
        <f>IFERROR(_xlfn.XLOOKUP(VLOOKUP(tblEnlaces[[#This Row],[Canal]],tblCanales[#All],6,FALSE),tblPesosValorOperativo[Valor],tblPesosValorOperativo[Trazabilidad],0),0)</f>
        <v>0</v>
      </c>
      <c r="N413" s="14">
        <f>IFERROR(_xlfn.XLOOKUP(VLOOKUP(tblEnlaces[[#This Row],[Canal]],tblCanales[#All],7,FALSE),tblPesosValorOperativo[Valor],tblPesosValorOperativo[Velocidad],0),0)</f>
        <v>0</v>
      </c>
      <c r="O413" s="14">
        <f>IFERROR(_xlfn.XLOOKUP(VLOOKUP(tblEnlaces[[#This Row],[Canal]],tblCanales[#All],8,FALSE),tblPesosValorOperativo[Valor],tblPesosValorOperativo[Escalabilidad],0),0)</f>
        <v>0</v>
      </c>
      <c r="P413" s="53">
        <f>tblEnlaces[[#This Row],[Opacidad]]+tblEnlaces[[#This Row],[Escalabilidad]]+tblEnlaces[[#This Row],[Velocidad]]+tblEnlaces[[#This Row],[Trazabilidad]]</f>
        <v>0</v>
      </c>
    </row>
    <row r="414" spans="2:16" ht="16.5" customHeight="1" x14ac:dyDescent="0.25">
      <c r="B414" s="66" t="str">
        <f t="array" ref="B41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14" s="10" t="e">
        <f>VLOOKUP(tblEnlaces[[#This Row],[Nodo Inicial]],tblNodos[],2,FALSE)</f>
        <v>#N/A</v>
      </c>
      <c r="E414" s="39"/>
      <c r="F414" s="10" t="e">
        <f>VLOOKUP(tblEnlaces[[#This Row],[Nodo Final]],tblNodos[],2,FALSE)</f>
        <v>#N/A</v>
      </c>
      <c r="G414" s="39"/>
      <c r="I414" s="53">
        <f>IFERROR(_xlfn.XLOOKUP(VLOOKUP(tblEnlaces[[#This Row],[Canal]],tblCanales[#All],2,FALSE),tblPesosValorOperativo[Valor],tblPesosValorOperativo[Frecuencia de Uso],0),0)</f>
        <v>0</v>
      </c>
      <c r="J41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14" s="64">
        <f>IFERROR(_xlfn.XLOOKUP(VLOOKUP(tblEnlaces[[#This Row],[Canal]],tblCanales[#All],3,FALSE),tblPesosCoste[Valor],tblPesosCoste[Peso],0),0)</f>
        <v>0</v>
      </c>
      <c r="L414" s="10">
        <f>IFERROR(_xlfn.XLOOKUP(VLOOKUP(tblEnlaces[[#This Row],[Canal]],tblCanales[#All],5,FALSE),tblPesosValorOperativo[Valor],tblPesosValorOperativo[Opacidad],0),0)</f>
        <v>0</v>
      </c>
      <c r="M414" s="14">
        <f>IFERROR(_xlfn.XLOOKUP(VLOOKUP(tblEnlaces[[#This Row],[Canal]],tblCanales[#All],6,FALSE),tblPesosValorOperativo[Valor],tblPesosValorOperativo[Trazabilidad],0),0)</f>
        <v>0</v>
      </c>
      <c r="N414" s="14">
        <f>IFERROR(_xlfn.XLOOKUP(VLOOKUP(tblEnlaces[[#This Row],[Canal]],tblCanales[#All],7,FALSE),tblPesosValorOperativo[Valor],tblPesosValorOperativo[Velocidad],0),0)</f>
        <v>0</v>
      </c>
      <c r="O414" s="14">
        <f>IFERROR(_xlfn.XLOOKUP(VLOOKUP(tblEnlaces[[#This Row],[Canal]],tblCanales[#All],8,FALSE),tblPesosValorOperativo[Valor],tblPesosValorOperativo[Escalabilidad],0),0)</f>
        <v>0</v>
      </c>
      <c r="P414" s="53">
        <f>tblEnlaces[[#This Row],[Opacidad]]+tblEnlaces[[#This Row],[Escalabilidad]]+tblEnlaces[[#This Row],[Velocidad]]+tblEnlaces[[#This Row],[Trazabilidad]]</f>
        <v>0</v>
      </c>
    </row>
    <row r="415" spans="2:16" ht="16.5" customHeight="1" x14ac:dyDescent="0.25">
      <c r="B415" s="66" t="str">
        <f t="array" ref="B41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15" s="10" t="e">
        <f>VLOOKUP(tblEnlaces[[#This Row],[Nodo Inicial]],tblNodos[],2,FALSE)</f>
        <v>#N/A</v>
      </c>
      <c r="E415" s="39"/>
      <c r="F415" s="10" t="e">
        <f>VLOOKUP(tblEnlaces[[#This Row],[Nodo Final]],tblNodos[],2,FALSE)</f>
        <v>#N/A</v>
      </c>
      <c r="G415" s="39"/>
      <c r="I415" s="53">
        <f>IFERROR(_xlfn.XLOOKUP(VLOOKUP(tblEnlaces[[#This Row],[Canal]],tblCanales[#All],2,FALSE),tblPesosValorOperativo[Valor],tblPesosValorOperativo[Frecuencia de Uso],0),0)</f>
        <v>0</v>
      </c>
      <c r="J41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15" s="64">
        <f>IFERROR(_xlfn.XLOOKUP(VLOOKUP(tblEnlaces[[#This Row],[Canal]],tblCanales[#All],3,FALSE),tblPesosCoste[Valor],tblPesosCoste[Peso],0),0)</f>
        <v>0</v>
      </c>
      <c r="L415" s="10">
        <f>IFERROR(_xlfn.XLOOKUP(VLOOKUP(tblEnlaces[[#This Row],[Canal]],tblCanales[#All],5,FALSE),tblPesosValorOperativo[Valor],tblPesosValorOperativo[Opacidad],0),0)</f>
        <v>0</v>
      </c>
      <c r="M415" s="14">
        <f>IFERROR(_xlfn.XLOOKUP(VLOOKUP(tblEnlaces[[#This Row],[Canal]],tblCanales[#All],6,FALSE),tblPesosValorOperativo[Valor],tblPesosValorOperativo[Trazabilidad],0),0)</f>
        <v>0</v>
      </c>
      <c r="N415" s="14">
        <f>IFERROR(_xlfn.XLOOKUP(VLOOKUP(tblEnlaces[[#This Row],[Canal]],tblCanales[#All],7,FALSE),tblPesosValorOperativo[Valor],tblPesosValorOperativo[Velocidad],0),0)</f>
        <v>0</v>
      </c>
      <c r="O415" s="14">
        <f>IFERROR(_xlfn.XLOOKUP(VLOOKUP(tblEnlaces[[#This Row],[Canal]],tblCanales[#All],8,FALSE),tblPesosValorOperativo[Valor],tblPesosValorOperativo[Escalabilidad],0),0)</f>
        <v>0</v>
      </c>
      <c r="P415" s="53">
        <f>tblEnlaces[[#This Row],[Opacidad]]+tblEnlaces[[#This Row],[Escalabilidad]]+tblEnlaces[[#This Row],[Velocidad]]+tblEnlaces[[#This Row],[Trazabilidad]]</f>
        <v>0</v>
      </c>
    </row>
    <row r="416" spans="2:16" ht="16.5" customHeight="1" x14ac:dyDescent="0.25">
      <c r="B416" s="66" t="str">
        <f t="array" ref="B41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16" s="10" t="e">
        <f>VLOOKUP(tblEnlaces[[#This Row],[Nodo Inicial]],tblNodos[],2,FALSE)</f>
        <v>#N/A</v>
      </c>
      <c r="E416" s="39"/>
      <c r="F416" s="10" t="e">
        <f>VLOOKUP(tblEnlaces[[#This Row],[Nodo Final]],tblNodos[],2,FALSE)</f>
        <v>#N/A</v>
      </c>
      <c r="G416" s="39"/>
      <c r="I416" s="53">
        <f>IFERROR(_xlfn.XLOOKUP(VLOOKUP(tblEnlaces[[#This Row],[Canal]],tblCanales[#All],2,FALSE),tblPesosValorOperativo[Valor],tblPesosValorOperativo[Frecuencia de Uso],0),0)</f>
        <v>0</v>
      </c>
      <c r="J41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16" s="64">
        <f>IFERROR(_xlfn.XLOOKUP(VLOOKUP(tblEnlaces[[#This Row],[Canal]],tblCanales[#All],3,FALSE),tblPesosCoste[Valor],tblPesosCoste[Peso],0),0)</f>
        <v>0</v>
      </c>
      <c r="L416" s="10">
        <f>IFERROR(_xlfn.XLOOKUP(VLOOKUP(tblEnlaces[[#This Row],[Canal]],tblCanales[#All],5,FALSE),tblPesosValorOperativo[Valor],tblPesosValorOperativo[Opacidad],0),0)</f>
        <v>0</v>
      </c>
      <c r="M416" s="14">
        <f>IFERROR(_xlfn.XLOOKUP(VLOOKUP(tblEnlaces[[#This Row],[Canal]],tblCanales[#All],6,FALSE),tblPesosValorOperativo[Valor],tblPesosValorOperativo[Trazabilidad],0),0)</f>
        <v>0</v>
      </c>
      <c r="N416" s="14">
        <f>IFERROR(_xlfn.XLOOKUP(VLOOKUP(tblEnlaces[[#This Row],[Canal]],tblCanales[#All],7,FALSE),tblPesosValorOperativo[Valor],tblPesosValorOperativo[Velocidad],0),0)</f>
        <v>0</v>
      </c>
      <c r="O416" s="14">
        <f>IFERROR(_xlfn.XLOOKUP(VLOOKUP(tblEnlaces[[#This Row],[Canal]],tblCanales[#All],8,FALSE),tblPesosValorOperativo[Valor],tblPesosValorOperativo[Escalabilidad],0),0)</f>
        <v>0</v>
      </c>
      <c r="P416" s="53">
        <f>tblEnlaces[[#This Row],[Opacidad]]+tblEnlaces[[#This Row],[Escalabilidad]]+tblEnlaces[[#This Row],[Velocidad]]+tblEnlaces[[#This Row],[Trazabilidad]]</f>
        <v>0</v>
      </c>
    </row>
    <row r="417" spans="2:16" ht="16.5" customHeight="1" x14ac:dyDescent="0.25">
      <c r="B417" s="66" t="str">
        <f t="array" ref="B41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17" s="10" t="e">
        <f>VLOOKUP(tblEnlaces[[#This Row],[Nodo Inicial]],tblNodos[],2,FALSE)</f>
        <v>#N/A</v>
      </c>
      <c r="E417" s="39"/>
      <c r="F417" s="10" t="e">
        <f>VLOOKUP(tblEnlaces[[#This Row],[Nodo Final]],tblNodos[],2,FALSE)</f>
        <v>#N/A</v>
      </c>
      <c r="G417" s="39"/>
      <c r="I417" s="53">
        <f>IFERROR(_xlfn.XLOOKUP(VLOOKUP(tblEnlaces[[#This Row],[Canal]],tblCanales[#All],2,FALSE),tblPesosValorOperativo[Valor],tblPesosValorOperativo[Frecuencia de Uso],0),0)</f>
        <v>0</v>
      </c>
      <c r="J41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17" s="64">
        <f>IFERROR(_xlfn.XLOOKUP(VLOOKUP(tblEnlaces[[#This Row],[Canal]],tblCanales[#All],3,FALSE),tblPesosCoste[Valor],tblPesosCoste[Peso],0),0)</f>
        <v>0</v>
      </c>
      <c r="L417" s="10">
        <f>IFERROR(_xlfn.XLOOKUP(VLOOKUP(tblEnlaces[[#This Row],[Canal]],tblCanales[#All],5,FALSE),tblPesosValorOperativo[Valor],tblPesosValorOperativo[Opacidad],0),0)</f>
        <v>0</v>
      </c>
      <c r="M417" s="14">
        <f>IFERROR(_xlfn.XLOOKUP(VLOOKUP(tblEnlaces[[#This Row],[Canal]],tblCanales[#All],6,FALSE),tblPesosValorOperativo[Valor],tblPesosValorOperativo[Trazabilidad],0),0)</f>
        <v>0</v>
      </c>
      <c r="N417" s="14">
        <f>IFERROR(_xlfn.XLOOKUP(VLOOKUP(tblEnlaces[[#This Row],[Canal]],tblCanales[#All],7,FALSE),tblPesosValorOperativo[Valor],tblPesosValorOperativo[Velocidad],0),0)</f>
        <v>0</v>
      </c>
      <c r="O417" s="14">
        <f>IFERROR(_xlfn.XLOOKUP(VLOOKUP(tblEnlaces[[#This Row],[Canal]],tblCanales[#All],8,FALSE),tblPesosValorOperativo[Valor],tblPesosValorOperativo[Escalabilidad],0),0)</f>
        <v>0</v>
      </c>
      <c r="P417" s="53">
        <f>tblEnlaces[[#This Row],[Opacidad]]+tblEnlaces[[#This Row],[Escalabilidad]]+tblEnlaces[[#This Row],[Velocidad]]+tblEnlaces[[#This Row],[Trazabilidad]]</f>
        <v>0</v>
      </c>
    </row>
    <row r="418" spans="2:16" ht="16.5" customHeight="1" x14ac:dyDescent="0.25">
      <c r="B418" s="66" t="str">
        <f t="array" ref="B41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18" s="10" t="e">
        <f>VLOOKUP(tblEnlaces[[#This Row],[Nodo Inicial]],tblNodos[],2,FALSE)</f>
        <v>#N/A</v>
      </c>
      <c r="E418" s="39"/>
      <c r="F418" s="10" t="e">
        <f>VLOOKUP(tblEnlaces[[#This Row],[Nodo Final]],tblNodos[],2,FALSE)</f>
        <v>#N/A</v>
      </c>
      <c r="G418" s="39"/>
      <c r="I418" s="53">
        <f>IFERROR(_xlfn.XLOOKUP(VLOOKUP(tblEnlaces[[#This Row],[Canal]],tblCanales[#All],2,FALSE),tblPesosValorOperativo[Valor],tblPesosValorOperativo[Frecuencia de Uso],0),0)</f>
        <v>0</v>
      </c>
      <c r="J41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18" s="64">
        <f>IFERROR(_xlfn.XLOOKUP(VLOOKUP(tblEnlaces[[#This Row],[Canal]],tblCanales[#All],3,FALSE),tblPesosCoste[Valor],tblPesosCoste[Peso],0),0)</f>
        <v>0</v>
      </c>
      <c r="L418" s="10">
        <f>IFERROR(_xlfn.XLOOKUP(VLOOKUP(tblEnlaces[[#This Row],[Canal]],tblCanales[#All],5,FALSE),tblPesosValorOperativo[Valor],tblPesosValorOperativo[Opacidad],0),0)</f>
        <v>0</v>
      </c>
      <c r="M418" s="14">
        <f>IFERROR(_xlfn.XLOOKUP(VLOOKUP(tblEnlaces[[#This Row],[Canal]],tblCanales[#All],6,FALSE),tblPesosValorOperativo[Valor],tblPesosValorOperativo[Trazabilidad],0),0)</f>
        <v>0</v>
      </c>
      <c r="N418" s="14">
        <f>IFERROR(_xlfn.XLOOKUP(VLOOKUP(tblEnlaces[[#This Row],[Canal]],tblCanales[#All],7,FALSE),tblPesosValorOperativo[Valor],tblPesosValorOperativo[Velocidad],0),0)</f>
        <v>0</v>
      </c>
      <c r="O418" s="14">
        <f>IFERROR(_xlfn.XLOOKUP(VLOOKUP(tblEnlaces[[#This Row],[Canal]],tblCanales[#All],8,FALSE),tblPesosValorOperativo[Valor],tblPesosValorOperativo[Escalabilidad],0),0)</f>
        <v>0</v>
      </c>
      <c r="P418" s="53">
        <f>tblEnlaces[[#This Row],[Opacidad]]+tblEnlaces[[#This Row],[Escalabilidad]]+tblEnlaces[[#This Row],[Velocidad]]+tblEnlaces[[#This Row],[Trazabilidad]]</f>
        <v>0</v>
      </c>
    </row>
    <row r="419" spans="2:16" ht="16.5" customHeight="1" x14ac:dyDescent="0.25">
      <c r="B419" s="66" t="str">
        <f t="array" ref="B41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19" s="10" t="e">
        <f>VLOOKUP(tblEnlaces[[#This Row],[Nodo Inicial]],tblNodos[],2,FALSE)</f>
        <v>#N/A</v>
      </c>
      <c r="E419" s="39"/>
      <c r="F419" s="10" t="e">
        <f>VLOOKUP(tblEnlaces[[#This Row],[Nodo Final]],tblNodos[],2,FALSE)</f>
        <v>#N/A</v>
      </c>
      <c r="G419" s="39"/>
      <c r="I419" s="53">
        <f>IFERROR(_xlfn.XLOOKUP(VLOOKUP(tblEnlaces[[#This Row],[Canal]],tblCanales[#All],2,FALSE),tblPesosValorOperativo[Valor],tblPesosValorOperativo[Frecuencia de Uso],0),0)</f>
        <v>0</v>
      </c>
      <c r="J41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19" s="64">
        <f>IFERROR(_xlfn.XLOOKUP(VLOOKUP(tblEnlaces[[#This Row],[Canal]],tblCanales[#All],3,FALSE),tblPesosCoste[Valor],tblPesosCoste[Peso],0),0)</f>
        <v>0</v>
      </c>
      <c r="L419" s="10">
        <f>IFERROR(_xlfn.XLOOKUP(VLOOKUP(tblEnlaces[[#This Row],[Canal]],tblCanales[#All],5,FALSE),tblPesosValorOperativo[Valor],tblPesosValorOperativo[Opacidad],0),0)</f>
        <v>0</v>
      </c>
      <c r="M419" s="14">
        <f>IFERROR(_xlfn.XLOOKUP(VLOOKUP(tblEnlaces[[#This Row],[Canal]],tblCanales[#All],6,FALSE),tblPesosValorOperativo[Valor],tblPesosValorOperativo[Trazabilidad],0),0)</f>
        <v>0</v>
      </c>
      <c r="N419" s="14">
        <f>IFERROR(_xlfn.XLOOKUP(VLOOKUP(tblEnlaces[[#This Row],[Canal]],tblCanales[#All],7,FALSE),tblPesosValorOperativo[Valor],tblPesosValorOperativo[Velocidad],0),0)</f>
        <v>0</v>
      </c>
      <c r="O419" s="14">
        <f>IFERROR(_xlfn.XLOOKUP(VLOOKUP(tblEnlaces[[#This Row],[Canal]],tblCanales[#All],8,FALSE),tblPesosValorOperativo[Valor],tblPesosValorOperativo[Escalabilidad],0),0)</f>
        <v>0</v>
      </c>
      <c r="P419" s="53">
        <f>tblEnlaces[[#This Row],[Opacidad]]+tblEnlaces[[#This Row],[Escalabilidad]]+tblEnlaces[[#This Row],[Velocidad]]+tblEnlaces[[#This Row],[Trazabilidad]]</f>
        <v>0</v>
      </c>
    </row>
    <row r="420" spans="2:16" ht="16.5" customHeight="1" x14ac:dyDescent="0.25">
      <c r="B420" s="66" t="str">
        <f t="array" ref="B42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20" s="10" t="e">
        <f>VLOOKUP(tblEnlaces[[#This Row],[Nodo Inicial]],tblNodos[],2,FALSE)</f>
        <v>#N/A</v>
      </c>
      <c r="E420" s="39"/>
      <c r="F420" s="10" t="e">
        <f>VLOOKUP(tblEnlaces[[#This Row],[Nodo Final]],tblNodos[],2,FALSE)</f>
        <v>#N/A</v>
      </c>
      <c r="G420" s="39"/>
      <c r="I420" s="53">
        <f>IFERROR(_xlfn.XLOOKUP(VLOOKUP(tblEnlaces[[#This Row],[Canal]],tblCanales[#All],2,FALSE),tblPesosValorOperativo[Valor],tblPesosValorOperativo[Frecuencia de Uso],0),0)</f>
        <v>0</v>
      </c>
      <c r="J42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20" s="64">
        <f>IFERROR(_xlfn.XLOOKUP(VLOOKUP(tblEnlaces[[#This Row],[Canal]],tblCanales[#All],3,FALSE),tblPesosCoste[Valor],tblPesosCoste[Peso],0),0)</f>
        <v>0</v>
      </c>
      <c r="L420" s="10">
        <f>IFERROR(_xlfn.XLOOKUP(VLOOKUP(tblEnlaces[[#This Row],[Canal]],tblCanales[#All],5,FALSE),tblPesosValorOperativo[Valor],tblPesosValorOperativo[Opacidad],0),0)</f>
        <v>0</v>
      </c>
      <c r="M420" s="14">
        <f>IFERROR(_xlfn.XLOOKUP(VLOOKUP(tblEnlaces[[#This Row],[Canal]],tblCanales[#All],6,FALSE),tblPesosValorOperativo[Valor],tblPesosValorOperativo[Trazabilidad],0),0)</f>
        <v>0</v>
      </c>
      <c r="N420" s="14">
        <f>IFERROR(_xlfn.XLOOKUP(VLOOKUP(tblEnlaces[[#This Row],[Canal]],tblCanales[#All],7,FALSE),tblPesosValorOperativo[Valor],tblPesosValorOperativo[Velocidad],0),0)</f>
        <v>0</v>
      </c>
      <c r="O420" s="14">
        <f>IFERROR(_xlfn.XLOOKUP(VLOOKUP(tblEnlaces[[#This Row],[Canal]],tblCanales[#All],8,FALSE),tblPesosValorOperativo[Valor],tblPesosValorOperativo[Escalabilidad],0),0)</f>
        <v>0</v>
      </c>
      <c r="P420" s="53">
        <f>tblEnlaces[[#This Row],[Opacidad]]+tblEnlaces[[#This Row],[Escalabilidad]]+tblEnlaces[[#This Row],[Velocidad]]+tblEnlaces[[#This Row],[Trazabilidad]]</f>
        <v>0</v>
      </c>
    </row>
    <row r="421" spans="2:16" ht="16.5" customHeight="1" x14ac:dyDescent="0.25">
      <c r="B421" s="66" t="str">
        <f t="array" ref="B42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21" s="10" t="e">
        <f>VLOOKUP(tblEnlaces[[#This Row],[Nodo Inicial]],tblNodos[],2,FALSE)</f>
        <v>#N/A</v>
      </c>
      <c r="E421" s="39"/>
      <c r="F421" s="10" t="e">
        <f>VLOOKUP(tblEnlaces[[#This Row],[Nodo Final]],tblNodos[],2,FALSE)</f>
        <v>#N/A</v>
      </c>
      <c r="G421" s="39"/>
      <c r="I421" s="53">
        <f>IFERROR(_xlfn.XLOOKUP(VLOOKUP(tblEnlaces[[#This Row],[Canal]],tblCanales[#All],2,FALSE),tblPesosValorOperativo[Valor],tblPesosValorOperativo[Frecuencia de Uso],0),0)</f>
        <v>0</v>
      </c>
      <c r="J42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21" s="64">
        <f>IFERROR(_xlfn.XLOOKUP(VLOOKUP(tblEnlaces[[#This Row],[Canal]],tblCanales[#All],3,FALSE),tblPesosCoste[Valor],tblPesosCoste[Peso],0),0)</f>
        <v>0</v>
      </c>
      <c r="L421" s="10">
        <f>IFERROR(_xlfn.XLOOKUP(VLOOKUP(tblEnlaces[[#This Row],[Canal]],tblCanales[#All],5,FALSE),tblPesosValorOperativo[Valor],tblPesosValorOperativo[Opacidad],0),0)</f>
        <v>0</v>
      </c>
      <c r="M421" s="14">
        <f>IFERROR(_xlfn.XLOOKUP(VLOOKUP(tblEnlaces[[#This Row],[Canal]],tblCanales[#All],6,FALSE),tblPesosValorOperativo[Valor],tblPesosValorOperativo[Trazabilidad],0),0)</f>
        <v>0</v>
      </c>
      <c r="N421" s="14">
        <f>IFERROR(_xlfn.XLOOKUP(VLOOKUP(tblEnlaces[[#This Row],[Canal]],tblCanales[#All],7,FALSE),tblPesosValorOperativo[Valor],tblPesosValorOperativo[Velocidad],0),0)</f>
        <v>0</v>
      </c>
      <c r="O421" s="14">
        <f>IFERROR(_xlfn.XLOOKUP(VLOOKUP(tblEnlaces[[#This Row],[Canal]],tblCanales[#All],8,FALSE),tblPesosValorOperativo[Valor],tblPesosValorOperativo[Escalabilidad],0),0)</f>
        <v>0</v>
      </c>
      <c r="P421" s="53">
        <f>tblEnlaces[[#This Row],[Opacidad]]+tblEnlaces[[#This Row],[Escalabilidad]]+tblEnlaces[[#This Row],[Velocidad]]+tblEnlaces[[#This Row],[Trazabilidad]]</f>
        <v>0</v>
      </c>
    </row>
    <row r="422" spans="2:16" ht="16.5" customHeight="1" x14ac:dyDescent="0.25">
      <c r="B422" s="66" t="str">
        <f t="array" ref="B42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22" s="10" t="e">
        <f>VLOOKUP(tblEnlaces[[#This Row],[Nodo Inicial]],tblNodos[],2,FALSE)</f>
        <v>#N/A</v>
      </c>
      <c r="E422" s="39"/>
      <c r="F422" s="10" t="e">
        <f>VLOOKUP(tblEnlaces[[#This Row],[Nodo Final]],tblNodos[],2,FALSE)</f>
        <v>#N/A</v>
      </c>
      <c r="G422" s="39"/>
      <c r="I422" s="53">
        <f>IFERROR(_xlfn.XLOOKUP(VLOOKUP(tblEnlaces[[#This Row],[Canal]],tblCanales[#All],2,FALSE),tblPesosValorOperativo[Valor],tblPesosValorOperativo[Frecuencia de Uso],0),0)</f>
        <v>0</v>
      </c>
      <c r="J42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22" s="64">
        <f>IFERROR(_xlfn.XLOOKUP(VLOOKUP(tblEnlaces[[#This Row],[Canal]],tblCanales[#All],3,FALSE),tblPesosCoste[Valor],tblPesosCoste[Peso],0),0)</f>
        <v>0</v>
      </c>
      <c r="L422" s="10">
        <f>IFERROR(_xlfn.XLOOKUP(VLOOKUP(tblEnlaces[[#This Row],[Canal]],tblCanales[#All],5,FALSE),tblPesosValorOperativo[Valor],tblPesosValorOperativo[Opacidad],0),0)</f>
        <v>0</v>
      </c>
      <c r="M422" s="14">
        <f>IFERROR(_xlfn.XLOOKUP(VLOOKUP(tblEnlaces[[#This Row],[Canal]],tblCanales[#All],6,FALSE),tblPesosValorOperativo[Valor],tblPesosValorOperativo[Trazabilidad],0),0)</f>
        <v>0</v>
      </c>
      <c r="N422" s="14">
        <f>IFERROR(_xlfn.XLOOKUP(VLOOKUP(tblEnlaces[[#This Row],[Canal]],tblCanales[#All],7,FALSE),tblPesosValorOperativo[Valor],tblPesosValorOperativo[Velocidad],0),0)</f>
        <v>0</v>
      </c>
      <c r="O422" s="14">
        <f>IFERROR(_xlfn.XLOOKUP(VLOOKUP(tblEnlaces[[#This Row],[Canal]],tblCanales[#All],8,FALSE),tblPesosValorOperativo[Valor],tblPesosValorOperativo[Escalabilidad],0),0)</f>
        <v>0</v>
      </c>
      <c r="P422" s="53">
        <f>tblEnlaces[[#This Row],[Opacidad]]+tblEnlaces[[#This Row],[Escalabilidad]]+tblEnlaces[[#This Row],[Velocidad]]+tblEnlaces[[#This Row],[Trazabilidad]]</f>
        <v>0</v>
      </c>
    </row>
    <row r="423" spans="2:16" ht="16.5" customHeight="1" x14ac:dyDescent="0.25">
      <c r="B423" s="66" t="str">
        <f t="array" ref="B42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23" s="10" t="e">
        <f>VLOOKUP(tblEnlaces[[#This Row],[Nodo Inicial]],tblNodos[],2,FALSE)</f>
        <v>#N/A</v>
      </c>
      <c r="E423" s="39"/>
      <c r="F423" s="10" t="e">
        <f>VLOOKUP(tblEnlaces[[#This Row],[Nodo Final]],tblNodos[],2,FALSE)</f>
        <v>#N/A</v>
      </c>
      <c r="G423" s="39"/>
      <c r="I423" s="53">
        <f>IFERROR(_xlfn.XLOOKUP(VLOOKUP(tblEnlaces[[#This Row],[Canal]],tblCanales[#All],2,FALSE),tblPesosValorOperativo[Valor],tblPesosValorOperativo[Frecuencia de Uso],0),0)</f>
        <v>0</v>
      </c>
      <c r="J42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23" s="64">
        <f>IFERROR(_xlfn.XLOOKUP(VLOOKUP(tblEnlaces[[#This Row],[Canal]],tblCanales[#All],3,FALSE),tblPesosCoste[Valor],tblPesosCoste[Peso],0),0)</f>
        <v>0</v>
      </c>
      <c r="L423" s="10">
        <f>IFERROR(_xlfn.XLOOKUP(VLOOKUP(tblEnlaces[[#This Row],[Canal]],tblCanales[#All],5,FALSE),tblPesosValorOperativo[Valor],tblPesosValorOperativo[Opacidad],0),0)</f>
        <v>0</v>
      </c>
      <c r="M423" s="14">
        <f>IFERROR(_xlfn.XLOOKUP(VLOOKUP(tblEnlaces[[#This Row],[Canal]],tblCanales[#All],6,FALSE),tblPesosValorOperativo[Valor],tblPesosValorOperativo[Trazabilidad],0),0)</f>
        <v>0</v>
      </c>
      <c r="N423" s="14">
        <f>IFERROR(_xlfn.XLOOKUP(VLOOKUP(tblEnlaces[[#This Row],[Canal]],tblCanales[#All],7,FALSE),tblPesosValorOperativo[Valor],tblPesosValorOperativo[Velocidad],0),0)</f>
        <v>0</v>
      </c>
      <c r="O423" s="14">
        <f>IFERROR(_xlfn.XLOOKUP(VLOOKUP(tblEnlaces[[#This Row],[Canal]],tblCanales[#All],8,FALSE),tblPesosValorOperativo[Valor],tblPesosValorOperativo[Escalabilidad],0),0)</f>
        <v>0</v>
      </c>
      <c r="P423" s="53">
        <f>tblEnlaces[[#This Row],[Opacidad]]+tblEnlaces[[#This Row],[Escalabilidad]]+tblEnlaces[[#This Row],[Velocidad]]+tblEnlaces[[#This Row],[Trazabilidad]]</f>
        <v>0</v>
      </c>
    </row>
    <row r="424" spans="2:16" ht="16.5" customHeight="1" x14ac:dyDescent="0.25">
      <c r="B424" s="66" t="str">
        <f t="array" ref="B42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24" s="10" t="e">
        <f>VLOOKUP(tblEnlaces[[#This Row],[Nodo Inicial]],tblNodos[],2,FALSE)</f>
        <v>#N/A</v>
      </c>
      <c r="E424" s="39"/>
      <c r="F424" s="10" t="e">
        <f>VLOOKUP(tblEnlaces[[#This Row],[Nodo Final]],tblNodos[],2,FALSE)</f>
        <v>#N/A</v>
      </c>
      <c r="G424" s="39"/>
      <c r="I424" s="53">
        <f>IFERROR(_xlfn.XLOOKUP(VLOOKUP(tblEnlaces[[#This Row],[Canal]],tblCanales[#All],2,FALSE),tblPesosValorOperativo[Valor],tblPesosValorOperativo[Frecuencia de Uso],0),0)</f>
        <v>0</v>
      </c>
      <c r="J42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24" s="64">
        <f>IFERROR(_xlfn.XLOOKUP(VLOOKUP(tblEnlaces[[#This Row],[Canal]],tblCanales[#All],3,FALSE),tblPesosCoste[Valor],tblPesosCoste[Peso],0),0)</f>
        <v>0</v>
      </c>
      <c r="L424" s="10">
        <f>IFERROR(_xlfn.XLOOKUP(VLOOKUP(tblEnlaces[[#This Row],[Canal]],tblCanales[#All],5,FALSE),tblPesosValorOperativo[Valor],tblPesosValorOperativo[Opacidad],0),0)</f>
        <v>0</v>
      </c>
      <c r="M424" s="14">
        <f>IFERROR(_xlfn.XLOOKUP(VLOOKUP(tblEnlaces[[#This Row],[Canal]],tblCanales[#All],6,FALSE),tblPesosValorOperativo[Valor],tblPesosValorOperativo[Trazabilidad],0),0)</f>
        <v>0</v>
      </c>
      <c r="N424" s="14">
        <f>IFERROR(_xlfn.XLOOKUP(VLOOKUP(tblEnlaces[[#This Row],[Canal]],tblCanales[#All],7,FALSE),tblPesosValorOperativo[Valor],tblPesosValorOperativo[Velocidad],0),0)</f>
        <v>0</v>
      </c>
      <c r="O424" s="14">
        <f>IFERROR(_xlfn.XLOOKUP(VLOOKUP(tblEnlaces[[#This Row],[Canal]],tblCanales[#All],8,FALSE),tblPesosValorOperativo[Valor],tblPesosValorOperativo[Escalabilidad],0),0)</f>
        <v>0</v>
      </c>
      <c r="P424" s="53">
        <f>tblEnlaces[[#This Row],[Opacidad]]+tblEnlaces[[#This Row],[Escalabilidad]]+tblEnlaces[[#This Row],[Velocidad]]+tblEnlaces[[#This Row],[Trazabilidad]]</f>
        <v>0</v>
      </c>
    </row>
    <row r="425" spans="2:16" ht="16.5" customHeight="1" x14ac:dyDescent="0.25">
      <c r="B425" s="66" t="str">
        <f t="array" ref="B42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25" s="10" t="e">
        <f>VLOOKUP(tblEnlaces[[#This Row],[Nodo Inicial]],tblNodos[],2,FALSE)</f>
        <v>#N/A</v>
      </c>
      <c r="E425" s="39"/>
      <c r="F425" s="10" t="e">
        <f>VLOOKUP(tblEnlaces[[#This Row],[Nodo Final]],tblNodos[],2,FALSE)</f>
        <v>#N/A</v>
      </c>
      <c r="G425" s="39"/>
      <c r="I425" s="53">
        <f>IFERROR(_xlfn.XLOOKUP(VLOOKUP(tblEnlaces[[#This Row],[Canal]],tblCanales[#All],2,FALSE),tblPesosValorOperativo[Valor],tblPesosValorOperativo[Frecuencia de Uso],0),0)</f>
        <v>0</v>
      </c>
      <c r="J42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25" s="64">
        <f>IFERROR(_xlfn.XLOOKUP(VLOOKUP(tblEnlaces[[#This Row],[Canal]],tblCanales[#All],3,FALSE),tblPesosCoste[Valor],tblPesosCoste[Peso],0),0)</f>
        <v>0</v>
      </c>
      <c r="L425" s="10">
        <f>IFERROR(_xlfn.XLOOKUP(VLOOKUP(tblEnlaces[[#This Row],[Canal]],tblCanales[#All],5,FALSE),tblPesosValorOperativo[Valor],tblPesosValorOperativo[Opacidad],0),0)</f>
        <v>0</v>
      </c>
      <c r="M425" s="14">
        <f>IFERROR(_xlfn.XLOOKUP(VLOOKUP(tblEnlaces[[#This Row],[Canal]],tblCanales[#All],6,FALSE),tblPesosValorOperativo[Valor],tblPesosValorOperativo[Trazabilidad],0),0)</f>
        <v>0</v>
      </c>
      <c r="N425" s="14">
        <f>IFERROR(_xlfn.XLOOKUP(VLOOKUP(tblEnlaces[[#This Row],[Canal]],tblCanales[#All],7,FALSE),tblPesosValorOperativo[Valor],tblPesosValorOperativo[Velocidad],0),0)</f>
        <v>0</v>
      </c>
      <c r="O425" s="14">
        <f>IFERROR(_xlfn.XLOOKUP(VLOOKUP(tblEnlaces[[#This Row],[Canal]],tblCanales[#All],8,FALSE),tblPesosValorOperativo[Valor],tblPesosValorOperativo[Escalabilidad],0),0)</f>
        <v>0</v>
      </c>
      <c r="P425" s="53">
        <f>tblEnlaces[[#This Row],[Opacidad]]+tblEnlaces[[#This Row],[Escalabilidad]]+tblEnlaces[[#This Row],[Velocidad]]+tblEnlaces[[#This Row],[Trazabilidad]]</f>
        <v>0</v>
      </c>
    </row>
    <row r="426" spans="2:16" ht="16.5" customHeight="1" x14ac:dyDescent="0.25">
      <c r="B426" s="66" t="str">
        <f t="array" ref="B42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26" s="10" t="e">
        <f>VLOOKUP(tblEnlaces[[#This Row],[Nodo Inicial]],tblNodos[],2,FALSE)</f>
        <v>#N/A</v>
      </c>
      <c r="E426" s="39"/>
      <c r="F426" s="10" t="e">
        <f>VLOOKUP(tblEnlaces[[#This Row],[Nodo Final]],tblNodos[],2,FALSE)</f>
        <v>#N/A</v>
      </c>
      <c r="G426" s="39"/>
      <c r="I426" s="53">
        <f>IFERROR(_xlfn.XLOOKUP(VLOOKUP(tblEnlaces[[#This Row],[Canal]],tblCanales[#All],2,FALSE),tblPesosValorOperativo[Valor],tblPesosValorOperativo[Frecuencia de Uso],0),0)</f>
        <v>0</v>
      </c>
      <c r="J42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26" s="64">
        <f>IFERROR(_xlfn.XLOOKUP(VLOOKUP(tblEnlaces[[#This Row],[Canal]],tblCanales[#All],3,FALSE),tblPesosCoste[Valor],tblPesosCoste[Peso],0),0)</f>
        <v>0</v>
      </c>
      <c r="L426" s="10">
        <f>IFERROR(_xlfn.XLOOKUP(VLOOKUP(tblEnlaces[[#This Row],[Canal]],tblCanales[#All],5,FALSE),tblPesosValorOperativo[Valor],tblPesosValorOperativo[Opacidad],0),0)</f>
        <v>0</v>
      </c>
      <c r="M426" s="14">
        <f>IFERROR(_xlfn.XLOOKUP(VLOOKUP(tblEnlaces[[#This Row],[Canal]],tblCanales[#All],6,FALSE),tblPesosValorOperativo[Valor],tblPesosValorOperativo[Trazabilidad],0),0)</f>
        <v>0</v>
      </c>
      <c r="N426" s="14">
        <f>IFERROR(_xlfn.XLOOKUP(VLOOKUP(tblEnlaces[[#This Row],[Canal]],tblCanales[#All],7,FALSE),tblPesosValorOperativo[Valor],tblPesosValorOperativo[Velocidad],0),0)</f>
        <v>0</v>
      </c>
      <c r="O426" s="14">
        <f>IFERROR(_xlfn.XLOOKUP(VLOOKUP(tblEnlaces[[#This Row],[Canal]],tblCanales[#All],8,FALSE),tblPesosValorOperativo[Valor],tblPesosValorOperativo[Escalabilidad],0),0)</f>
        <v>0</v>
      </c>
      <c r="P426" s="53">
        <f>tblEnlaces[[#This Row],[Opacidad]]+tblEnlaces[[#This Row],[Escalabilidad]]+tblEnlaces[[#This Row],[Velocidad]]+tblEnlaces[[#This Row],[Trazabilidad]]</f>
        <v>0</v>
      </c>
    </row>
    <row r="427" spans="2:16" ht="16.5" customHeight="1" x14ac:dyDescent="0.25">
      <c r="B427" s="66" t="str">
        <f t="array" ref="B427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27" s="10" t="e">
        <f>VLOOKUP(tblEnlaces[[#This Row],[Nodo Inicial]],tblNodos[],2,FALSE)</f>
        <v>#N/A</v>
      </c>
      <c r="E427" s="39"/>
      <c r="F427" s="10" t="e">
        <f>VLOOKUP(tblEnlaces[[#This Row],[Nodo Final]],tblNodos[],2,FALSE)</f>
        <v>#N/A</v>
      </c>
      <c r="G427" s="39"/>
      <c r="I427" s="53">
        <f>IFERROR(_xlfn.XLOOKUP(VLOOKUP(tblEnlaces[[#This Row],[Canal]],tblCanales[#All],2,FALSE),tblPesosValorOperativo[Valor],tblPesosValorOperativo[Frecuencia de Uso],0),0)</f>
        <v>0</v>
      </c>
      <c r="J427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27" s="64">
        <f>IFERROR(_xlfn.XLOOKUP(VLOOKUP(tblEnlaces[[#This Row],[Canal]],tblCanales[#All],3,FALSE),tblPesosCoste[Valor],tblPesosCoste[Peso],0),0)</f>
        <v>0</v>
      </c>
      <c r="L427" s="10">
        <f>IFERROR(_xlfn.XLOOKUP(VLOOKUP(tblEnlaces[[#This Row],[Canal]],tblCanales[#All],5,FALSE),tblPesosValorOperativo[Valor],tblPesosValorOperativo[Opacidad],0),0)</f>
        <v>0</v>
      </c>
      <c r="M427" s="14">
        <f>IFERROR(_xlfn.XLOOKUP(VLOOKUP(tblEnlaces[[#This Row],[Canal]],tblCanales[#All],6,FALSE),tblPesosValorOperativo[Valor],tblPesosValorOperativo[Trazabilidad],0),0)</f>
        <v>0</v>
      </c>
      <c r="N427" s="14">
        <f>IFERROR(_xlfn.XLOOKUP(VLOOKUP(tblEnlaces[[#This Row],[Canal]],tblCanales[#All],7,FALSE),tblPesosValorOperativo[Valor],tblPesosValorOperativo[Velocidad],0),0)</f>
        <v>0</v>
      </c>
      <c r="O427" s="14">
        <f>IFERROR(_xlfn.XLOOKUP(VLOOKUP(tblEnlaces[[#This Row],[Canal]],tblCanales[#All],8,FALSE),tblPesosValorOperativo[Valor],tblPesosValorOperativo[Escalabilidad],0),0)</f>
        <v>0</v>
      </c>
      <c r="P427" s="53">
        <f>tblEnlaces[[#This Row],[Opacidad]]+tblEnlaces[[#This Row],[Escalabilidad]]+tblEnlaces[[#This Row],[Velocidad]]+tblEnlaces[[#This Row],[Trazabilidad]]</f>
        <v>0</v>
      </c>
    </row>
    <row r="428" spans="2:16" ht="16.5" customHeight="1" x14ac:dyDescent="0.25">
      <c r="B428" s="66" t="str">
        <f t="array" ref="B428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28" s="10" t="e">
        <f>VLOOKUP(tblEnlaces[[#This Row],[Nodo Inicial]],tblNodos[],2,FALSE)</f>
        <v>#N/A</v>
      </c>
      <c r="E428" s="39"/>
      <c r="F428" s="10" t="e">
        <f>VLOOKUP(tblEnlaces[[#This Row],[Nodo Final]],tblNodos[],2,FALSE)</f>
        <v>#N/A</v>
      </c>
      <c r="G428" s="39"/>
      <c r="I428" s="53">
        <f>IFERROR(_xlfn.XLOOKUP(VLOOKUP(tblEnlaces[[#This Row],[Canal]],tblCanales[#All],2,FALSE),tblPesosValorOperativo[Valor],tblPesosValorOperativo[Frecuencia de Uso],0),0)</f>
        <v>0</v>
      </c>
      <c r="J428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28" s="64">
        <f>IFERROR(_xlfn.XLOOKUP(VLOOKUP(tblEnlaces[[#This Row],[Canal]],tblCanales[#All],3,FALSE),tblPesosCoste[Valor],tblPesosCoste[Peso],0),0)</f>
        <v>0</v>
      </c>
      <c r="L428" s="10">
        <f>IFERROR(_xlfn.XLOOKUP(VLOOKUP(tblEnlaces[[#This Row],[Canal]],tblCanales[#All],5,FALSE),tblPesosValorOperativo[Valor],tblPesosValorOperativo[Opacidad],0),0)</f>
        <v>0</v>
      </c>
      <c r="M428" s="14">
        <f>IFERROR(_xlfn.XLOOKUP(VLOOKUP(tblEnlaces[[#This Row],[Canal]],tblCanales[#All],6,FALSE),tblPesosValorOperativo[Valor],tblPesosValorOperativo[Trazabilidad],0),0)</f>
        <v>0</v>
      </c>
      <c r="N428" s="14">
        <f>IFERROR(_xlfn.XLOOKUP(VLOOKUP(tblEnlaces[[#This Row],[Canal]],tblCanales[#All],7,FALSE),tblPesosValorOperativo[Valor],tblPesosValorOperativo[Velocidad],0),0)</f>
        <v>0</v>
      </c>
      <c r="O428" s="14">
        <f>IFERROR(_xlfn.XLOOKUP(VLOOKUP(tblEnlaces[[#This Row],[Canal]],tblCanales[#All],8,FALSE),tblPesosValorOperativo[Valor],tblPesosValorOperativo[Escalabilidad],0),0)</f>
        <v>0</v>
      </c>
      <c r="P428" s="53">
        <f>tblEnlaces[[#This Row],[Opacidad]]+tblEnlaces[[#This Row],[Escalabilidad]]+tblEnlaces[[#This Row],[Velocidad]]+tblEnlaces[[#This Row],[Trazabilidad]]</f>
        <v>0</v>
      </c>
    </row>
    <row r="429" spans="2:16" ht="16.5" customHeight="1" x14ac:dyDescent="0.25">
      <c r="B429" s="66" t="str">
        <f t="array" ref="B429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29" s="10" t="e">
        <f>VLOOKUP(tblEnlaces[[#This Row],[Nodo Inicial]],tblNodos[],2,FALSE)</f>
        <v>#N/A</v>
      </c>
      <c r="E429" s="39"/>
      <c r="F429" s="10" t="e">
        <f>VLOOKUP(tblEnlaces[[#This Row],[Nodo Final]],tblNodos[],2,FALSE)</f>
        <v>#N/A</v>
      </c>
      <c r="G429" s="39"/>
      <c r="I429" s="53">
        <f>IFERROR(_xlfn.XLOOKUP(VLOOKUP(tblEnlaces[[#This Row],[Canal]],tblCanales[#All],2,FALSE),tblPesosValorOperativo[Valor],tblPesosValorOperativo[Frecuencia de Uso],0),0)</f>
        <v>0</v>
      </c>
      <c r="J429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29" s="64">
        <f>IFERROR(_xlfn.XLOOKUP(VLOOKUP(tblEnlaces[[#This Row],[Canal]],tblCanales[#All],3,FALSE),tblPesosCoste[Valor],tblPesosCoste[Peso],0),0)</f>
        <v>0</v>
      </c>
      <c r="L429" s="10">
        <f>IFERROR(_xlfn.XLOOKUP(VLOOKUP(tblEnlaces[[#This Row],[Canal]],tblCanales[#All],5,FALSE),tblPesosValorOperativo[Valor],tblPesosValorOperativo[Opacidad],0),0)</f>
        <v>0</v>
      </c>
      <c r="M429" s="14">
        <f>IFERROR(_xlfn.XLOOKUP(VLOOKUP(tblEnlaces[[#This Row],[Canal]],tblCanales[#All],6,FALSE),tblPesosValorOperativo[Valor],tblPesosValorOperativo[Trazabilidad],0),0)</f>
        <v>0</v>
      </c>
      <c r="N429" s="14">
        <f>IFERROR(_xlfn.XLOOKUP(VLOOKUP(tblEnlaces[[#This Row],[Canal]],tblCanales[#All],7,FALSE),tblPesosValorOperativo[Valor],tblPesosValorOperativo[Velocidad],0),0)</f>
        <v>0</v>
      </c>
      <c r="O429" s="14">
        <f>IFERROR(_xlfn.XLOOKUP(VLOOKUP(tblEnlaces[[#This Row],[Canal]],tblCanales[#All],8,FALSE),tblPesosValorOperativo[Valor],tblPesosValorOperativo[Escalabilidad],0),0)</f>
        <v>0</v>
      </c>
      <c r="P429" s="53">
        <f>tblEnlaces[[#This Row],[Opacidad]]+tblEnlaces[[#This Row],[Escalabilidad]]+tblEnlaces[[#This Row],[Velocidad]]+tblEnlaces[[#This Row],[Trazabilidad]]</f>
        <v>0</v>
      </c>
    </row>
    <row r="430" spans="2:16" ht="16.5" customHeight="1" x14ac:dyDescent="0.25">
      <c r="B430" s="66" t="str">
        <f t="array" ref="B430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30" s="10" t="e">
        <f>VLOOKUP(tblEnlaces[[#This Row],[Nodo Inicial]],tblNodos[],2,FALSE)</f>
        <v>#N/A</v>
      </c>
      <c r="E430" s="39"/>
      <c r="F430" s="10" t="e">
        <f>VLOOKUP(tblEnlaces[[#This Row],[Nodo Final]],tblNodos[],2,FALSE)</f>
        <v>#N/A</v>
      </c>
      <c r="G430" s="39"/>
      <c r="I430" s="53">
        <f>IFERROR(_xlfn.XLOOKUP(VLOOKUP(tblEnlaces[[#This Row],[Canal]],tblCanales[#All],2,FALSE),tblPesosValorOperativo[Valor],tblPesosValorOperativo[Frecuencia de Uso],0),0)</f>
        <v>0</v>
      </c>
      <c r="J430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30" s="64">
        <f>IFERROR(_xlfn.XLOOKUP(VLOOKUP(tblEnlaces[[#This Row],[Canal]],tblCanales[#All],3,FALSE),tblPesosCoste[Valor],tblPesosCoste[Peso],0),0)</f>
        <v>0</v>
      </c>
      <c r="L430" s="10">
        <f>IFERROR(_xlfn.XLOOKUP(VLOOKUP(tblEnlaces[[#This Row],[Canal]],tblCanales[#All],5,FALSE),tblPesosValorOperativo[Valor],tblPesosValorOperativo[Opacidad],0),0)</f>
        <v>0</v>
      </c>
      <c r="M430" s="14">
        <f>IFERROR(_xlfn.XLOOKUP(VLOOKUP(tblEnlaces[[#This Row],[Canal]],tblCanales[#All],6,FALSE),tblPesosValorOperativo[Valor],tblPesosValorOperativo[Trazabilidad],0),0)</f>
        <v>0</v>
      </c>
      <c r="N430" s="14">
        <f>IFERROR(_xlfn.XLOOKUP(VLOOKUP(tblEnlaces[[#This Row],[Canal]],tblCanales[#All],7,FALSE),tblPesosValorOperativo[Valor],tblPesosValorOperativo[Velocidad],0),0)</f>
        <v>0</v>
      </c>
      <c r="O430" s="14">
        <f>IFERROR(_xlfn.XLOOKUP(VLOOKUP(tblEnlaces[[#This Row],[Canal]],tblCanales[#All],8,FALSE),tblPesosValorOperativo[Valor],tblPesosValorOperativo[Escalabilidad],0),0)</f>
        <v>0</v>
      </c>
      <c r="P430" s="53">
        <f>tblEnlaces[[#This Row],[Opacidad]]+tblEnlaces[[#This Row],[Escalabilidad]]+tblEnlaces[[#This Row],[Velocidad]]+tblEnlaces[[#This Row],[Trazabilidad]]</f>
        <v>0</v>
      </c>
    </row>
    <row r="431" spans="2:16" ht="16.5" customHeight="1" x14ac:dyDescent="0.25">
      <c r="B431" s="66" t="str">
        <f t="array" ref="B431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31" s="10" t="e">
        <f>VLOOKUP(tblEnlaces[[#This Row],[Nodo Inicial]],tblNodos[],2,FALSE)</f>
        <v>#N/A</v>
      </c>
      <c r="E431" s="39"/>
      <c r="F431" s="10" t="e">
        <f>VLOOKUP(tblEnlaces[[#This Row],[Nodo Final]],tblNodos[],2,FALSE)</f>
        <v>#N/A</v>
      </c>
      <c r="G431" s="39"/>
      <c r="I431" s="53">
        <f>IFERROR(_xlfn.XLOOKUP(VLOOKUP(tblEnlaces[[#This Row],[Canal]],tblCanales[#All],2,FALSE),tblPesosValorOperativo[Valor],tblPesosValorOperativo[Frecuencia de Uso],0),0)</f>
        <v>0</v>
      </c>
      <c r="J431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31" s="64">
        <f>IFERROR(_xlfn.XLOOKUP(VLOOKUP(tblEnlaces[[#This Row],[Canal]],tblCanales[#All],3,FALSE),tblPesosCoste[Valor],tblPesosCoste[Peso],0),0)</f>
        <v>0</v>
      </c>
      <c r="L431" s="10">
        <f>IFERROR(_xlfn.XLOOKUP(VLOOKUP(tblEnlaces[[#This Row],[Canal]],tblCanales[#All],5,FALSE),tblPesosValorOperativo[Valor],tblPesosValorOperativo[Opacidad],0),0)</f>
        <v>0</v>
      </c>
      <c r="M431" s="14">
        <f>IFERROR(_xlfn.XLOOKUP(VLOOKUP(tblEnlaces[[#This Row],[Canal]],tblCanales[#All],6,FALSE),tblPesosValorOperativo[Valor],tblPesosValorOperativo[Trazabilidad],0),0)</f>
        <v>0</v>
      </c>
      <c r="N431" s="14">
        <f>IFERROR(_xlfn.XLOOKUP(VLOOKUP(tblEnlaces[[#This Row],[Canal]],tblCanales[#All],7,FALSE),tblPesosValorOperativo[Valor],tblPesosValorOperativo[Velocidad],0),0)</f>
        <v>0</v>
      </c>
      <c r="O431" s="14">
        <f>IFERROR(_xlfn.XLOOKUP(VLOOKUP(tblEnlaces[[#This Row],[Canal]],tblCanales[#All],8,FALSE),tblPesosValorOperativo[Valor],tblPesosValorOperativo[Escalabilidad],0),0)</f>
        <v>0</v>
      </c>
      <c r="P431" s="53">
        <f>tblEnlaces[[#This Row],[Opacidad]]+tblEnlaces[[#This Row],[Escalabilidad]]+tblEnlaces[[#This Row],[Velocidad]]+tblEnlaces[[#This Row],[Trazabilidad]]</f>
        <v>0</v>
      </c>
    </row>
    <row r="432" spans="2:16" ht="16.5" customHeight="1" x14ac:dyDescent="0.25">
      <c r="B432" s="66" t="str">
        <f t="array" ref="B432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32" s="10" t="e">
        <f>VLOOKUP(tblEnlaces[[#This Row],[Nodo Inicial]],tblNodos[],2,FALSE)</f>
        <v>#N/A</v>
      </c>
      <c r="E432" s="39"/>
      <c r="F432" s="10" t="e">
        <f>VLOOKUP(tblEnlaces[[#This Row],[Nodo Final]],tblNodos[],2,FALSE)</f>
        <v>#N/A</v>
      </c>
      <c r="G432" s="39"/>
      <c r="I432" s="53">
        <f>IFERROR(_xlfn.XLOOKUP(VLOOKUP(tblEnlaces[[#This Row],[Canal]],tblCanales[#All],2,FALSE),tblPesosValorOperativo[Valor],tblPesosValorOperativo[Frecuencia de Uso],0),0)</f>
        <v>0</v>
      </c>
      <c r="J432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32" s="64">
        <f>IFERROR(_xlfn.XLOOKUP(VLOOKUP(tblEnlaces[[#This Row],[Canal]],tblCanales[#All],3,FALSE),tblPesosCoste[Valor],tblPesosCoste[Peso],0),0)</f>
        <v>0</v>
      </c>
      <c r="L432" s="10">
        <f>IFERROR(_xlfn.XLOOKUP(VLOOKUP(tblEnlaces[[#This Row],[Canal]],tblCanales[#All],5,FALSE),tblPesosValorOperativo[Valor],tblPesosValorOperativo[Opacidad],0),0)</f>
        <v>0</v>
      </c>
      <c r="M432" s="14">
        <f>IFERROR(_xlfn.XLOOKUP(VLOOKUP(tblEnlaces[[#This Row],[Canal]],tblCanales[#All],6,FALSE),tblPesosValorOperativo[Valor],tblPesosValorOperativo[Trazabilidad],0),0)</f>
        <v>0</v>
      </c>
      <c r="N432" s="14">
        <f>IFERROR(_xlfn.XLOOKUP(VLOOKUP(tblEnlaces[[#This Row],[Canal]],tblCanales[#All],7,FALSE),tblPesosValorOperativo[Valor],tblPesosValorOperativo[Velocidad],0),0)</f>
        <v>0</v>
      </c>
      <c r="O432" s="14">
        <f>IFERROR(_xlfn.XLOOKUP(VLOOKUP(tblEnlaces[[#This Row],[Canal]],tblCanales[#All],8,FALSE),tblPesosValorOperativo[Valor],tblPesosValorOperativo[Escalabilidad],0),0)</f>
        <v>0</v>
      </c>
      <c r="P432" s="53">
        <f>tblEnlaces[[#This Row],[Opacidad]]+tblEnlaces[[#This Row],[Escalabilidad]]+tblEnlaces[[#This Row],[Velocidad]]+tblEnlaces[[#This Row],[Trazabilidad]]</f>
        <v>0</v>
      </c>
    </row>
    <row r="433" spans="2:16" ht="16.5" customHeight="1" x14ac:dyDescent="0.25">
      <c r="B433" s="66" t="str">
        <f t="array" ref="B433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33" s="10" t="e">
        <f>VLOOKUP(tblEnlaces[[#This Row],[Nodo Inicial]],tblNodos[],2,FALSE)</f>
        <v>#N/A</v>
      </c>
      <c r="E433" s="39"/>
      <c r="F433" s="10" t="e">
        <f>VLOOKUP(tblEnlaces[[#This Row],[Nodo Final]],tblNodos[],2,FALSE)</f>
        <v>#N/A</v>
      </c>
      <c r="G433" s="39"/>
      <c r="I433" s="53">
        <f>IFERROR(_xlfn.XLOOKUP(VLOOKUP(tblEnlaces[[#This Row],[Canal]],tblCanales[#All],2,FALSE),tblPesosValorOperativo[Valor],tblPesosValorOperativo[Frecuencia de Uso],0),0)</f>
        <v>0</v>
      </c>
      <c r="J433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33" s="64">
        <f>IFERROR(_xlfn.XLOOKUP(VLOOKUP(tblEnlaces[[#This Row],[Canal]],tblCanales[#All],3,FALSE),tblPesosCoste[Valor],tblPesosCoste[Peso],0),0)</f>
        <v>0</v>
      </c>
      <c r="L433" s="10">
        <f>IFERROR(_xlfn.XLOOKUP(VLOOKUP(tblEnlaces[[#This Row],[Canal]],tblCanales[#All],5,FALSE),tblPesosValorOperativo[Valor],tblPesosValorOperativo[Opacidad],0),0)</f>
        <v>0</v>
      </c>
      <c r="M433" s="14">
        <f>IFERROR(_xlfn.XLOOKUP(VLOOKUP(tblEnlaces[[#This Row],[Canal]],tblCanales[#All],6,FALSE),tblPesosValorOperativo[Valor],tblPesosValorOperativo[Trazabilidad],0),0)</f>
        <v>0</v>
      </c>
      <c r="N433" s="14">
        <f>IFERROR(_xlfn.XLOOKUP(VLOOKUP(tblEnlaces[[#This Row],[Canal]],tblCanales[#All],7,FALSE),tblPesosValorOperativo[Valor],tblPesosValorOperativo[Velocidad],0),0)</f>
        <v>0</v>
      </c>
      <c r="O433" s="14">
        <f>IFERROR(_xlfn.XLOOKUP(VLOOKUP(tblEnlaces[[#This Row],[Canal]],tblCanales[#All],8,FALSE),tblPesosValorOperativo[Valor],tblPesosValorOperativo[Escalabilidad],0),0)</f>
        <v>0</v>
      </c>
      <c r="P433" s="53">
        <f>tblEnlaces[[#This Row],[Opacidad]]+tblEnlaces[[#This Row],[Escalabilidad]]+tblEnlaces[[#This Row],[Velocidad]]+tblEnlaces[[#This Row],[Trazabilidad]]</f>
        <v>0</v>
      </c>
    </row>
    <row r="434" spans="2:16" ht="16.5" customHeight="1" x14ac:dyDescent="0.25">
      <c r="B434" s="66" t="str">
        <f t="array" ref="B434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34" s="10" t="e">
        <f>VLOOKUP(tblEnlaces[[#This Row],[Nodo Inicial]],tblNodos[],2,FALSE)</f>
        <v>#N/A</v>
      </c>
      <c r="E434" s="39"/>
      <c r="F434" s="10" t="e">
        <f>VLOOKUP(tblEnlaces[[#This Row],[Nodo Final]],tblNodos[],2,FALSE)</f>
        <v>#N/A</v>
      </c>
      <c r="G434" s="39"/>
      <c r="I434" s="53">
        <f>IFERROR(_xlfn.XLOOKUP(VLOOKUP(tblEnlaces[[#This Row],[Canal]],tblCanales[#All],2,FALSE),tblPesosValorOperativo[Valor],tblPesosValorOperativo[Frecuencia de Uso],0),0)</f>
        <v>0</v>
      </c>
      <c r="J434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34" s="64">
        <f>IFERROR(_xlfn.XLOOKUP(VLOOKUP(tblEnlaces[[#This Row],[Canal]],tblCanales[#All],3,FALSE),tblPesosCoste[Valor],tblPesosCoste[Peso],0),0)</f>
        <v>0</v>
      </c>
      <c r="L434" s="10">
        <f>IFERROR(_xlfn.XLOOKUP(VLOOKUP(tblEnlaces[[#This Row],[Canal]],tblCanales[#All],5,FALSE),tblPesosValorOperativo[Valor],tblPesosValorOperativo[Opacidad],0),0)</f>
        <v>0</v>
      </c>
      <c r="M434" s="14">
        <f>IFERROR(_xlfn.XLOOKUP(VLOOKUP(tblEnlaces[[#This Row],[Canal]],tblCanales[#All],6,FALSE),tblPesosValorOperativo[Valor],tblPesosValorOperativo[Trazabilidad],0),0)</f>
        <v>0</v>
      </c>
      <c r="N434" s="14">
        <f>IFERROR(_xlfn.XLOOKUP(VLOOKUP(tblEnlaces[[#This Row],[Canal]],tblCanales[#All],7,FALSE),tblPesosValorOperativo[Valor],tblPesosValorOperativo[Velocidad],0),0)</f>
        <v>0</v>
      </c>
      <c r="O434" s="14">
        <f>IFERROR(_xlfn.XLOOKUP(VLOOKUP(tblEnlaces[[#This Row],[Canal]],tblCanales[#All],8,FALSE),tblPesosValorOperativo[Valor],tblPesosValorOperativo[Escalabilidad],0),0)</f>
        <v>0</v>
      </c>
      <c r="P434" s="53">
        <f>tblEnlaces[[#This Row],[Opacidad]]+tblEnlaces[[#This Row],[Escalabilidad]]+tblEnlaces[[#This Row],[Velocidad]]+tblEnlaces[[#This Row],[Trazabilidad]]</f>
        <v>0</v>
      </c>
    </row>
    <row r="435" spans="2:16" ht="16.5" customHeight="1" x14ac:dyDescent="0.25">
      <c r="B435" s="66" t="str">
        <f t="array" ref="B435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35" s="10" t="e">
        <f>VLOOKUP(tblEnlaces[[#This Row],[Nodo Inicial]],tblNodos[],2,FALSE)</f>
        <v>#N/A</v>
      </c>
      <c r="E435" s="39"/>
      <c r="F435" s="10" t="e">
        <f>VLOOKUP(tblEnlaces[[#This Row],[Nodo Final]],tblNodos[],2,FALSE)</f>
        <v>#N/A</v>
      </c>
      <c r="G435" s="39"/>
      <c r="I435" s="53">
        <f>IFERROR(_xlfn.XLOOKUP(VLOOKUP(tblEnlaces[[#This Row],[Canal]],tblCanales[#All],2,FALSE),tblPesosValorOperativo[Valor],tblPesosValorOperativo[Frecuencia de Uso],0),0)</f>
        <v>0</v>
      </c>
      <c r="J435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35" s="64">
        <f>IFERROR(_xlfn.XLOOKUP(VLOOKUP(tblEnlaces[[#This Row],[Canal]],tblCanales[#All],3,FALSE),tblPesosCoste[Valor],tblPesosCoste[Peso],0),0)</f>
        <v>0</v>
      </c>
      <c r="L435" s="10">
        <f>IFERROR(_xlfn.XLOOKUP(VLOOKUP(tblEnlaces[[#This Row],[Canal]],tblCanales[#All],5,FALSE),tblPesosValorOperativo[Valor],tblPesosValorOperativo[Opacidad],0),0)</f>
        <v>0</v>
      </c>
      <c r="M435" s="14">
        <f>IFERROR(_xlfn.XLOOKUP(VLOOKUP(tblEnlaces[[#This Row],[Canal]],tblCanales[#All],6,FALSE),tblPesosValorOperativo[Valor],tblPesosValorOperativo[Trazabilidad],0),0)</f>
        <v>0</v>
      </c>
      <c r="N435" s="14">
        <f>IFERROR(_xlfn.XLOOKUP(VLOOKUP(tblEnlaces[[#This Row],[Canal]],tblCanales[#All],7,FALSE),tblPesosValorOperativo[Valor],tblPesosValorOperativo[Velocidad],0),0)</f>
        <v>0</v>
      </c>
      <c r="O435" s="14">
        <f>IFERROR(_xlfn.XLOOKUP(VLOOKUP(tblEnlaces[[#This Row],[Canal]],tblCanales[#All],8,FALSE),tblPesosValorOperativo[Valor],tblPesosValorOperativo[Escalabilidad],0),0)</f>
        <v>0</v>
      </c>
      <c r="P435" s="53">
        <f>tblEnlaces[[#This Row],[Opacidad]]+tblEnlaces[[#This Row],[Escalabilidad]]+tblEnlaces[[#This Row],[Velocidad]]+tblEnlaces[[#This Row],[Trazabilidad]]</f>
        <v>0</v>
      </c>
    </row>
    <row r="436" spans="2:16" ht="16.5" customHeight="1" x14ac:dyDescent="0.25">
      <c r="B436" s="66" t="str">
        <f t="array" ref="B436">IF(OR(tblEnlaces[[#This Row],[Nodo Inicial]]="",tblEnlaces[[#This Row],[Nodo Final]]=""),"","E"&amp;TEXT(_xlfn.XMATCH(tblEnlaces[[#This Row],[Nodo Inicial]]&amp;"|"&amp;tblEnlaces[[#This Row],[Nodo Final]],_xlfn.UNIQUE(_xlfn._xlws.FILTER(tblEnlaces[Nodo Inicial]&amp;"|"&amp;tblEnlaces[Nodo Final],(tblEnlaces[Nodo Inicial]&lt;&gt;"")*(tblEnlaces[Nodo Final]&lt;&gt;""))),0),"000"))</f>
        <v/>
      </c>
      <c r="D436" s="10" t="e">
        <f>VLOOKUP(tblEnlaces[[#This Row],[Nodo Inicial]],tblNodos[],2,FALSE)</f>
        <v>#N/A</v>
      </c>
      <c r="E436" s="39"/>
      <c r="F436" s="10" t="e">
        <f>VLOOKUP(tblEnlaces[[#This Row],[Nodo Final]],tblNodos[],2,FALSE)</f>
        <v>#N/A</v>
      </c>
      <c r="G436" s="39"/>
      <c r="I436" s="53">
        <f>IFERROR(_xlfn.XLOOKUP(VLOOKUP(tblEnlaces[[#This Row],[Canal]],tblCanales[#All],2,FALSE),tblPesosValorOperativo[Valor],tblPesosValorOperativo[Frecuencia de Uso],0),0)</f>
        <v>0</v>
      </c>
      <c r="J436" s="63">
        <f>IF(tblEnlaces[[#This Row],[Activo]]&lt;&gt;1,0,IFERROR(tblEnlaces[[#This Row],[Frecuencia de Uso]]/SUMIFS(tblEnlaces[Frecuencia de Uso],tblEnlaces[Enlace],tblEnlaces[[#This Row],[Enlace]],tblEnlaces[Activo],1),0))</f>
        <v>0</v>
      </c>
      <c r="K436" s="64">
        <f>IFERROR(_xlfn.XLOOKUP(VLOOKUP(tblEnlaces[[#This Row],[Canal]],tblCanales[#All],3,FALSE),tblPesosCoste[Valor],tblPesosCoste[Peso],0),0)</f>
        <v>0</v>
      </c>
      <c r="L436" s="10">
        <f>IFERROR(_xlfn.XLOOKUP(VLOOKUP(tblEnlaces[[#This Row],[Canal]],tblCanales[#All],5,FALSE),tblPesosValorOperativo[Valor],tblPesosValorOperativo[Opacidad],0),0)</f>
        <v>0</v>
      </c>
      <c r="M436" s="14">
        <f>IFERROR(_xlfn.XLOOKUP(VLOOKUP(tblEnlaces[[#This Row],[Canal]],tblCanales[#All],6,FALSE),tblPesosValorOperativo[Valor],tblPesosValorOperativo[Trazabilidad],0),0)</f>
        <v>0</v>
      </c>
      <c r="N436" s="14">
        <f>IFERROR(_xlfn.XLOOKUP(VLOOKUP(tblEnlaces[[#This Row],[Canal]],tblCanales[#All],7,FALSE),tblPesosValorOperativo[Valor],tblPesosValorOperativo[Velocidad],0),0)</f>
        <v>0</v>
      </c>
      <c r="O436" s="14">
        <f>IFERROR(_xlfn.XLOOKUP(VLOOKUP(tblEnlaces[[#This Row],[Canal]],tblCanales[#All],8,FALSE),tblPesosValorOperativo[Valor],tblPesosValorOperativo[Escalabilidad],0),0)</f>
        <v>0</v>
      </c>
      <c r="P436" s="53">
        <f>tblEnlaces[[#This Row],[Opacidad]]+tblEnlaces[[#This Row],[Escalabilidad]]+tblEnlaces[[#This Row],[Velocidad]]+tblEnlaces[[#This Row],[Trazabilidad]]</f>
        <v>0</v>
      </c>
    </row>
  </sheetData>
  <mergeCells count="1">
    <mergeCell ref="B2:P2"/>
  </mergeCells>
  <conditionalFormatting sqref="B4:P436">
    <cfRule type="expression" dxfId="300" priority="2">
      <formula>MOD(VALUE(MID($B4,2,99)),2)=0</formula>
    </cfRule>
    <cfRule type="expression" dxfId="299" priority="3">
      <formula>MOD(VALUE(MID($B4,2,99)),2)=1</formula>
    </cfRule>
  </conditionalFormatting>
  <conditionalFormatting sqref="H4:H220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J1558"/>
  <sheetViews>
    <sheetView showGridLines="0" zoomScaleNormal="100" workbookViewId="0">
      <pane ySplit="3" topLeftCell="A4" activePane="bottomLeft" state="frozen"/>
      <selection activeCell="B1" sqref="B1"/>
      <selection pane="bottomLeft" activeCell="N22" sqref="N22"/>
    </sheetView>
  </sheetViews>
  <sheetFormatPr baseColWidth="10" defaultColWidth="11.42578125" defaultRowHeight="16.5" customHeight="1" x14ac:dyDescent="0.25"/>
  <cols>
    <col min="1" max="2" width="11.42578125" style="10" customWidth="1"/>
    <col min="3" max="3" width="3.85546875" style="10" customWidth="1"/>
    <col min="4" max="4" width="13.28515625" style="10" customWidth="1"/>
    <col min="5" max="5" width="13" style="10" customWidth="1"/>
    <col min="6" max="6" width="14.42578125" style="10" customWidth="1"/>
    <col min="7" max="8" width="12.5703125" style="10" customWidth="1"/>
    <col min="9" max="9" width="13.7109375" style="10" customWidth="1"/>
    <col min="10" max="10" width="19.140625" style="10" customWidth="1"/>
    <col min="11" max="15" width="11.42578125" style="10" customWidth="1"/>
    <col min="16" max="16384" width="11.42578125" style="10"/>
  </cols>
  <sheetData>
    <row r="2" spans="2:10" ht="15" customHeight="1" x14ac:dyDescent="0.25">
      <c r="D2" s="115" t="s">
        <v>462</v>
      </c>
      <c r="E2" s="122"/>
      <c r="F2" s="122"/>
      <c r="G2" s="122"/>
      <c r="H2" s="122"/>
      <c r="I2" s="122"/>
      <c r="J2" s="122"/>
    </row>
    <row r="3" spans="2:10" s="11" customFormat="1" ht="33" customHeight="1" x14ac:dyDescent="0.25">
      <c r="B3" s="67" t="s">
        <v>470</v>
      </c>
      <c r="D3" s="59" t="s">
        <v>463</v>
      </c>
      <c r="E3" s="59" t="s">
        <v>464</v>
      </c>
      <c r="F3" s="59" t="s">
        <v>466</v>
      </c>
      <c r="G3" s="59" t="s">
        <v>24</v>
      </c>
      <c r="H3" s="59" t="s">
        <v>87</v>
      </c>
      <c r="I3" s="59" t="s">
        <v>469</v>
      </c>
      <c r="J3" s="85" t="s">
        <v>485</v>
      </c>
    </row>
    <row r="4" spans="2:10" ht="12" customHeight="1" x14ac:dyDescent="0.25">
      <c r="B4" s="10" t="str">
        <f t="array" ref="B4:B61">_xlfn._xlws.SORT(_xlfn.UNIQUE(_xlfn._xlws.FILTER(tblEnlaces[Enlace],tblEnlaces[Enlace]&lt;&gt;"")))</f>
        <v>E001</v>
      </c>
      <c r="D4" s="10" t="str">
        <f t="array" ref="D4">IFERROR(INDEX(_xlfn.ANCHORARRAY($B$4),ROW()-ROW($D$3),1),"")</f>
        <v>E001</v>
      </c>
      <c r="E4" s="10" t="str">
        <f>VLOOKUP(tblRed[[#This Row],[Enlace]],tblEnlaces[],2,FALSE)</f>
        <v>O1</v>
      </c>
      <c r="F4" s="10" t="str">
        <f>VLOOKUP(tblRed[[#This Row],[Enlace]],tblEnlaces[],4,FALSE)</f>
        <v>C4</v>
      </c>
      <c r="G4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4" s="68">
        <f t="array" ref="H4">IF(tblRed[[#This Row],[Enlace]]="","",SUMPRODUCT((tblEnlaces[Enlace]=tblRed[[#This Row],[Enlace]])*(tblEnlaces[Activo]=1)*tblEnlaces[COSTE]*tblEnlaces[Frecuencia de Uso Relativa]))</f>
        <v>5</v>
      </c>
      <c r="I4" s="68">
        <f t="array" ref="I4">IF(tblRed[[#This Row],[Enlace]]="","",SUMPRODUCT((tblEnlaces[Enlace]=tblRed[[#This Row],[Enlace]])*(tblEnlaces[Activo]=1)*tblEnlaces[VALOR OPERATIVO]*tblEnlaces[Frecuencia de Uso Relativa]))</f>
        <v>9</v>
      </c>
      <c r="J4" s="68">
        <f>tblRed[[#This Row],[VALOR OPERATIVO]]/tblRed[[#This Row],[COSTE]]</f>
        <v>1.8</v>
      </c>
    </row>
    <row r="5" spans="2:10" ht="12" customHeight="1" x14ac:dyDescent="0.25">
      <c r="B5" s="10" t="str">
        <v>E002</v>
      </c>
      <c r="D5" s="10" t="str">
        <f t="array" ref="D5">IFERROR(INDEX(_xlfn.ANCHORARRAY($B$4),ROW()-ROW($D$3),1),"")</f>
        <v>E002</v>
      </c>
      <c r="E5" s="10" t="str">
        <f>VLOOKUP(tblRed[[#This Row],[Enlace]],tblEnlaces[],2,FALSE)</f>
        <v>O1</v>
      </c>
      <c r="F5" s="10" t="str">
        <f>VLOOKUP(tblRed[[#This Row],[Enlace]],tblEnlaces[],4,FALSE)</f>
        <v>I5</v>
      </c>
      <c r="G5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5" s="68">
        <f t="array" ref="H5">IF(tblRed[[#This Row],[Enlace]]="","",SUMPRODUCT((tblEnlaces[Enlace]=tblRed[[#This Row],[Enlace]])*(tblEnlaces[Activo]=1)*tblEnlaces[COSTE]*tblEnlaces[Frecuencia de Uso Relativa]))</f>
        <v>4.25</v>
      </c>
      <c r="I5" s="68">
        <f t="array" ref="I5">IF(tblRed[[#This Row],[Enlace]]="","",SUMPRODUCT((tblEnlaces[Enlace]=tblRed[[#This Row],[Enlace]])*(tblEnlaces[Activo]=1)*tblEnlaces[VALOR OPERATIVO]*tblEnlaces[Frecuencia de Uso Relativa]))</f>
        <v>10.5</v>
      </c>
      <c r="J5" s="68">
        <f>tblRed[[#This Row],[VALOR OPERATIVO]]/tblRed[[#This Row],[COSTE]]</f>
        <v>2.4705882352941178</v>
      </c>
    </row>
    <row r="6" spans="2:10" ht="12" customHeight="1" x14ac:dyDescent="0.25">
      <c r="B6" s="10" t="str">
        <v>E003</v>
      </c>
      <c r="D6" s="10" t="str">
        <f t="array" ref="D6">IFERROR(INDEX(_xlfn.ANCHORARRAY($B$4),ROW()-ROW($D$3),1),"")</f>
        <v>E003</v>
      </c>
      <c r="E6" s="10" t="str">
        <f>VLOOKUP(tblRed[[#This Row],[Enlace]],tblEnlaces[],2,FALSE)</f>
        <v>O2</v>
      </c>
      <c r="F6" s="10" t="str">
        <f>VLOOKUP(tblRed[[#This Row],[Enlace]],tblEnlaces[],4,FALSE)</f>
        <v>I12</v>
      </c>
      <c r="G6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6" s="68">
        <f t="array" ref="H6">IF(tblRed[[#This Row],[Enlace]]="","",SUMPRODUCT((tblEnlaces[Enlace]=tblRed[[#This Row],[Enlace]])*(tblEnlaces[Activo]=1)*tblEnlaces[COSTE]*tblEnlaces[Frecuencia de Uso Relativa]))</f>
        <v>4.5294117647058831</v>
      </c>
      <c r="I6" s="68">
        <f t="array" ref="I6">IF(tblRed[[#This Row],[Enlace]]="","",SUMPRODUCT((tblEnlaces[Enlace]=tblRed[[#This Row],[Enlace]])*(tblEnlaces[Activo]=1)*tblEnlaces[VALOR OPERATIVO]*tblEnlaces[Frecuencia de Uso Relativa]))</f>
        <v>7.8235294117647065</v>
      </c>
      <c r="J6" s="68">
        <f>tblRed[[#This Row],[VALOR OPERATIVO]]/tblRed[[#This Row],[COSTE]]</f>
        <v>1.7272727272727271</v>
      </c>
    </row>
    <row r="7" spans="2:10" ht="12" customHeight="1" x14ac:dyDescent="0.25">
      <c r="B7" s="10" t="str">
        <v>E004</v>
      </c>
      <c r="D7" s="10" t="str">
        <f t="array" ref="D7">IFERROR(INDEX(_xlfn.ANCHORARRAY($B$4),ROW()-ROW($D$3),1),"")</f>
        <v>E004</v>
      </c>
      <c r="E7" s="10" t="str">
        <f>VLOOKUP(tblRed[[#This Row],[Enlace]],tblEnlaces[],2,FALSE)</f>
        <v>O2</v>
      </c>
      <c r="F7" s="10" t="str">
        <f>VLOOKUP(tblRed[[#This Row],[Enlace]],tblEnlaces[],4,FALSE)</f>
        <v>C4</v>
      </c>
      <c r="G7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7" s="68">
        <f t="array" ref="H7">IF(tblRed[[#This Row],[Enlace]]="","",SUMPRODUCT((tblEnlaces[Enlace]=tblRed[[#This Row],[Enlace]])*(tblEnlaces[Activo]=1)*tblEnlaces[COSTE]*tblEnlaces[Frecuencia de Uso Relativa]))</f>
        <v>5</v>
      </c>
      <c r="I7" s="68">
        <f t="array" ref="I7">IF(tblRed[[#This Row],[Enlace]]="","",SUMPRODUCT((tblEnlaces[Enlace]=tblRed[[#This Row],[Enlace]])*(tblEnlaces[Activo]=1)*tblEnlaces[VALOR OPERATIVO]*tblEnlaces[Frecuencia de Uso Relativa]))</f>
        <v>8.5</v>
      </c>
      <c r="J7" s="68">
        <f>tblRed[[#This Row],[VALOR OPERATIVO]]/tblRed[[#This Row],[COSTE]]</f>
        <v>1.7</v>
      </c>
    </row>
    <row r="8" spans="2:10" ht="12" customHeight="1" x14ac:dyDescent="0.25">
      <c r="B8" s="10" t="str">
        <v>E005</v>
      </c>
      <c r="D8" s="10" t="str">
        <f t="array" ref="D8">IFERROR(INDEX(_xlfn.ANCHORARRAY($B$4),ROW()-ROW($D$3),1),"")</f>
        <v>E005</v>
      </c>
      <c r="E8" s="10" t="str">
        <f>VLOOKUP(tblRed[[#This Row],[Enlace]],tblEnlaces[],2,FALSE)</f>
        <v>O2</v>
      </c>
      <c r="F8" s="10" t="str">
        <f>VLOOKUP(tblRed[[#This Row],[Enlace]],tblEnlaces[],4,FALSE)</f>
        <v>C1</v>
      </c>
      <c r="G8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8" s="68">
        <f t="array" ref="H8">IF(tblRed[[#This Row],[Enlace]]="","",SUMPRODUCT((tblEnlaces[Enlace]=tblRed[[#This Row],[Enlace]])*(tblEnlaces[Activo]=1)*tblEnlaces[COSTE]*tblEnlaces[Frecuencia de Uso Relativa]))</f>
        <v>4.8181818181818183</v>
      </c>
      <c r="I8" s="68">
        <f t="array" ref="I8">IF(tblRed[[#This Row],[Enlace]]="","",SUMPRODUCT((tblEnlaces[Enlace]=tblRed[[#This Row],[Enlace]])*(tblEnlaces[Activo]=1)*tblEnlaces[VALOR OPERATIVO]*tblEnlaces[Frecuencia de Uso Relativa]))</f>
        <v>8.8181818181818183</v>
      </c>
      <c r="J8" s="68">
        <f>tblRed[[#This Row],[VALOR OPERATIVO]]/tblRed[[#This Row],[COSTE]]</f>
        <v>1.8301886792452831</v>
      </c>
    </row>
    <row r="9" spans="2:10" ht="12" customHeight="1" x14ac:dyDescent="0.25">
      <c r="B9" s="10" t="str">
        <v>E006</v>
      </c>
      <c r="D9" s="10" t="str">
        <f t="array" ref="D9">IFERROR(INDEX(_xlfn.ANCHORARRAY($B$4),ROW()-ROW($D$3),1),"")</f>
        <v>E006</v>
      </c>
      <c r="E9" s="10" t="str">
        <f>VLOOKUP(tblRed[[#This Row],[Enlace]],tblEnlaces[],2,FALSE)</f>
        <v>O2</v>
      </c>
      <c r="F9" s="10" t="str">
        <f>VLOOKUP(tblRed[[#This Row],[Enlace]],tblEnlaces[],4,FALSE)</f>
        <v>C3</v>
      </c>
      <c r="G9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9" s="68">
        <f t="array" ref="H9">IF(tblRed[[#This Row],[Enlace]]="","",SUMPRODUCT((tblEnlaces[Enlace]=tblRed[[#This Row],[Enlace]])*(tblEnlaces[Activo]=1)*tblEnlaces[COSTE]*tblEnlaces[Frecuencia de Uso Relativa]))</f>
        <v>4.5483870967741931</v>
      </c>
      <c r="I9" s="68">
        <f t="array" ref="I9">IF(tblRed[[#This Row],[Enlace]]="","",SUMPRODUCT((tblEnlaces[Enlace]=tblRed[[#This Row],[Enlace]])*(tblEnlaces[Activo]=1)*tblEnlaces[VALOR OPERATIVO]*tblEnlaces[Frecuencia de Uso Relativa]))</f>
        <v>8.8064516129032242</v>
      </c>
      <c r="J9" s="68">
        <f>tblRed[[#This Row],[VALOR OPERATIVO]]/tblRed[[#This Row],[COSTE]]</f>
        <v>1.9361702127659572</v>
      </c>
    </row>
    <row r="10" spans="2:10" ht="12" customHeight="1" x14ac:dyDescent="0.25">
      <c r="B10" s="10" t="str">
        <v>E007</v>
      </c>
      <c r="D10" s="10" t="str">
        <f t="array" ref="D10">IFERROR(INDEX(_xlfn.ANCHORARRAY($B$4),ROW()-ROW($D$3),1),"")</f>
        <v>E007</v>
      </c>
      <c r="E10" s="10" t="str">
        <f>VLOOKUP(tblRed[[#This Row],[Enlace]],tblEnlaces[],2,FALSE)</f>
        <v>O3</v>
      </c>
      <c r="F10" s="10" t="str">
        <f>VLOOKUP(tblRed[[#This Row],[Enlace]],tblEnlaces[],4,FALSE)</f>
        <v>C5</v>
      </c>
      <c r="G10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10" s="68">
        <f t="array" ref="H10">IF(tblRed[[#This Row],[Enlace]]="","",SUMPRODUCT((tblEnlaces[Enlace]=tblRed[[#This Row],[Enlace]])*(tblEnlaces[Activo]=1)*tblEnlaces[COSTE]*tblEnlaces[Frecuencia de Uso Relativa]))</f>
        <v>4.8461538461538458</v>
      </c>
      <c r="I10" s="68">
        <f t="array" ref="I10">IF(tblRed[[#This Row],[Enlace]]="","",SUMPRODUCT((tblEnlaces[Enlace]=tblRed[[#This Row],[Enlace]])*(tblEnlaces[Activo]=1)*tblEnlaces[VALOR OPERATIVO]*tblEnlaces[Frecuencia de Uso Relativa]))</f>
        <v>8.6923076923076934</v>
      </c>
      <c r="J10" s="68">
        <f>tblRed[[#This Row],[VALOR OPERATIVO]]/tblRed[[#This Row],[COSTE]]</f>
        <v>1.7936507936507939</v>
      </c>
    </row>
    <row r="11" spans="2:10" ht="12" customHeight="1" x14ac:dyDescent="0.25">
      <c r="B11" s="10" t="str">
        <v>E008</v>
      </c>
      <c r="D11" s="10" t="str">
        <f t="array" ref="D11">IFERROR(INDEX(_xlfn.ANCHORARRAY($B$4),ROW()-ROW($D$3),1),"")</f>
        <v>E008</v>
      </c>
      <c r="E11" s="10" t="str">
        <f>VLOOKUP(tblRed[[#This Row],[Enlace]],tblEnlaces[],2,FALSE)</f>
        <v>O4</v>
      </c>
      <c r="F11" s="10" t="str">
        <f>VLOOKUP(tblRed[[#This Row],[Enlace]],tblEnlaces[],4,FALSE)</f>
        <v>C1</v>
      </c>
      <c r="G11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11" s="68">
        <f t="array" ref="H11">IF(tblRed[[#This Row],[Enlace]]="","",SUMPRODUCT((tblEnlaces[Enlace]=tblRed[[#This Row],[Enlace]])*(tblEnlaces[Activo]=1)*tblEnlaces[COSTE]*tblEnlaces[Frecuencia de Uso Relativa]))</f>
        <v>5</v>
      </c>
      <c r="I11" s="68">
        <f t="array" ref="I11">IF(tblRed[[#This Row],[Enlace]]="","",SUMPRODUCT((tblEnlaces[Enlace]=tblRed[[#This Row],[Enlace]])*(tblEnlaces[Activo]=1)*tblEnlaces[VALOR OPERATIVO]*tblEnlaces[Frecuencia de Uso Relativa]))</f>
        <v>8.2307692307692299</v>
      </c>
      <c r="J11" s="68">
        <f>tblRed[[#This Row],[VALOR OPERATIVO]]/tblRed[[#This Row],[COSTE]]</f>
        <v>1.6461538461538461</v>
      </c>
    </row>
    <row r="12" spans="2:10" ht="12" customHeight="1" x14ac:dyDescent="0.25">
      <c r="B12" s="10" t="str">
        <v>E009</v>
      </c>
      <c r="D12" s="10" t="str">
        <f t="array" ref="D12">IFERROR(INDEX(_xlfn.ANCHORARRAY($B$4),ROW()-ROW($D$3),1),"")</f>
        <v>E009</v>
      </c>
      <c r="E12" s="10" t="str">
        <f>VLOOKUP(tblRed[[#This Row],[Enlace]],tblEnlaces[],2,FALSE)</f>
        <v>O5</v>
      </c>
      <c r="F12" s="10" t="str">
        <f>VLOOKUP(tblRed[[#This Row],[Enlace]],tblEnlaces[],4,FALSE)</f>
        <v>C1</v>
      </c>
      <c r="G12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12" s="68">
        <f t="array" ref="H12">IF(tblRed[[#This Row],[Enlace]]="","",SUMPRODUCT((tblEnlaces[Enlace]=tblRed[[#This Row],[Enlace]])*(tblEnlaces[Activo]=1)*tblEnlaces[COSTE]*tblEnlaces[Frecuencia de Uso Relativa]))</f>
        <v>4.2</v>
      </c>
      <c r="I12" s="68">
        <f t="array" ref="I12">IF(tblRed[[#This Row],[Enlace]]="","",SUMPRODUCT((tblEnlaces[Enlace]=tblRed[[#This Row],[Enlace]])*(tblEnlaces[Activo]=1)*tblEnlaces[VALOR OPERATIVO]*tblEnlaces[Frecuencia de Uso Relativa]))</f>
        <v>8.8000000000000007</v>
      </c>
      <c r="J12" s="68">
        <f>tblRed[[#This Row],[VALOR OPERATIVO]]/tblRed[[#This Row],[COSTE]]</f>
        <v>2.0952380952380953</v>
      </c>
    </row>
    <row r="13" spans="2:10" ht="12" customHeight="1" x14ac:dyDescent="0.25">
      <c r="B13" s="10" t="str">
        <v>E010</v>
      </c>
      <c r="D13" s="10" t="str">
        <f t="array" ref="D13">IFERROR(INDEX(_xlfn.ANCHORARRAY($B$4),ROW()-ROW($D$3),1),"")</f>
        <v>E010</v>
      </c>
      <c r="E13" s="10" t="str">
        <f>VLOOKUP(tblRed[[#This Row],[Enlace]],tblEnlaces[],2,FALSE)</f>
        <v>O5</v>
      </c>
      <c r="F13" s="10" t="str">
        <f>VLOOKUP(tblRed[[#This Row],[Enlace]],tblEnlaces[],4,FALSE)</f>
        <v>I12</v>
      </c>
      <c r="G13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13" s="68">
        <f t="array" ref="H13">IF(tblRed[[#This Row],[Enlace]]="","",SUMPRODUCT((tblEnlaces[Enlace]=tblRed[[#This Row],[Enlace]])*(tblEnlaces[Activo]=1)*tblEnlaces[COSTE]*tblEnlaces[Frecuencia de Uso Relativa]))</f>
        <v>2</v>
      </c>
      <c r="I13" s="68">
        <f t="array" ref="I13">IF(tblRed[[#This Row],[Enlace]]="","",SUMPRODUCT((tblEnlaces[Enlace]=tblRed[[#This Row],[Enlace]])*(tblEnlaces[Activo]=1)*tblEnlaces[VALOR OPERATIVO]*tblEnlaces[Frecuencia de Uso Relativa]))</f>
        <v>8</v>
      </c>
      <c r="J13" s="68">
        <f>tblRed[[#This Row],[VALOR OPERATIVO]]/tblRed[[#This Row],[COSTE]]</f>
        <v>4</v>
      </c>
    </row>
    <row r="14" spans="2:10" ht="12" customHeight="1" x14ac:dyDescent="0.25">
      <c r="B14" s="10" t="str">
        <v>E011</v>
      </c>
      <c r="D14" s="10" t="str">
        <f t="array" ref="D14">IFERROR(INDEX(_xlfn.ANCHORARRAY($B$4),ROW()-ROW($D$3),1),"")</f>
        <v>E011</v>
      </c>
      <c r="E14" s="10" t="str">
        <f>VLOOKUP(tblRed[[#This Row],[Enlace]],tblEnlaces[],2,FALSE)</f>
        <v>O6</v>
      </c>
      <c r="F14" s="10" t="str">
        <f>VLOOKUP(tblRed[[#This Row],[Enlace]],tblEnlaces[],4,FALSE)</f>
        <v>I9</v>
      </c>
      <c r="G14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14" s="68">
        <f t="array" ref="H14">IF(tblRed[[#This Row],[Enlace]]="","",SUMPRODUCT((tblEnlaces[Enlace]=tblRed[[#This Row],[Enlace]])*(tblEnlaces[Activo]=1)*tblEnlaces[COSTE]*tblEnlaces[Frecuencia de Uso Relativa]))</f>
        <v>2.75</v>
      </c>
      <c r="I14" s="68">
        <f t="array" ref="I14">IF(tblRed[[#This Row],[Enlace]]="","",SUMPRODUCT((tblEnlaces[Enlace]=tblRed[[#This Row],[Enlace]])*(tblEnlaces[Activo]=1)*tblEnlaces[VALOR OPERATIVO]*tblEnlaces[Frecuencia de Uso Relativa]))</f>
        <v>9.9166666666666661</v>
      </c>
      <c r="J14" s="68">
        <f>tblRed[[#This Row],[VALOR OPERATIVO]]/tblRed[[#This Row],[COSTE]]</f>
        <v>3.606060606060606</v>
      </c>
    </row>
    <row r="15" spans="2:10" ht="12" customHeight="1" x14ac:dyDescent="0.25">
      <c r="B15" s="10" t="str">
        <v>E012</v>
      </c>
      <c r="D15" s="10" t="str">
        <f t="array" ref="D15">IFERROR(INDEX(_xlfn.ANCHORARRAY($B$4),ROW()-ROW($D$3),1),"")</f>
        <v>E012</v>
      </c>
      <c r="E15" s="10" t="str">
        <f>VLOOKUP(tblRed[[#This Row],[Enlace]],tblEnlaces[],2,FALSE)</f>
        <v>O7</v>
      </c>
      <c r="F15" s="10" t="str">
        <f>VLOOKUP(tblRed[[#This Row],[Enlace]],tblEnlaces[],4,FALSE)</f>
        <v>I9</v>
      </c>
      <c r="G15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15" s="68">
        <f t="array" ref="H15">IF(tblRed[[#This Row],[Enlace]]="","",SUMPRODUCT((tblEnlaces[Enlace]=tblRed[[#This Row],[Enlace]])*(tblEnlaces[Activo]=1)*tblEnlaces[COSTE]*tblEnlaces[Frecuencia de Uso Relativa]))</f>
        <v>2.666666666666667</v>
      </c>
      <c r="I15" s="68">
        <f t="array" ref="I15">IF(tblRed[[#This Row],[Enlace]]="","",SUMPRODUCT((tblEnlaces[Enlace]=tblRed[[#This Row],[Enlace]])*(tblEnlaces[Activo]=1)*tblEnlaces[VALOR OPERATIVO]*tblEnlaces[Frecuencia de Uso Relativa]))</f>
        <v>10.133333333333333</v>
      </c>
      <c r="J15" s="68">
        <f>tblRed[[#This Row],[VALOR OPERATIVO]]/tblRed[[#This Row],[COSTE]]</f>
        <v>3.7999999999999994</v>
      </c>
    </row>
    <row r="16" spans="2:10" ht="12" customHeight="1" x14ac:dyDescent="0.25">
      <c r="B16" s="10" t="str">
        <v>E013</v>
      </c>
      <c r="D16" s="10" t="str">
        <f t="array" ref="D16">IFERROR(INDEX(_xlfn.ANCHORARRAY($B$4),ROW()-ROW($D$3),1),"")</f>
        <v>E013</v>
      </c>
      <c r="E16" s="10" t="str">
        <f>VLOOKUP(tblRed[[#This Row],[Enlace]],tblEnlaces[],2,FALSE)</f>
        <v>O7</v>
      </c>
      <c r="F16" s="10" t="str">
        <f>VLOOKUP(tblRed[[#This Row],[Enlace]],tblEnlaces[],4,FALSE)</f>
        <v>C1</v>
      </c>
      <c r="G16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16" s="68">
        <f t="array" ref="H16">IF(tblRed[[#This Row],[Enlace]]="","",SUMPRODUCT((tblEnlaces[Enlace]=tblRed[[#This Row],[Enlace]])*(tblEnlaces[Activo]=1)*tblEnlaces[COSTE]*tblEnlaces[Frecuencia de Uso Relativa]))</f>
        <v>5</v>
      </c>
      <c r="I16" s="68">
        <f t="array" ref="I16">IF(tblRed[[#This Row],[Enlace]]="","",SUMPRODUCT((tblEnlaces[Enlace]=tblRed[[#This Row],[Enlace]])*(tblEnlaces[Activo]=1)*tblEnlaces[VALOR OPERATIVO]*tblEnlaces[Frecuencia de Uso Relativa]))</f>
        <v>7</v>
      </c>
      <c r="J16" s="68">
        <f>tblRed[[#This Row],[VALOR OPERATIVO]]/tblRed[[#This Row],[COSTE]]</f>
        <v>1.4</v>
      </c>
    </row>
    <row r="17" spans="2:10" ht="12" customHeight="1" x14ac:dyDescent="0.25">
      <c r="B17" s="10" t="str">
        <v>E014</v>
      </c>
      <c r="D17" s="10" t="str">
        <f t="array" ref="D17">IFERROR(INDEX(_xlfn.ANCHORARRAY($B$4),ROW()-ROW($D$3),1),"")</f>
        <v>E014</v>
      </c>
      <c r="E17" s="10" t="str">
        <f>VLOOKUP(tblRed[[#This Row],[Enlace]],tblEnlaces[],2,FALSE)</f>
        <v>O8</v>
      </c>
      <c r="F17" s="10" t="str">
        <f>VLOOKUP(tblRed[[#This Row],[Enlace]],tblEnlaces[],4,FALSE)</f>
        <v>I7</v>
      </c>
      <c r="G17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17" s="68">
        <f t="array" ref="H17">IF(tblRed[[#This Row],[Enlace]]="","",SUMPRODUCT((tblEnlaces[Enlace]=tblRed[[#This Row],[Enlace]])*(tblEnlaces[Activo]=1)*tblEnlaces[COSTE]*tblEnlaces[Frecuencia de Uso Relativa]))</f>
        <v>3.8888888888888884</v>
      </c>
      <c r="I17" s="68">
        <f t="array" ref="I17">IF(tblRed[[#This Row],[Enlace]]="","",SUMPRODUCT((tblEnlaces[Enlace]=tblRed[[#This Row],[Enlace]])*(tblEnlaces[Activo]=1)*tblEnlaces[VALOR OPERATIVO]*tblEnlaces[Frecuencia de Uso Relativa]))</f>
        <v>8.5555555555555554</v>
      </c>
      <c r="J17" s="68">
        <f>tblRed[[#This Row],[VALOR OPERATIVO]]/tblRed[[#This Row],[COSTE]]</f>
        <v>2.2000000000000002</v>
      </c>
    </row>
    <row r="18" spans="2:10" ht="12" customHeight="1" x14ac:dyDescent="0.25">
      <c r="B18" s="10" t="str">
        <v>E015</v>
      </c>
      <c r="D18" s="10" t="str">
        <f t="array" ref="D18">IFERROR(INDEX(_xlfn.ANCHORARRAY($B$4),ROW()-ROW($D$3),1),"")</f>
        <v>E015</v>
      </c>
      <c r="E18" s="10" t="str">
        <f>VLOOKUP(tblRed[[#This Row],[Enlace]],tblEnlaces[],2,FALSE)</f>
        <v>O8</v>
      </c>
      <c r="F18" s="10" t="str">
        <f>VLOOKUP(tblRed[[#This Row],[Enlace]],tblEnlaces[],4,FALSE)</f>
        <v>C4</v>
      </c>
      <c r="G18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18" s="68">
        <f t="array" ref="H18">IF(tblRed[[#This Row],[Enlace]]="","",SUMPRODUCT((tblEnlaces[Enlace]=tblRed[[#This Row],[Enlace]])*(tblEnlaces[Activo]=1)*tblEnlaces[COSTE]*tblEnlaces[Frecuencia de Uso Relativa]))</f>
        <v>5</v>
      </c>
      <c r="I18" s="68">
        <f t="array" ref="I18">IF(tblRed[[#This Row],[Enlace]]="","",SUMPRODUCT((tblEnlaces[Enlace]=tblRed[[#This Row],[Enlace]])*(tblEnlaces[Activo]=1)*tblEnlaces[VALOR OPERATIVO]*tblEnlaces[Frecuencia de Uso Relativa]))</f>
        <v>9.1538461538461533</v>
      </c>
      <c r="J18" s="68">
        <f>tblRed[[#This Row],[VALOR OPERATIVO]]/tblRed[[#This Row],[COSTE]]</f>
        <v>1.8307692307692307</v>
      </c>
    </row>
    <row r="19" spans="2:10" ht="12" customHeight="1" x14ac:dyDescent="0.25">
      <c r="B19" s="10" t="str">
        <v>E016</v>
      </c>
      <c r="D19" s="10" t="str">
        <f t="array" ref="D19">IFERROR(INDEX(_xlfn.ANCHORARRAY($B$4),ROW()-ROW($D$3),1),"")</f>
        <v>E016</v>
      </c>
      <c r="E19" s="10" t="str">
        <f>VLOOKUP(tblRed[[#This Row],[Enlace]],tblEnlaces[],2,FALSE)</f>
        <v>C1</v>
      </c>
      <c r="F19" s="10" t="str">
        <f>VLOOKUP(tblRed[[#This Row],[Enlace]],tblEnlaces[],4,FALSE)</f>
        <v>I1</v>
      </c>
      <c r="G19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19" s="68">
        <f t="array" ref="H19">IF(tblRed[[#This Row],[Enlace]]="","",SUMPRODUCT((tblEnlaces[Enlace]=tblRed[[#This Row],[Enlace]])*(tblEnlaces[Activo]=1)*tblEnlaces[COSTE]*tblEnlaces[Frecuencia de Uso Relativa]))</f>
        <v>3.7692307692307692</v>
      </c>
      <c r="I19" s="68">
        <f t="array" ref="I19">IF(tblRed[[#This Row],[Enlace]]="","",SUMPRODUCT((tblEnlaces[Enlace]=tblRed[[#This Row],[Enlace]])*(tblEnlaces[Activo]=1)*tblEnlaces[VALOR OPERATIVO]*tblEnlaces[Frecuencia de Uso Relativa]))</f>
        <v>7.9230769230769234</v>
      </c>
      <c r="J19" s="68">
        <f>tblRed[[#This Row],[VALOR OPERATIVO]]/tblRed[[#This Row],[COSTE]]</f>
        <v>2.1020408163265305</v>
      </c>
    </row>
    <row r="20" spans="2:10" ht="12" customHeight="1" x14ac:dyDescent="0.25">
      <c r="B20" s="10" t="str">
        <v>E017</v>
      </c>
      <c r="D20" s="10" t="str">
        <f t="array" ref="D20">IFERROR(INDEX(_xlfn.ANCHORARRAY($B$4),ROW()-ROW($D$3),1),"")</f>
        <v>E017</v>
      </c>
      <c r="E20" s="10" t="str">
        <f>VLOOKUP(tblRed[[#This Row],[Enlace]],tblEnlaces[],2,FALSE)</f>
        <v>C1</v>
      </c>
      <c r="F20" s="10" t="str">
        <f>VLOOKUP(tblRed[[#This Row],[Enlace]],tblEnlaces[],4,FALSE)</f>
        <v>G1</v>
      </c>
      <c r="G20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20" s="68">
        <f t="array" ref="H20">IF(tblRed[[#This Row],[Enlace]]="","",SUMPRODUCT((tblEnlaces[Enlace]=tblRed[[#This Row],[Enlace]])*(tblEnlaces[Activo]=1)*tblEnlaces[COSTE]*tblEnlaces[Frecuencia de Uso Relativa]))</f>
        <v>5</v>
      </c>
      <c r="I20" s="68">
        <f t="array" ref="I20">IF(tblRed[[#This Row],[Enlace]]="","",SUMPRODUCT((tblEnlaces[Enlace]=tblRed[[#This Row],[Enlace]])*(tblEnlaces[Activo]=1)*tblEnlaces[VALOR OPERATIVO]*tblEnlaces[Frecuencia de Uso Relativa]))</f>
        <v>8.7333333333333325</v>
      </c>
      <c r="J20" s="68">
        <f>tblRed[[#This Row],[VALOR OPERATIVO]]/tblRed[[#This Row],[COSTE]]</f>
        <v>1.7466666666666666</v>
      </c>
    </row>
    <row r="21" spans="2:10" ht="12" customHeight="1" x14ac:dyDescent="0.25">
      <c r="B21" s="10" t="str">
        <v>E018</v>
      </c>
      <c r="D21" s="10" t="str">
        <f t="array" ref="D21">IFERROR(INDEX(_xlfn.ANCHORARRAY($B$4),ROW()-ROW($D$3),1),"")</f>
        <v>E018</v>
      </c>
      <c r="E21" s="10" t="str">
        <f>VLOOKUP(tblRed[[#This Row],[Enlace]],tblEnlaces[],2,FALSE)</f>
        <v>C2</v>
      </c>
      <c r="F21" s="10" t="str">
        <f>VLOOKUP(tblRed[[#This Row],[Enlace]],tblEnlaces[],4,FALSE)</f>
        <v>I7</v>
      </c>
      <c r="G21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21" s="68">
        <f t="array" ref="H21">IF(tblRed[[#This Row],[Enlace]]="","",SUMPRODUCT((tblEnlaces[Enlace]=tblRed[[#This Row],[Enlace]])*(tblEnlaces[Activo]=1)*tblEnlaces[COSTE]*tblEnlaces[Frecuencia de Uso Relativa]))</f>
        <v>3.9333333333333327</v>
      </c>
      <c r="I21" s="68">
        <f t="array" ref="I21">IF(tblRed[[#This Row],[Enlace]]="","",SUMPRODUCT((tblEnlaces[Enlace]=tblRed[[#This Row],[Enlace]])*(tblEnlaces[Activo]=1)*tblEnlaces[VALOR OPERATIVO]*tblEnlaces[Frecuencia de Uso Relativa]))</f>
        <v>9.1333333333333329</v>
      </c>
      <c r="J21" s="68">
        <f>tblRed[[#This Row],[VALOR OPERATIVO]]/tblRed[[#This Row],[COSTE]]</f>
        <v>2.3220338983050852</v>
      </c>
    </row>
    <row r="22" spans="2:10" ht="12" customHeight="1" x14ac:dyDescent="0.25">
      <c r="B22" s="10" t="str">
        <v>E019</v>
      </c>
      <c r="D22" s="10" t="str">
        <f t="array" ref="D22">IFERROR(INDEX(_xlfn.ANCHORARRAY($B$4),ROW()-ROW($D$3),1),"")</f>
        <v>E019</v>
      </c>
      <c r="E22" s="10" t="str">
        <f>VLOOKUP(tblRed[[#This Row],[Enlace]],tblEnlaces[],2,FALSE)</f>
        <v>C2</v>
      </c>
      <c r="F22" s="10" t="str">
        <f>VLOOKUP(tblRed[[#This Row],[Enlace]],tblEnlaces[],4,FALSE)</f>
        <v>I2</v>
      </c>
      <c r="G22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22" s="68">
        <f t="array" ref="H22">IF(tblRed[[#This Row],[Enlace]]="","",SUMPRODUCT((tblEnlaces[Enlace]=tblRed[[#This Row],[Enlace]])*(tblEnlaces[Activo]=1)*tblEnlaces[COSTE]*tblEnlaces[Frecuencia de Uso Relativa]))</f>
        <v>5</v>
      </c>
      <c r="I22" s="68">
        <f t="array" ref="I22">IF(tblRed[[#This Row],[Enlace]]="","",SUMPRODUCT((tblEnlaces[Enlace]=tblRed[[#This Row],[Enlace]])*(tblEnlaces[Activo]=1)*tblEnlaces[VALOR OPERATIVO]*tblEnlaces[Frecuencia de Uso Relativa]))</f>
        <v>7</v>
      </c>
      <c r="J22" s="68">
        <f>tblRed[[#This Row],[VALOR OPERATIVO]]/tblRed[[#This Row],[COSTE]]</f>
        <v>1.4</v>
      </c>
    </row>
    <row r="23" spans="2:10" ht="12" customHeight="1" x14ac:dyDescent="0.25">
      <c r="B23" s="10" t="str">
        <v>E020</v>
      </c>
      <c r="D23" s="10" t="str">
        <f t="array" ref="D23">IFERROR(INDEX(_xlfn.ANCHORARRAY($B$4),ROW()-ROW($D$3),1),"")</f>
        <v>E020</v>
      </c>
      <c r="E23" s="10" t="str">
        <f>VLOOKUP(tblRed[[#This Row],[Enlace]],tblEnlaces[],2,FALSE)</f>
        <v>C2</v>
      </c>
      <c r="F23" s="10" t="str">
        <f>VLOOKUP(tblRed[[#This Row],[Enlace]],tblEnlaces[],4,FALSE)</f>
        <v>I3</v>
      </c>
      <c r="G23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23" s="68">
        <f t="array" ref="H23">IF(tblRed[[#This Row],[Enlace]]="","",SUMPRODUCT((tblEnlaces[Enlace]=tblRed[[#This Row],[Enlace]])*(tblEnlaces[Activo]=1)*tblEnlaces[COSTE]*tblEnlaces[Frecuencia de Uso Relativa]))</f>
        <v>4</v>
      </c>
      <c r="I23" s="68">
        <f t="array" ref="I23">IF(tblRed[[#This Row],[Enlace]]="","",SUMPRODUCT((tblEnlaces[Enlace]=tblRed[[#This Row],[Enlace]])*(tblEnlaces[Activo]=1)*tblEnlaces[VALOR OPERATIVO]*tblEnlaces[Frecuencia de Uso Relativa]))</f>
        <v>9</v>
      </c>
      <c r="J23" s="68">
        <f>tblRed[[#This Row],[VALOR OPERATIVO]]/tblRed[[#This Row],[COSTE]]</f>
        <v>2.25</v>
      </c>
    </row>
    <row r="24" spans="2:10" ht="12" customHeight="1" x14ac:dyDescent="0.25">
      <c r="B24" s="10" t="str">
        <v>E021</v>
      </c>
      <c r="D24" s="10" t="str">
        <f t="array" ref="D24">IFERROR(INDEX(_xlfn.ANCHORARRAY($B$4),ROW()-ROW($D$3),1),"")</f>
        <v>E021</v>
      </c>
      <c r="E24" s="10" t="str">
        <f>VLOOKUP(tblRed[[#This Row],[Enlace]],tblEnlaces[],2,FALSE)</f>
        <v>C2</v>
      </c>
      <c r="F24" s="10" t="str">
        <f>VLOOKUP(tblRed[[#This Row],[Enlace]],tblEnlaces[],4,FALSE)</f>
        <v>I11</v>
      </c>
      <c r="G24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24" s="68">
        <f t="array" ref="H24">IF(tblRed[[#This Row],[Enlace]]="","",SUMPRODUCT((tblEnlaces[Enlace]=tblRed[[#This Row],[Enlace]])*(tblEnlaces[Activo]=1)*tblEnlaces[COSTE]*tblEnlaces[Frecuencia de Uso Relativa]))</f>
        <v>4.75</v>
      </c>
      <c r="I24" s="68">
        <f t="array" ref="I24">IF(tblRed[[#This Row],[Enlace]]="","",SUMPRODUCT((tblEnlaces[Enlace]=tblRed[[#This Row],[Enlace]])*(tblEnlaces[Activo]=1)*tblEnlaces[VALOR OPERATIVO]*tblEnlaces[Frecuencia de Uso Relativa]))</f>
        <v>10.25</v>
      </c>
      <c r="J24" s="68">
        <f>tblRed[[#This Row],[VALOR OPERATIVO]]/tblRed[[#This Row],[COSTE]]</f>
        <v>2.1578947368421053</v>
      </c>
    </row>
    <row r="25" spans="2:10" ht="12" customHeight="1" x14ac:dyDescent="0.25">
      <c r="B25" s="10" t="str">
        <v>E022</v>
      </c>
      <c r="D25" s="10" t="str">
        <f t="array" ref="D25">IFERROR(INDEX(_xlfn.ANCHORARRAY($B$4),ROW()-ROW($D$3),1),"")</f>
        <v>E022</v>
      </c>
      <c r="E25" s="10" t="str">
        <f>VLOOKUP(tblRed[[#This Row],[Enlace]],tblEnlaces[],2,FALSE)</f>
        <v>C3</v>
      </c>
      <c r="F25" s="10" t="str">
        <f>VLOOKUP(tblRed[[#This Row],[Enlace]],tblEnlaces[],4,FALSE)</f>
        <v>G4</v>
      </c>
      <c r="G25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25" s="68">
        <f t="array" ref="H25">IF(tblRed[[#This Row],[Enlace]]="","",SUMPRODUCT((tblEnlaces[Enlace]=tblRed[[#This Row],[Enlace]])*(tblEnlaces[Activo]=1)*tblEnlaces[COSTE]*tblEnlaces[Frecuencia de Uso Relativa]))</f>
        <v>5</v>
      </c>
      <c r="I25" s="68">
        <f t="array" ref="I25">IF(tblRed[[#This Row],[Enlace]]="","",SUMPRODUCT((tblEnlaces[Enlace]=tblRed[[#This Row],[Enlace]])*(tblEnlaces[Activo]=1)*tblEnlaces[VALOR OPERATIVO]*tblEnlaces[Frecuencia de Uso Relativa]))</f>
        <v>9</v>
      </c>
      <c r="J25" s="68">
        <f>tblRed[[#This Row],[VALOR OPERATIVO]]/tblRed[[#This Row],[COSTE]]</f>
        <v>1.8</v>
      </c>
    </row>
    <row r="26" spans="2:10" ht="12" customHeight="1" x14ac:dyDescent="0.25">
      <c r="B26" s="10" t="str">
        <v>E023</v>
      </c>
      <c r="D26" s="10" t="str">
        <f t="array" ref="D26">IFERROR(INDEX(_xlfn.ANCHORARRAY($B$4),ROW()-ROW($D$3),1),"")</f>
        <v>E023</v>
      </c>
      <c r="E26" s="10" t="str">
        <f>VLOOKUP(tblRed[[#This Row],[Enlace]],tblEnlaces[],2,FALSE)</f>
        <v>C3</v>
      </c>
      <c r="F26" s="10" t="str">
        <f>VLOOKUP(tblRed[[#This Row],[Enlace]],tblEnlaces[],4,FALSE)</f>
        <v>I6</v>
      </c>
      <c r="G26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26" s="68">
        <f t="array" ref="H26">IF(tblRed[[#This Row],[Enlace]]="","",SUMPRODUCT((tblEnlaces[Enlace]=tblRed[[#This Row],[Enlace]])*(tblEnlaces[Activo]=1)*tblEnlaces[COSTE]*tblEnlaces[Frecuencia de Uso Relativa]))</f>
        <v>5</v>
      </c>
      <c r="I26" s="68">
        <f t="array" ref="I26">IF(tblRed[[#This Row],[Enlace]]="","",SUMPRODUCT((tblEnlaces[Enlace]=tblRed[[#This Row],[Enlace]])*(tblEnlaces[Activo]=1)*tblEnlaces[VALOR OPERATIVO]*tblEnlaces[Frecuencia de Uso Relativa]))</f>
        <v>8.7894736842105257</v>
      </c>
      <c r="J26" s="68">
        <f>tblRed[[#This Row],[VALOR OPERATIVO]]/tblRed[[#This Row],[COSTE]]</f>
        <v>1.7578947368421052</v>
      </c>
    </row>
    <row r="27" spans="2:10" ht="12" customHeight="1" x14ac:dyDescent="0.25">
      <c r="B27" s="10" t="str">
        <v>E024</v>
      </c>
      <c r="D27" s="10" t="str">
        <f t="array" ref="D27">IFERROR(INDEX(_xlfn.ANCHORARRAY($B$4),ROW()-ROW($D$3),1),"")</f>
        <v>E024</v>
      </c>
      <c r="E27" s="10" t="str">
        <f>VLOOKUP(tblRed[[#This Row],[Enlace]],tblEnlaces[],2,FALSE)</f>
        <v>C3</v>
      </c>
      <c r="F27" s="10" t="str">
        <f>VLOOKUP(tblRed[[#This Row],[Enlace]],tblEnlaces[],4,FALSE)</f>
        <v>I2</v>
      </c>
      <c r="G27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27" s="68">
        <f t="array" ref="H27">IF(tblRed[[#This Row],[Enlace]]="","",SUMPRODUCT((tblEnlaces[Enlace]=tblRed[[#This Row],[Enlace]])*(tblEnlaces[Activo]=1)*tblEnlaces[COSTE]*tblEnlaces[Frecuencia de Uso Relativa]))</f>
        <v>4.7142857142857144</v>
      </c>
      <c r="I27" s="68">
        <f t="array" ref="I27">IF(tblRed[[#This Row],[Enlace]]="","",SUMPRODUCT((tblEnlaces[Enlace]=tblRed[[#This Row],[Enlace]])*(tblEnlaces[Activo]=1)*tblEnlaces[VALOR OPERATIVO]*tblEnlaces[Frecuencia de Uso Relativa]))</f>
        <v>6.7142857142857144</v>
      </c>
      <c r="J27" s="68">
        <f>tblRed[[#This Row],[VALOR OPERATIVO]]/tblRed[[#This Row],[COSTE]]</f>
        <v>1.4242424242424243</v>
      </c>
    </row>
    <row r="28" spans="2:10" ht="12" customHeight="1" x14ac:dyDescent="0.25">
      <c r="B28" s="10" t="str">
        <v>E025</v>
      </c>
      <c r="D28" s="10" t="str">
        <f t="array" ref="D28">IFERROR(INDEX(_xlfn.ANCHORARRAY($B$4),ROW()-ROW($D$3),1),"")</f>
        <v>E025</v>
      </c>
      <c r="E28" s="10" t="str">
        <f>VLOOKUP(tblRed[[#This Row],[Enlace]],tblEnlaces[],2,FALSE)</f>
        <v>C4</v>
      </c>
      <c r="F28" s="10" t="str">
        <f>VLOOKUP(tblRed[[#This Row],[Enlace]],tblEnlaces[],4,FALSE)</f>
        <v>G4</v>
      </c>
      <c r="G28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28" s="68">
        <f t="array" ref="H28">IF(tblRed[[#This Row],[Enlace]]="","",SUMPRODUCT((tblEnlaces[Enlace]=tblRed[[#This Row],[Enlace]])*(tblEnlaces[Activo]=1)*tblEnlaces[COSTE]*tblEnlaces[Frecuencia de Uso Relativa]))</f>
        <v>5</v>
      </c>
      <c r="I28" s="68">
        <f t="array" ref="I28">IF(tblRed[[#This Row],[Enlace]]="","",SUMPRODUCT((tblEnlaces[Enlace]=tblRed[[#This Row],[Enlace]])*(tblEnlaces[Activo]=1)*tblEnlaces[VALOR OPERATIVO]*tblEnlaces[Frecuencia de Uso Relativa]))</f>
        <v>9.1538461538461551</v>
      </c>
      <c r="J28" s="68">
        <f>tblRed[[#This Row],[VALOR OPERATIVO]]/tblRed[[#This Row],[COSTE]]</f>
        <v>1.8307692307692309</v>
      </c>
    </row>
    <row r="29" spans="2:10" ht="12" customHeight="1" x14ac:dyDescent="0.25">
      <c r="B29" s="10" t="str">
        <v>E026</v>
      </c>
      <c r="D29" s="10" t="str">
        <f t="array" ref="D29">IFERROR(INDEX(_xlfn.ANCHORARRAY($B$4),ROW()-ROW($D$3),1),"")</f>
        <v>E026</v>
      </c>
      <c r="E29" s="10" t="str">
        <f>VLOOKUP(tblRed[[#This Row],[Enlace]],tblEnlaces[],2,FALSE)</f>
        <v>C4</v>
      </c>
      <c r="F29" s="10" t="str">
        <f>VLOOKUP(tblRed[[#This Row],[Enlace]],tblEnlaces[],4,FALSE)</f>
        <v>I6</v>
      </c>
      <c r="G29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29" s="68">
        <f t="array" ref="H29">IF(tblRed[[#This Row],[Enlace]]="","",SUMPRODUCT((tblEnlaces[Enlace]=tblRed[[#This Row],[Enlace]])*(tblEnlaces[Activo]=1)*tblEnlaces[COSTE]*tblEnlaces[Frecuencia de Uso Relativa]))</f>
        <v>5</v>
      </c>
      <c r="I29" s="68">
        <f t="array" ref="I29">IF(tblRed[[#This Row],[Enlace]]="","",SUMPRODUCT((tblEnlaces[Enlace]=tblRed[[#This Row],[Enlace]])*(tblEnlaces[Activo]=1)*tblEnlaces[VALOR OPERATIVO]*tblEnlaces[Frecuencia de Uso Relativa]))</f>
        <v>8.6521739130434767</v>
      </c>
      <c r="J29" s="68">
        <f>tblRed[[#This Row],[VALOR OPERATIVO]]/tblRed[[#This Row],[COSTE]]</f>
        <v>1.7304347826086954</v>
      </c>
    </row>
    <row r="30" spans="2:10" ht="12" customHeight="1" x14ac:dyDescent="0.25">
      <c r="B30" s="10" t="str">
        <v>E027</v>
      </c>
      <c r="D30" s="10" t="str">
        <f t="array" ref="D30">IFERROR(INDEX(_xlfn.ANCHORARRAY($B$4),ROW()-ROW($D$3),1),"")</f>
        <v>E027</v>
      </c>
      <c r="E30" s="10" t="str">
        <f>VLOOKUP(tblRed[[#This Row],[Enlace]],tblEnlaces[],2,FALSE)</f>
        <v>C4</v>
      </c>
      <c r="F30" s="10" t="str">
        <f>VLOOKUP(tblRed[[#This Row],[Enlace]],tblEnlaces[],4,FALSE)</f>
        <v>I7</v>
      </c>
      <c r="G30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30" s="68">
        <f t="array" ref="H30">IF(tblRed[[#This Row],[Enlace]]="","",SUMPRODUCT((tblEnlaces[Enlace]=tblRed[[#This Row],[Enlace]])*(tblEnlaces[Activo]=1)*tblEnlaces[COSTE]*tblEnlaces[Frecuencia de Uso Relativa]))</f>
        <v>4.1666666666666661</v>
      </c>
      <c r="I30" s="68">
        <f t="array" ref="I30">IF(tblRed[[#This Row],[Enlace]]="","",SUMPRODUCT((tblEnlaces[Enlace]=tblRed[[#This Row],[Enlace]])*(tblEnlaces[Activo]=1)*tblEnlaces[VALOR OPERATIVO]*tblEnlaces[Frecuencia de Uso Relativa]))</f>
        <v>9.5833333333333321</v>
      </c>
      <c r="J30" s="68">
        <f>tblRed[[#This Row],[VALOR OPERATIVO]]/tblRed[[#This Row],[COSTE]]</f>
        <v>2.2999999999999998</v>
      </c>
    </row>
    <row r="31" spans="2:10" ht="12" customHeight="1" x14ac:dyDescent="0.25">
      <c r="B31" s="10" t="str">
        <v>E028</v>
      </c>
      <c r="D31" s="10" t="str">
        <f t="array" ref="D31">IFERROR(INDEX(_xlfn.ANCHORARRAY($B$4),ROW()-ROW($D$3),1),"")</f>
        <v>E028</v>
      </c>
      <c r="E31" s="10" t="str">
        <f>VLOOKUP(tblRed[[#This Row],[Enlace]],tblEnlaces[],2,FALSE)</f>
        <v>C5</v>
      </c>
      <c r="F31" s="10" t="str">
        <f>VLOOKUP(tblRed[[#This Row],[Enlace]],tblEnlaces[],4,FALSE)</f>
        <v>I8</v>
      </c>
      <c r="G31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31" s="68">
        <f t="array" ref="H31">IF(tblRed[[#This Row],[Enlace]]="","",SUMPRODUCT((tblEnlaces[Enlace]=tblRed[[#This Row],[Enlace]])*(tblEnlaces[Activo]=1)*tblEnlaces[COSTE]*tblEnlaces[Frecuencia de Uso Relativa]))</f>
        <v>3.9999999999999996</v>
      </c>
      <c r="I31" s="68">
        <f t="array" ref="I31">IF(tblRed[[#This Row],[Enlace]]="","",SUMPRODUCT((tblEnlaces[Enlace]=tblRed[[#This Row],[Enlace]])*(tblEnlaces[Activo]=1)*tblEnlaces[VALOR OPERATIVO]*tblEnlaces[Frecuencia de Uso Relativa]))</f>
        <v>9.4285714285714288</v>
      </c>
      <c r="J31" s="68">
        <f>tblRed[[#This Row],[VALOR OPERATIVO]]/tblRed[[#This Row],[COSTE]]</f>
        <v>2.3571428571428577</v>
      </c>
    </row>
    <row r="32" spans="2:10" ht="12" customHeight="1" x14ac:dyDescent="0.25">
      <c r="B32" s="10" t="str">
        <v>E029</v>
      </c>
      <c r="D32" s="10" t="str">
        <f t="array" ref="D32">IFERROR(INDEX(_xlfn.ANCHORARRAY($B$4),ROW()-ROW($D$3),1),"")</f>
        <v>E029</v>
      </c>
      <c r="E32" s="10" t="str">
        <f>VLOOKUP(tblRed[[#This Row],[Enlace]],tblEnlaces[],2,FALSE)</f>
        <v>C5</v>
      </c>
      <c r="F32" s="10" t="str">
        <f>VLOOKUP(tblRed[[#This Row],[Enlace]],tblEnlaces[],4,FALSE)</f>
        <v>I5</v>
      </c>
      <c r="G32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32" s="68">
        <f t="array" ref="H32">IF(tblRed[[#This Row],[Enlace]]="","",SUMPRODUCT((tblEnlaces[Enlace]=tblRed[[#This Row],[Enlace]])*(tblEnlaces[Activo]=1)*tblEnlaces[COSTE]*tblEnlaces[Frecuencia de Uso Relativa]))</f>
        <v>4.5</v>
      </c>
      <c r="I32" s="68">
        <f t="array" ref="I32">IF(tblRed[[#This Row],[Enlace]]="","",SUMPRODUCT((tblEnlaces[Enlace]=tblRed[[#This Row],[Enlace]])*(tblEnlaces[Activo]=1)*tblEnlaces[VALOR OPERATIVO]*tblEnlaces[Frecuencia de Uso Relativa]))</f>
        <v>11.5</v>
      </c>
      <c r="J32" s="68">
        <f>tblRed[[#This Row],[VALOR OPERATIVO]]/tblRed[[#This Row],[COSTE]]</f>
        <v>2.5555555555555554</v>
      </c>
    </row>
    <row r="33" spans="2:10" ht="12" customHeight="1" x14ac:dyDescent="0.25">
      <c r="B33" s="10" t="str">
        <v>E030</v>
      </c>
      <c r="D33" s="10" t="str">
        <f t="array" ref="D33">IFERROR(INDEX(_xlfn.ANCHORARRAY($B$4),ROW()-ROW($D$3),1),"")</f>
        <v>E030</v>
      </c>
      <c r="E33" s="10" t="str">
        <f>VLOOKUP(tblRed[[#This Row],[Enlace]],tblEnlaces[],2,FALSE)</f>
        <v>C5</v>
      </c>
      <c r="F33" s="10" t="str">
        <f>VLOOKUP(tblRed[[#This Row],[Enlace]],tblEnlaces[],4,FALSE)</f>
        <v>I6</v>
      </c>
      <c r="G33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33" s="68">
        <f t="array" ref="H33">IF(tblRed[[#This Row],[Enlace]]="","",SUMPRODUCT((tblEnlaces[Enlace]=tblRed[[#This Row],[Enlace]])*(tblEnlaces[Activo]=1)*tblEnlaces[COSTE]*tblEnlaces[Frecuencia de Uso Relativa]))</f>
        <v>4.9999999999999991</v>
      </c>
      <c r="I33" s="68">
        <f t="array" ref="I33">IF(tblRed[[#This Row],[Enlace]]="","",SUMPRODUCT((tblEnlaces[Enlace]=tblRed[[#This Row],[Enlace]])*(tblEnlaces[Activo]=1)*tblEnlaces[VALOR OPERATIVO]*tblEnlaces[Frecuencia de Uso Relativa]))</f>
        <v>8.7333333333333325</v>
      </c>
      <c r="J33" s="68">
        <f>tblRed[[#This Row],[VALOR OPERATIVO]]/tblRed[[#This Row],[COSTE]]</f>
        <v>1.7466666666666668</v>
      </c>
    </row>
    <row r="34" spans="2:10" ht="12" customHeight="1" x14ac:dyDescent="0.25">
      <c r="B34" s="10" t="str">
        <v>E031</v>
      </c>
      <c r="D34" s="10" t="str">
        <f t="array" ref="D34">IFERROR(INDEX(_xlfn.ANCHORARRAY($B$4),ROW()-ROW($D$3),1),"")</f>
        <v>E031</v>
      </c>
      <c r="E34" s="10" t="str">
        <f>VLOOKUP(tblRed[[#This Row],[Enlace]],tblEnlaces[],2,FALSE)</f>
        <v>C5</v>
      </c>
      <c r="F34" s="10" t="str">
        <f>VLOOKUP(tblRed[[#This Row],[Enlace]],tblEnlaces[],4,FALSE)</f>
        <v>I11</v>
      </c>
      <c r="G34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34" s="68">
        <f t="array" ref="H34">IF(tblRed[[#This Row],[Enlace]]="","",SUMPRODUCT((tblEnlaces[Enlace]=tblRed[[#This Row],[Enlace]])*(tblEnlaces[Activo]=1)*tblEnlaces[COSTE]*tblEnlaces[Frecuencia de Uso Relativa]))</f>
        <v>4.75</v>
      </c>
      <c r="I34" s="68">
        <f t="array" ref="I34">IF(tblRed[[#This Row],[Enlace]]="","",SUMPRODUCT((tblEnlaces[Enlace]=tblRed[[#This Row],[Enlace]])*(tblEnlaces[Activo]=1)*tblEnlaces[VALOR OPERATIVO]*tblEnlaces[Frecuencia de Uso Relativa]))</f>
        <v>10.25</v>
      </c>
      <c r="J34" s="68">
        <f>tblRed[[#This Row],[VALOR OPERATIVO]]/tblRed[[#This Row],[COSTE]]</f>
        <v>2.1578947368421053</v>
      </c>
    </row>
    <row r="35" spans="2:10" ht="12" customHeight="1" x14ac:dyDescent="0.25">
      <c r="B35" s="10" t="str">
        <v>E032</v>
      </c>
      <c r="D35" s="10" t="str">
        <f t="array" ref="D35">IFERROR(INDEX(_xlfn.ANCHORARRAY($B$4),ROW()-ROW($D$3),1),"")</f>
        <v>E032</v>
      </c>
      <c r="E35" s="10" t="str">
        <f>VLOOKUP(tblRed[[#This Row],[Enlace]],tblEnlaces[],2,FALSE)</f>
        <v>C6</v>
      </c>
      <c r="F35" s="10" t="str">
        <f>VLOOKUP(tblRed[[#This Row],[Enlace]],tblEnlaces[],4,FALSE)</f>
        <v>I3</v>
      </c>
      <c r="G35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35" s="68">
        <f t="array" ref="H35">IF(tblRed[[#This Row],[Enlace]]="","",SUMPRODUCT((tblEnlaces[Enlace]=tblRed[[#This Row],[Enlace]])*(tblEnlaces[Activo]=1)*tblEnlaces[COSTE]*tblEnlaces[Frecuencia de Uso Relativa]))</f>
        <v>4</v>
      </c>
      <c r="I35" s="68">
        <f t="array" ref="I35">IF(tblRed[[#This Row],[Enlace]]="","",SUMPRODUCT((tblEnlaces[Enlace]=tblRed[[#This Row],[Enlace]])*(tblEnlaces[Activo]=1)*tblEnlaces[VALOR OPERATIVO]*tblEnlaces[Frecuencia de Uso Relativa]))</f>
        <v>9</v>
      </c>
      <c r="J35" s="68">
        <f>tblRed[[#This Row],[VALOR OPERATIVO]]/tblRed[[#This Row],[COSTE]]</f>
        <v>2.25</v>
      </c>
    </row>
    <row r="36" spans="2:10" ht="12" customHeight="1" x14ac:dyDescent="0.25">
      <c r="B36" s="10" t="str">
        <v>E033</v>
      </c>
      <c r="D36" s="10" t="str">
        <f t="array" ref="D36">IFERROR(INDEX(_xlfn.ANCHORARRAY($B$4),ROW()-ROW($D$3),1),"")</f>
        <v>E033</v>
      </c>
      <c r="E36" s="10" t="str">
        <f>VLOOKUP(tblRed[[#This Row],[Enlace]],tblEnlaces[],2,FALSE)</f>
        <v>C6</v>
      </c>
      <c r="F36" s="10" t="str">
        <f>VLOOKUP(tblRed[[#This Row],[Enlace]],tblEnlaces[],4,FALSE)</f>
        <v>I6</v>
      </c>
      <c r="G36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36" s="68">
        <f t="array" ref="H36">IF(tblRed[[#This Row],[Enlace]]="","",SUMPRODUCT((tblEnlaces[Enlace]=tblRed[[#This Row],[Enlace]])*(tblEnlaces[Activo]=1)*tblEnlaces[COSTE]*tblEnlaces[Frecuencia de Uso Relativa]))</f>
        <v>5</v>
      </c>
      <c r="I36" s="68">
        <f t="array" ref="I36">IF(tblRed[[#This Row],[Enlace]]="","",SUMPRODUCT((tblEnlaces[Enlace]=tblRed[[#This Row],[Enlace]])*(tblEnlaces[Activo]=1)*tblEnlaces[VALOR OPERATIVO]*tblEnlaces[Frecuencia de Uso Relativa]))</f>
        <v>9</v>
      </c>
      <c r="J36" s="68">
        <f>tblRed[[#This Row],[VALOR OPERATIVO]]/tblRed[[#This Row],[COSTE]]</f>
        <v>1.8</v>
      </c>
    </row>
    <row r="37" spans="2:10" ht="12" customHeight="1" x14ac:dyDescent="0.25">
      <c r="B37" s="10" t="str">
        <v>E034</v>
      </c>
      <c r="D37" s="10" t="str">
        <f t="array" ref="D37">IFERROR(INDEX(_xlfn.ANCHORARRAY($B$4),ROW()-ROW($D$3),1),"")</f>
        <v>E034</v>
      </c>
      <c r="E37" s="10" t="str">
        <f>VLOOKUP(tblRed[[#This Row],[Enlace]],tblEnlaces[],2,FALSE)</f>
        <v>C6</v>
      </c>
      <c r="F37" s="10" t="str">
        <f>VLOOKUP(tblRed[[#This Row],[Enlace]],tblEnlaces[],4,FALSE)</f>
        <v>I5</v>
      </c>
      <c r="G37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37" s="68">
        <f t="array" ref="H37">IF(tblRed[[#This Row],[Enlace]]="","",SUMPRODUCT((tblEnlaces[Enlace]=tblRed[[#This Row],[Enlace]])*(tblEnlaces[Activo]=1)*tblEnlaces[COSTE]*tblEnlaces[Frecuencia de Uso Relativa]))</f>
        <v>4.5</v>
      </c>
      <c r="I37" s="68">
        <f t="array" ref="I37">IF(tblRed[[#This Row],[Enlace]]="","",SUMPRODUCT((tblEnlaces[Enlace]=tblRed[[#This Row],[Enlace]])*(tblEnlaces[Activo]=1)*tblEnlaces[VALOR OPERATIVO]*tblEnlaces[Frecuencia de Uso Relativa]))</f>
        <v>11.5</v>
      </c>
      <c r="J37" s="68">
        <f>tblRed[[#This Row],[VALOR OPERATIVO]]/tblRed[[#This Row],[COSTE]]</f>
        <v>2.5555555555555554</v>
      </c>
    </row>
    <row r="38" spans="2:10" ht="12" customHeight="1" x14ac:dyDescent="0.25">
      <c r="B38" s="10" t="str">
        <v>E035</v>
      </c>
      <c r="D38" s="10" t="str">
        <f t="array" ref="D38">IFERROR(INDEX(_xlfn.ANCHORARRAY($B$4),ROW()-ROW($D$3),1),"")</f>
        <v>E035</v>
      </c>
      <c r="E38" s="10" t="str">
        <f>VLOOKUP(tblRed[[#This Row],[Enlace]],tblEnlaces[],2,FALSE)</f>
        <v>C6</v>
      </c>
      <c r="F38" s="10" t="str">
        <f>VLOOKUP(tblRed[[#This Row],[Enlace]],tblEnlaces[],4,FALSE)</f>
        <v>I10</v>
      </c>
      <c r="G38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38" s="68">
        <f t="array" ref="H38">IF(tblRed[[#This Row],[Enlace]]="","",SUMPRODUCT((tblEnlaces[Enlace]=tblRed[[#This Row],[Enlace]])*(tblEnlaces[Activo]=1)*tblEnlaces[COSTE]*tblEnlaces[Frecuencia de Uso Relativa]))</f>
        <v>2.333333333333333</v>
      </c>
      <c r="I38" s="68">
        <f t="array" ref="I38">IF(tblRed[[#This Row],[Enlace]]="","",SUMPRODUCT((tblEnlaces[Enlace]=tblRed[[#This Row],[Enlace]])*(tblEnlaces[Activo]=1)*tblEnlaces[VALOR OPERATIVO]*tblEnlaces[Frecuencia de Uso Relativa]))</f>
        <v>6.6666666666666661</v>
      </c>
      <c r="J38" s="68">
        <f>tblRed[[#This Row],[VALOR OPERATIVO]]/tblRed[[#This Row],[COSTE]]</f>
        <v>2.8571428571428572</v>
      </c>
    </row>
    <row r="39" spans="2:10" ht="12" customHeight="1" x14ac:dyDescent="0.25">
      <c r="B39" s="10" t="str">
        <v>E036</v>
      </c>
      <c r="D39" s="10" t="str">
        <f t="array" ref="D39">IFERROR(INDEX(_xlfn.ANCHORARRAY($B$4),ROW()-ROW($D$3),1),"")</f>
        <v>E036</v>
      </c>
      <c r="E39" s="10" t="str">
        <f>VLOOKUP(tblRed[[#This Row],[Enlace]],tblEnlaces[],2,FALSE)</f>
        <v>I1</v>
      </c>
      <c r="F39" s="10" t="str">
        <f>VLOOKUP(tblRed[[#This Row],[Enlace]],tblEnlaces[],4,FALSE)</f>
        <v>G2</v>
      </c>
      <c r="G39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39" s="68">
        <f t="array" ref="H39">IF(tblRed[[#This Row],[Enlace]]="","",SUMPRODUCT((tblEnlaces[Enlace]=tblRed[[#This Row],[Enlace]])*(tblEnlaces[Activo]=1)*tblEnlaces[COSTE]*tblEnlaces[Frecuencia de Uso Relativa]))</f>
        <v>2.8000000000000003</v>
      </c>
      <c r="I39" s="68">
        <f t="array" ref="I39">IF(tblRed[[#This Row],[Enlace]]="","",SUMPRODUCT((tblEnlaces[Enlace]=tblRed[[#This Row],[Enlace]])*(tblEnlaces[Activo]=1)*tblEnlaces[VALOR OPERATIVO]*tblEnlaces[Frecuencia de Uso Relativa]))</f>
        <v>8.4</v>
      </c>
      <c r="J39" s="68">
        <f>tblRed[[#This Row],[VALOR OPERATIVO]]/tblRed[[#This Row],[COSTE]]</f>
        <v>3</v>
      </c>
    </row>
    <row r="40" spans="2:10" ht="12" customHeight="1" x14ac:dyDescent="0.25">
      <c r="B40" s="10" t="str">
        <v>E037</v>
      </c>
      <c r="D40" s="10" t="str">
        <f t="array" ref="D40">IFERROR(INDEX(_xlfn.ANCHORARRAY($B$4),ROW()-ROW($D$3),1),"")</f>
        <v>E037</v>
      </c>
      <c r="E40" s="10" t="str">
        <f>VLOOKUP(tblRed[[#This Row],[Enlace]],tblEnlaces[],2,FALSE)</f>
        <v>I1</v>
      </c>
      <c r="F40" s="10" t="str">
        <f>VLOOKUP(tblRed[[#This Row],[Enlace]],tblEnlaces[],4,FALSE)</f>
        <v>G1</v>
      </c>
      <c r="G40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40" s="68">
        <f t="array" ref="H40">IF(tblRed[[#This Row],[Enlace]]="","",SUMPRODUCT((tblEnlaces[Enlace]=tblRed[[#This Row],[Enlace]])*(tblEnlaces[Activo]=1)*tblEnlaces[COSTE]*tblEnlaces[Frecuencia de Uso Relativa]))</f>
        <v>3.96875</v>
      </c>
      <c r="I40" s="68">
        <f t="array" ref="I40">IF(tblRed[[#This Row],[Enlace]]="","",SUMPRODUCT((tblEnlaces[Enlace]=tblRed[[#This Row],[Enlace]])*(tblEnlaces[Activo]=1)*tblEnlaces[VALOR OPERATIVO]*tblEnlaces[Frecuencia de Uso Relativa]))</f>
        <v>9.625</v>
      </c>
      <c r="J40" s="68">
        <f>tblRed[[#This Row],[VALOR OPERATIVO]]/tblRed[[#This Row],[COSTE]]</f>
        <v>2.4251968503937009</v>
      </c>
    </row>
    <row r="41" spans="2:10" ht="12" customHeight="1" x14ac:dyDescent="0.25">
      <c r="B41" s="10" t="str">
        <v>E038</v>
      </c>
      <c r="D41" s="10" t="str">
        <f t="array" ref="D41">IFERROR(INDEX(_xlfn.ANCHORARRAY($B$4),ROW()-ROW($D$3),1),"")</f>
        <v>E038</v>
      </c>
      <c r="E41" s="10" t="str">
        <f>VLOOKUP(tblRed[[#This Row],[Enlace]],tblEnlaces[],2,FALSE)</f>
        <v>I2</v>
      </c>
      <c r="F41" s="10" t="str">
        <f>VLOOKUP(tblRed[[#This Row],[Enlace]],tblEnlaces[],4,FALSE)</f>
        <v>G3</v>
      </c>
      <c r="G41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41" s="68">
        <f t="array" ref="H41">IF(tblRed[[#This Row],[Enlace]]="","",SUMPRODUCT((tblEnlaces[Enlace]=tblRed[[#This Row],[Enlace]])*(tblEnlaces[Activo]=1)*tblEnlaces[COSTE]*tblEnlaces[Frecuencia de Uso Relativa]))</f>
        <v>4.7142857142857144</v>
      </c>
      <c r="I41" s="68">
        <f t="array" ref="I41">IF(tblRed[[#This Row],[Enlace]]="","",SUMPRODUCT((tblEnlaces[Enlace]=tblRed[[#This Row],[Enlace]])*(tblEnlaces[Activo]=1)*tblEnlaces[VALOR OPERATIVO]*tblEnlaces[Frecuencia de Uso Relativa]))</f>
        <v>6.7142857142857144</v>
      </c>
      <c r="J41" s="68">
        <f>tblRed[[#This Row],[VALOR OPERATIVO]]/tblRed[[#This Row],[COSTE]]</f>
        <v>1.4242424242424243</v>
      </c>
    </row>
    <row r="42" spans="2:10" ht="12" customHeight="1" x14ac:dyDescent="0.25">
      <c r="B42" s="10" t="str">
        <v>E039</v>
      </c>
      <c r="D42" s="10" t="str">
        <f t="array" ref="D42">IFERROR(INDEX(_xlfn.ANCHORARRAY($B$4),ROW()-ROW($D$3),1),"")</f>
        <v>E039</v>
      </c>
      <c r="E42" s="10" t="str">
        <f>VLOOKUP(tblRed[[#This Row],[Enlace]],tblEnlaces[],2,FALSE)</f>
        <v>I3</v>
      </c>
      <c r="F42" s="10" t="str">
        <f>VLOOKUP(tblRed[[#This Row],[Enlace]],tblEnlaces[],4,FALSE)</f>
        <v>G4</v>
      </c>
      <c r="G42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42" s="68">
        <f t="array" ref="H42">IF(tblRed[[#This Row],[Enlace]]="","",SUMPRODUCT((tblEnlaces[Enlace]=tblRed[[#This Row],[Enlace]])*(tblEnlaces[Activo]=1)*tblEnlaces[COSTE]*tblEnlaces[Frecuencia de Uso Relativa]))</f>
        <v>4</v>
      </c>
      <c r="I42" s="68">
        <f t="array" ref="I42">IF(tblRed[[#This Row],[Enlace]]="","",SUMPRODUCT((tblEnlaces[Enlace]=tblRed[[#This Row],[Enlace]])*(tblEnlaces[Activo]=1)*tblEnlaces[VALOR OPERATIVO]*tblEnlaces[Frecuencia de Uso Relativa]))</f>
        <v>9</v>
      </c>
      <c r="J42" s="68">
        <f>tblRed[[#This Row],[VALOR OPERATIVO]]/tblRed[[#This Row],[COSTE]]</f>
        <v>2.25</v>
      </c>
    </row>
    <row r="43" spans="2:10" ht="12" customHeight="1" x14ac:dyDescent="0.25">
      <c r="B43" s="10" t="str">
        <v>E040</v>
      </c>
      <c r="D43" s="10" t="str">
        <f t="array" ref="D43">IFERROR(INDEX(_xlfn.ANCHORARRAY($B$4),ROW()-ROW($D$3),1),"")</f>
        <v>E040</v>
      </c>
      <c r="E43" s="10" t="str">
        <f>VLOOKUP(tblRed[[#This Row],[Enlace]],tblEnlaces[],2,FALSE)</f>
        <v>I4</v>
      </c>
      <c r="F43" s="10" t="str">
        <f>VLOOKUP(tblRed[[#This Row],[Enlace]],tblEnlaces[],4,FALSE)</f>
        <v>G2</v>
      </c>
      <c r="G43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43" s="68">
        <f t="array" ref="H43">IF(tblRed[[#This Row],[Enlace]]="","",SUMPRODUCT((tblEnlaces[Enlace]=tblRed[[#This Row],[Enlace]])*(tblEnlaces[Activo]=1)*tblEnlaces[COSTE]*tblEnlaces[Frecuencia de Uso Relativa]))</f>
        <v>5</v>
      </c>
      <c r="I43" s="68">
        <f t="array" ref="I43">IF(tblRed[[#This Row],[Enlace]]="","",SUMPRODUCT((tblEnlaces[Enlace]=tblRed[[#This Row],[Enlace]])*(tblEnlaces[Activo]=1)*tblEnlaces[VALOR OPERATIVO]*tblEnlaces[Frecuencia de Uso Relativa]))</f>
        <v>9</v>
      </c>
      <c r="J43" s="68">
        <f>tblRed[[#This Row],[VALOR OPERATIVO]]/tblRed[[#This Row],[COSTE]]</f>
        <v>1.8</v>
      </c>
    </row>
    <row r="44" spans="2:10" ht="12" customHeight="1" x14ac:dyDescent="0.25">
      <c r="B44" s="10" t="str">
        <v>E041</v>
      </c>
      <c r="D44" s="10" t="str">
        <f t="array" ref="D44">IFERROR(INDEX(_xlfn.ANCHORARRAY($B$4),ROW()-ROW($D$3),1),"")</f>
        <v>E041</v>
      </c>
      <c r="E44" s="10" t="str">
        <f>VLOOKUP(tblRed[[#This Row],[Enlace]],tblEnlaces[],2,FALSE)</f>
        <v>I5</v>
      </c>
      <c r="F44" s="10" t="str">
        <f>VLOOKUP(tblRed[[#This Row],[Enlace]],tblEnlaces[],4,FALSE)</f>
        <v>G2</v>
      </c>
      <c r="G44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44" s="68">
        <f t="array" ref="H44">IF(tblRed[[#This Row],[Enlace]]="","",SUMPRODUCT((tblEnlaces[Enlace]=tblRed[[#This Row],[Enlace]])*(tblEnlaces[Activo]=1)*tblEnlaces[COSTE]*tblEnlaces[Frecuencia de Uso Relativa]))</f>
        <v>4.25</v>
      </c>
      <c r="I44" s="68">
        <f t="array" ref="I44">IF(tblRed[[#This Row],[Enlace]]="","",SUMPRODUCT((tblEnlaces[Enlace]=tblRed[[#This Row],[Enlace]])*(tblEnlaces[Activo]=1)*tblEnlaces[VALOR OPERATIVO]*tblEnlaces[Frecuencia de Uso Relativa]))</f>
        <v>10.5</v>
      </c>
      <c r="J44" s="68">
        <f>tblRed[[#This Row],[VALOR OPERATIVO]]/tblRed[[#This Row],[COSTE]]</f>
        <v>2.4705882352941178</v>
      </c>
    </row>
    <row r="45" spans="2:10" ht="12" customHeight="1" x14ac:dyDescent="0.25">
      <c r="B45" s="10" t="str">
        <v>E042</v>
      </c>
      <c r="D45" s="10" t="str">
        <f t="array" ref="D45">IFERROR(INDEX(_xlfn.ANCHORARRAY($B$4),ROW()-ROW($D$3),1),"")</f>
        <v>E042</v>
      </c>
      <c r="E45" s="10" t="str">
        <f>VLOOKUP(tblRed[[#This Row],[Enlace]],tblEnlaces[],2,FALSE)</f>
        <v>I5</v>
      </c>
      <c r="F45" s="10" t="str">
        <f>VLOOKUP(tblRed[[#This Row],[Enlace]],tblEnlaces[],4,FALSE)</f>
        <v>G4</v>
      </c>
      <c r="G45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45" s="68">
        <f t="array" ref="H45">IF(tblRed[[#This Row],[Enlace]]="","",SUMPRODUCT((tblEnlaces[Enlace]=tblRed[[#This Row],[Enlace]])*(tblEnlaces[Activo]=1)*tblEnlaces[COSTE]*tblEnlaces[Frecuencia de Uso Relativa]))</f>
        <v>4.5</v>
      </c>
      <c r="I45" s="68">
        <f t="array" ref="I45">IF(tblRed[[#This Row],[Enlace]]="","",SUMPRODUCT((tblEnlaces[Enlace]=tblRed[[#This Row],[Enlace]])*(tblEnlaces[Activo]=1)*tblEnlaces[VALOR OPERATIVO]*tblEnlaces[Frecuencia de Uso Relativa]))</f>
        <v>11.5</v>
      </c>
      <c r="J45" s="68">
        <f>tblRed[[#This Row],[VALOR OPERATIVO]]/tblRed[[#This Row],[COSTE]]</f>
        <v>2.5555555555555554</v>
      </c>
    </row>
    <row r="46" spans="2:10" ht="12" customHeight="1" x14ac:dyDescent="0.25">
      <c r="B46" s="10" t="str">
        <v>E043</v>
      </c>
      <c r="D46" s="10" t="str">
        <f t="array" ref="D46">IFERROR(INDEX(_xlfn.ANCHORARRAY($B$4),ROW()-ROW($D$3),1),"")</f>
        <v>E043</v>
      </c>
      <c r="E46" s="10" t="str">
        <f>VLOOKUP(tblRed[[#This Row],[Enlace]],tblEnlaces[],2,FALSE)</f>
        <v>I6</v>
      </c>
      <c r="F46" s="10" t="str">
        <f>VLOOKUP(tblRed[[#This Row],[Enlace]],tblEnlaces[],4,FALSE)</f>
        <v>G4</v>
      </c>
      <c r="G46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46" s="68">
        <f t="array" ref="H46">IF(tblRed[[#This Row],[Enlace]]="","",SUMPRODUCT((tblEnlaces[Enlace]=tblRed[[#This Row],[Enlace]])*(tblEnlaces[Activo]=1)*tblEnlaces[COSTE]*tblEnlaces[Frecuencia de Uso Relativa]))</f>
        <v>5</v>
      </c>
      <c r="I46" s="68">
        <f t="array" ref="I46">IF(tblRed[[#This Row],[Enlace]]="","",SUMPRODUCT((tblEnlaces[Enlace]=tblRed[[#This Row],[Enlace]])*(tblEnlaces[Activo]=1)*tblEnlaces[VALOR OPERATIVO]*tblEnlaces[Frecuencia de Uso Relativa]))</f>
        <v>8.862068965517242</v>
      </c>
      <c r="J46" s="68">
        <f>tblRed[[#This Row],[VALOR OPERATIVO]]/tblRed[[#This Row],[COSTE]]</f>
        <v>1.7724137931034485</v>
      </c>
    </row>
    <row r="47" spans="2:10" ht="12" customHeight="1" x14ac:dyDescent="0.25">
      <c r="B47" s="10" t="str">
        <v>E044</v>
      </c>
      <c r="D47" s="10" t="str">
        <f t="array" ref="D47">IFERROR(INDEX(_xlfn.ANCHORARRAY($B$4),ROW()-ROW($D$3),1),"")</f>
        <v>E044</v>
      </c>
      <c r="E47" s="10" t="str">
        <f>VLOOKUP(tblRed[[#This Row],[Enlace]],tblEnlaces[],2,FALSE)</f>
        <v>I7</v>
      </c>
      <c r="F47" s="10" t="str">
        <f>VLOOKUP(tblRed[[#This Row],[Enlace]],tblEnlaces[],4,FALSE)</f>
        <v>G3</v>
      </c>
      <c r="G47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47" s="68">
        <f t="array" ref="H47">IF(tblRed[[#This Row],[Enlace]]="","",SUMPRODUCT((tblEnlaces[Enlace]=tblRed[[#This Row],[Enlace]])*(tblEnlaces[Activo]=1)*tblEnlaces[COSTE]*tblEnlaces[Frecuencia de Uso Relativa]))</f>
        <v>3.9999999999999996</v>
      </c>
      <c r="I47" s="68">
        <f t="array" ref="I47">IF(tblRed[[#This Row],[Enlace]]="","",SUMPRODUCT((tblEnlaces[Enlace]=tblRed[[#This Row],[Enlace]])*(tblEnlaces[Activo]=1)*tblEnlaces[VALOR OPERATIVO]*tblEnlaces[Frecuencia de Uso Relativa]))</f>
        <v>9.3571428571428559</v>
      </c>
      <c r="J47" s="68">
        <f>tblRed[[#This Row],[VALOR OPERATIVO]]/tblRed[[#This Row],[COSTE]]</f>
        <v>2.3392857142857144</v>
      </c>
    </row>
    <row r="48" spans="2:10" ht="12" customHeight="1" x14ac:dyDescent="0.25">
      <c r="B48" s="10" t="str">
        <v>E045</v>
      </c>
      <c r="D48" s="10" t="str">
        <f t="array" ref="D48">IFERROR(INDEX(_xlfn.ANCHORARRAY($B$4),ROW()-ROW($D$3),1),"")</f>
        <v>E045</v>
      </c>
      <c r="E48" s="10" t="str">
        <f>VLOOKUP(tblRed[[#This Row],[Enlace]],tblEnlaces[],2,FALSE)</f>
        <v>I7</v>
      </c>
      <c r="F48" s="10" t="str">
        <f>VLOOKUP(tblRed[[#This Row],[Enlace]],tblEnlaces[],4,FALSE)</f>
        <v>G4</v>
      </c>
      <c r="G48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48" s="68">
        <f t="array" ref="H48">IF(tblRed[[#This Row],[Enlace]]="","",SUMPRODUCT((tblEnlaces[Enlace]=tblRed[[#This Row],[Enlace]])*(tblEnlaces[Activo]=1)*tblEnlaces[COSTE]*tblEnlaces[Frecuencia de Uso Relativa]))</f>
        <v>4.4000000000000004</v>
      </c>
      <c r="I48" s="68">
        <f t="array" ref="I48">IF(tblRed[[#This Row],[Enlace]]="","",SUMPRODUCT((tblEnlaces[Enlace]=tblRed[[#This Row],[Enlace]])*(tblEnlaces[Activo]=1)*tblEnlaces[VALOR OPERATIVO]*tblEnlaces[Frecuencia de Uso Relativa]))</f>
        <v>8.6999999999999993</v>
      </c>
      <c r="J48" s="68">
        <f>tblRed[[#This Row],[VALOR OPERATIVO]]/tblRed[[#This Row],[COSTE]]</f>
        <v>1.9772727272727268</v>
      </c>
    </row>
    <row r="49" spans="2:10" ht="12" customHeight="1" x14ac:dyDescent="0.25">
      <c r="B49" s="10" t="str">
        <v>E046</v>
      </c>
      <c r="D49" s="10" t="str">
        <f t="array" ref="D49">IFERROR(INDEX(_xlfn.ANCHORARRAY($B$4),ROW()-ROW($D$3),1),"")</f>
        <v>E046</v>
      </c>
      <c r="E49" s="10" t="str">
        <f>VLOOKUP(tblRed[[#This Row],[Enlace]],tblEnlaces[],2,FALSE)</f>
        <v>I8</v>
      </c>
      <c r="F49" s="10" t="str">
        <f>VLOOKUP(tblRed[[#This Row],[Enlace]],tblEnlaces[],4,FALSE)</f>
        <v>G3</v>
      </c>
      <c r="G49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49" s="68">
        <f t="array" ref="H49">IF(tblRed[[#This Row],[Enlace]]="","",SUMPRODUCT((tblEnlaces[Enlace]=tblRed[[#This Row],[Enlace]])*(tblEnlaces[Activo]=1)*tblEnlaces[COSTE]*tblEnlaces[Frecuencia de Uso Relativa]))</f>
        <v>3.6666666666666665</v>
      </c>
      <c r="I49" s="68">
        <f t="array" ref="I49">IF(tblRed[[#This Row],[Enlace]]="","",SUMPRODUCT((tblEnlaces[Enlace]=tblRed[[#This Row],[Enlace]])*(tblEnlaces[Activo]=1)*tblEnlaces[VALOR OPERATIVO]*tblEnlaces[Frecuencia de Uso Relativa]))</f>
        <v>9.3333333333333321</v>
      </c>
      <c r="J49" s="68">
        <f>tblRed[[#This Row],[VALOR OPERATIVO]]/tblRed[[#This Row],[COSTE]]</f>
        <v>2.5454545454545454</v>
      </c>
    </row>
    <row r="50" spans="2:10" ht="12" customHeight="1" x14ac:dyDescent="0.25">
      <c r="B50" s="10" t="str">
        <v>E047</v>
      </c>
      <c r="D50" s="10" t="str">
        <f t="array" ref="D50">IFERROR(INDEX(_xlfn.ANCHORARRAY($B$4),ROW()-ROW($D$3),1),"")</f>
        <v>E047</v>
      </c>
      <c r="E50" s="10" t="str">
        <f>VLOOKUP(tblRed[[#This Row],[Enlace]],tblEnlaces[],2,FALSE)</f>
        <v>I8</v>
      </c>
      <c r="F50" s="10" t="str">
        <f>VLOOKUP(tblRed[[#This Row],[Enlace]],tblEnlaces[],4,FALSE)</f>
        <v>G2</v>
      </c>
      <c r="G50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50" s="68">
        <f t="array" ref="H50">IF(tblRed[[#This Row],[Enlace]]="","",SUMPRODUCT((tblEnlaces[Enlace]=tblRed[[#This Row],[Enlace]])*(tblEnlaces[Activo]=1)*tblEnlaces[COSTE]*tblEnlaces[Frecuencia de Uso Relativa]))</f>
        <v>1.9999999999999998</v>
      </c>
      <c r="I50" s="68">
        <f t="array" ref="I50">IF(tblRed[[#This Row],[Enlace]]="","",SUMPRODUCT((tblEnlaces[Enlace]=tblRed[[#This Row],[Enlace]])*(tblEnlaces[Activo]=1)*tblEnlaces[VALOR OPERATIVO]*tblEnlaces[Frecuencia de Uso Relativa]))</f>
        <v>5.6666666666666661</v>
      </c>
      <c r="J50" s="68">
        <f>tblRed[[#This Row],[VALOR OPERATIVO]]/tblRed[[#This Row],[COSTE]]</f>
        <v>2.8333333333333335</v>
      </c>
    </row>
    <row r="51" spans="2:10" ht="12" customHeight="1" x14ac:dyDescent="0.25">
      <c r="B51" s="10" t="str">
        <v>E048</v>
      </c>
      <c r="D51" s="10" t="str">
        <f t="array" ref="D51">IFERROR(INDEX(_xlfn.ANCHORARRAY($B$4),ROW()-ROW($D$3),1),"")</f>
        <v>E048</v>
      </c>
      <c r="E51" s="10" t="str">
        <f>VLOOKUP(tblRed[[#This Row],[Enlace]],tblEnlaces[],2,FALSE)</f>
        <v>I8</v>
      </c>
      <c r="F51" s="10" t="str">
        <f>VLOOKUP(tblRed[[#This Row],[Enlace]],tblEnlaces[],4,FALSE)</f>
        <v>G1</v>
      </c>
      <c r="G51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51" s="68">
        <f t="array" ref="H51">IF(tblRed[[#This Row],[Enlace]]="","",SUMPRODUCT((tblEnlaces[Enlace]=tblRed[[#This Row],[Enlace]])*(tblEnlaces[Activo]=1)*tblEnlaces[COSTE]*tblEnlaces[Frecuencia de Uso Relativa]))</f>
        <v>3.9130434782608692</v>
      </c>
      <c r="I51" s="68">
        <f t="array" ref="I51">IF(tblRed[[#This Row],[Enlace]]="","",SUMPRODUCT((tblEnlaces[Enlace]=tblRed[[#This Row],[Enlace]])*(tblEnlaces[Activo]=1)*tblEnlaces[VALOR OPERATIVO]*tblEnlaces[Frecuencia de Uso Relativa]))</f>
        <v>10.304347826086957</v>
      </c>
      <c r="J51" s="68">
        <f>tblRed[[#This Row],[VALOR OPERATIVO]]/tblRed[[#This Row],[COSTE]]</f>
        <v>2.6333333333333337</v>
      </c>
    </row>
    <row r="52" spans="2:10" ht="12" customHeight="1" x14ac:dyDescent="0.25">
      <c r="B52" s="10" t="str">
        <v>E049</v>
      </c>
      <c r="D52" s="10" t="str">
        <f t="array" ref="D52">IFERROR(INDEX(_xlfn.ANCHORARRAY($B$4),ROW()-ROW($D$3),1),"")</f>
        <v>E049</v>
      </c>
      <c r="E52" s="10" t="str">
        <f>VLOOKUP(tblRed[[#This Row],[Enlace]],tblEnlaces[],2,FALSE)</f>
        <v>I9</v>
      </c>
      <c r="F52" s="10" t="str">
        <f>VLOOKUP(tblRed[[#This Row],[Enlace]],tblEnlaces[],4,FALSE)</f>
        <v>G1</v>
      </c>
      <c r="G52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52" s="68">
        <f t="array" ref="H52">IF(tblRed[[#This Row],[Enlace]]="","",SUMPRODUCT((tblEnlaces[Enlace]=tblRed[[#This Row],[Enlace]])*(tblEnlaces[Activo]=1)*tblEnlaces[COSTE]*tblEnlaces[Frecuencia de Uso Relativa]))</f>
        <v>3.9130434782608687</v>
      </c>
      <c r="I52" s="68">
        <f t="array" ref="I52">IF(tblRed[[#This Row],[Enlace]]="","",SUMPRODUCT((tblEnlaces[Enlace]=tblRed[[#This Row],[Enlace]])*(tblEnlaces[Activo]=1)*tblEnlaces[VALOR OPERATIVO]*tblEnlaces[Frecuencia de Uso Relativa]))</f>
        <v>10.304347826086955</v>
      </c>
      <c r="J52" s="68">
        <f>tblRed[[#This Row],[VALOR OPERATIVO]]/tblRed[[#This Row],[COSTE]]</f>
        <v>2.6333333333333337</v>
      </c>
    </row>
    <row r="53" spans="2:10" ht="12" customHeight="1" x14ac:dyDescent="0.25">
      <c r="B53" s="10" t="str">
        <v>E050</v>
      </c>
      <c r="D53" s="10" t="str">
        <f t="array" ref="D53">IFERROR(INDEX(_xlfn.ANCHORARRAY($B$4),ROW()-ROW($D$3),1),"")</f>
        <v>E050</v>
      </c>
      <c r="E53" s="10" t="str">
        <f>VLOOKUP(tblRed[[#This Row],[Enlace]],tblEnlaces[],2,FALSE)</f>
        <v>I9</v>
      </c>
      <c r="F53" s="10" t="str">
        <f>VLOOKUP(tblRed[[#This Row],[Enlace]],tblEnlaces[],4,FALSE)</f>
        <v>G4</v>
      </c>
      <c r="G53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53" s="68">
        <f t="array" ref="H53">IF(tblRed[[#This Row],[Enlace]]="","",SUMPRODUCT((tblEnlaces[Enlace]=tblRed[[#This Row],[Enlace]])*(tblEnlaces[Activo]=1)*tblEnlaces[COSTE]*tblEnlaces[Frecuencia de Uso Relativa]))</f>
        <v>3</v>
      </c>
      <c r="I53" s="68">
        <f t="array" ref="I53">IF(tblRed[[#This Row],[Enlace]]="","",SUMPRODUCT((tblEnlaces[Enlace]=tblRed[[#This Row],[Enlace]])*(tblEnlaces[Activo]=1)*tblEnlaces[VALOR OPERATIVO]*tblEnlaces[Frecuencia de Uso Relativa]))</f>
        <v>11</v>
      </c>
      <c r="J53" s="68">
        <f>tblRed[[#This Row],[VALOR OPERATIVO]]/tblRed[[#This Row],[COSTE]]</f>
        <v>3.6666666666666665</v>
      </c>
    </row>
    <row r="54" spans="2:10" ht="12" customHeight="1" x14ac:dyDescent="0.25">
      <c r="B54" s="10" t="str">
        <v>E051</v>
      </c>
      <c r="D54" s="10" t="str">
        <f t="array" ref="D54">IFERROR(INDEX(_xlfn.ANCHORARRAY($B$4),ROW()-ROW($D$3),1),"")</f>
        <v>E051</v>
      </c>
      <c r="E54" s="10" t="str">
        <f>VLOOKUP(tblRed[[#This Row],[Enlace]],tblEnlaces[],2,FALSE)</f>
        <v>I10</v>
      </c>
      <c r="F54" s="10" t="str">
        <f>VLOOKUP(tblRed[[#This Row],[Enlace]],tblEnlaces[],4,FALSE)</f>
        <v>G2</v>
      </c>
      <c r="G54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54" s="68">
        <f t="array" ref="H54">IF(tblRed[[#This Row],[Enlace]]="","",SUMPRODUCT((tblEnlaces[Enlace]=tblRed[[#This Row],[Enlace]])*(tblEnlaces[Activo]=1)*tblEnlaces[COSTE]*tblEnlaces[Frecuencia de Uso Relativa]))</f>
        <v>2</v>
      </c>
      <c r="I54" s="68">
        <f t="array" ref="I54">IF(tblRed[[#This Row],[Enlace]]="","",SUMPRODUCT((tblEnlaces[Enlace]=tblRed[[#This Row],[Enlace]])*(tblEnlaces[Activo]=1)*tblEnlaces[VALOR OPERATIVO]*tblEnlaces[Frecuencia de Uso Relativa]))</f>
        <v>6.5</v>
      </c>
      <c r="J54" s="68">
        <f>tblRed[[#This Row],[VALOR OPERATIVO]]/tblRed[[#This Row],[COSTE]]</f>
        <v>3.25</v>
      </c>
    </row>
    <row r="55" spans="2:10" ht="12" customHeight="1" x14ac:dyDescent="0.25">
      <c r="B55" s="10" t="str">
        <v>E052</v>
      </c>
      <c r="D55" s="10" t="str">
        <f t="array" ref="D55">IFERROR(INDEX(_xlfn.ANCHORARRAY($B$4),ROW()-ROW($D$3),1),"")</f>
        <v>E052</v>
      </c>
      <c r="E55" s="10" t="str">
        <f>VLOOKUP(tblRed[[#This Row],[Enlace]],tblEnlaces[],2,FALSE)</f>
        <v>I10</v>
      </c>
      <c r="F55" s="10" t="str">
        <f>VLOOKUP(tblRed[[#This Row],[Enlace]],tblEnlaces[],4,FALSE)</f>
        <v>G1</v>
      </c>
      <c r="G55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55" s="68">
        <f t="array" ref="H55">IF(tblRed[[#This Row],[Enlace]]="","",SUMPRODUCT((tblEnlaces[Enlace]=tblRed[[#This Row],[Enlace]])*(tblEnlaces[Activo]=1)*tblEnlaces[COSTE]*tblEnlaces[Frecuencia de Uso Relativa]))</f>
        <v>3</v>
      </c>
      <c r="I55" s="68">
        <f t="array" ref="I55">IF(tblRed[[#This Row],[Enlace]]="","",SUMPRODUCT((tblEnlaces[Enlace]=tblRed[[#This Row],[Enlace]])*(tblEnlaces[Activo]=1)*tblEnlaces[VALOR OPERATIVO]*tblEnlaces[Frecuencia de Uso Relativa]))</f>
        <v>10.6</v>
      </c>
      <c r="J55" s="68">
        <f>tblRed[[#This Row],[VALOR OPERATIVO]]/tblRed[[#This Row],[COSTE]]</f>
        <v>3.5333333333333332</v>
      </c>
    </row>
    <row r="56" spans="2:10" ht="12" customHeight="1" x14ac:dyDescent="0.25">
      <c r="B56" s="10" t="str">
        <v>E053</v>
      </c>
      <c r="D56" s="10" t="str">
        <f t="array" ref="D56">IFERROR(INDEX(_xlfn.ANCHORARRAY($B$4),ROW()-ROW($D$3),1),"")</f>
        <v>E053</v>
      </c>
      <c r="E56" s="10" t="str">
        <f>VLOOKUP(tblRed[[#This Row],[Enlace]],tblEnlaces[],2,FALSE)</f>
        <v>I11</v>
      </c>
      <c r="F56" s="10" t="str">
        <f>VLOOKUP(tblRed[[#This Row],[Enlace]],tblEnlaces[],4,FALSE)</f>
        <v>G1</v>
      </c>
      <c r="G56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56" s="68">
        <f t="array" ref="H56">IF(tblRed[[#This Row],[Enlace]]="","",SUMPRODUCT((tblEnlaces[Enlace]=tblRed[[#This Row],[Enlace]])*(tblEnlaces[Activo]=1)*tblEnlaces[COSTE]*tblEnlaces[Frecuencia de Uso Relativa]))</f>
        <v>4</v>
      </c>
      <c r="I56" s="68">
        <f t="array" ref="I56">IF(tblRed[[#This Row],[Enlace]]="","",SUMPRODUCT((tblEnlaces[Enlace]=tblRed[[#This Row],[Enlace]])*(tblEnlaces[Activo]=1)*tblEnlaces[VALOR OPERATIVO]*tblEnlaces[Frecuencia de Uso Relativa]))</f>
        <v>11</v>
      </c>
      <c r="J56" s="68">
        <f>tblRed[[#This Row],[VALOR OPERATIVO]]/tblRed[[#This Row],[COSTE]]</f>
        <v>2.75</v>
      </c>
    </row>
    <row r="57" spans="2:10" ht="12" customHeight="1" x14ac:dyDescent="0.25">
      <c r="B57" s="10" t="str">
        <v>E054</v>
      </c>
      <c r="D57" s="10" t="str">
        <f t="array" ref="D57">IFERROR(INDEX(_xlfn.ANCHORARRAY($B$4),ROW()-ROW($D$3),1),"")</f>
        <v>E054</v>
      </c>
      <c r="E57" s="10" t="str">
        <f>VLOOKUP(tblRed[[#This Row],[Enlace]],tblEnlaces[],2,FALSE)</f>
        <v>I12</v>
      </c>
      <c r="F57" s="10" t="str">
        <f>VLOOKUP(tblRed[[#This Row],[Enlace]],tblEnlaces[],4,FALSE)</f>
        <v>G4</v>
      </c>
      <c r="G57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57" s="68">
        <f t="array" ref="H57">IF(tblRed[[#This Row],[Enlace]]="","",SUMPRODUCT((tblEnlaces[Enlace]=tblRed[[#This Row],[Enlace]])*(tblEnlaces[Activo]=1)*tblEnlaces[COSTE]*tblEnlaces[Frecuencia de Uso Relativa]))</f>
        <v>2</v>
      </c>
      <c r="I57" s="68">
        <f t="array" ref="I57">IF(tblRed[[#This Row],[Enlace]]="","",SUMPRODUCT((tblEnlaces[Enlace]=tblRed[[#This Row],[Enlace]])*(tblEnlaces[Activo]=1)*tblEnlaces[VALOR OPERATIVO]*tblEnlaces[Frecuencia de Uso Relativa]))</f>
        <v>8</v>
      </c>
      <c r="J57" s="68">
        <f>tblRed[[#This Row],[VALOR OPERATIVO]]/tblRed[[#This Row],[COSTE]]</f>
        <v>4</v>
      </c>
    </row>
    <row r="58" spans="2:10" ht="12" customHeight="1" x14ac:dyDescent="0.25">
      <c r="B58" s="10" t="str">
        <v>E055</v>
      </c>
      <c r="D58" s="10" t="str">
        <f t="array" ref="D58">IFERROR(INDEX(_xlfn.ANCHORARRAY($B$4),ROW()-ROW($D$3),1),"")</f>
        <v>E055</v>
      </c>
      <c r="E58" s="10" t="str">
        <f>VLOOKUP(tblRed[[#This Row],[Enlace]],tblEnlaces[],2,FALSE)</f>
        <v>G1</v>
      </c>
      <c r="F58" s="10" t="str">
        <f>VLOOKUP(tblRed[[#This Row],[Enlace]],tblEnlaces[],4,FALSE)</f>
        <v>D1</v>
      </c>
      <c r="G58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58" s="68">
        <f t="array" ref="H58">IF(tblRed[[#This Row],[Enlace]]="","",SUMPRODUCT((tblEnlaces[Enlace]=tblRed[[#This Row],[Enlace]])*(tblEnlaces[Activo]=1)*tblEnlaces[COSTE]*tblEnlaces[Frecuencia de Uso Relativa]))</f>
        <v>4</v>
      </c>
      <c r="I58" s="68">
        <f t="array" ref="I58">IF(tblRed[[#This Row],[Enlace]]="","",SUMPRODUCT((tblEnlaces[Enlace]=tblRed[[#This Row],[Enlace]])*(tblEnlaces[Activo]=1)*tblEnlaces[VALOR OPERATIVO]*tblEnlaces[Frecuencia de Uso Relativa]))</f>
        <v>8.6</v>
      </c>
      <c r="J58" s="68">
        <f>tblRed[[#This Row],[VALOR OPERATIVO]]/tblRed[[#This Row],[COSTE]]</f>
        <v>2.15</v>
      </c>
    </row>
    <row r="59" spans="2:10" ht="12" customHeight="1" x14ac:dyDescent="0.25">
      <c r="B59" s="10" t="str">
        <v>E056</v>
      </c>
      <c r="D59" s="10" t="str">
        <f t="array" ref="D59">IFERROR(INDEX(_xlfn.ANCHORARRAY($B$4),ROW()-ROW($D$3),1),"")</f>
        <v>E056</v>
      </c>
      <c r="E59" s="10" t="str">
        <f>VLOOKUP(tblRed[[#This Row],[Enlace]],tblEnlaces[],2,FALSE)</f>
        <v>G2</v>
      </c>
      <c r="F59" s="10" t="str">
        <f>VLOOKUP(tblRed[[#This Row],[Enlace]],tblEnlaces[],4,FALSE)</f>
        <v>D1</v>
      </c>
      <c r="G59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59" s="68">
        <f t="array" ref="H59">IF(tblRed[[#This Row],[Enlace]]="","",SUMPRODUCT((tblEnlaces[Enlace]=tblRed[[#This Row],[Enlace]])*(tblEnlaces[Activo]=1)*tblEnlaces[COSTE]*tblEnlaces[Frecuencia de Uso Relativa]))</f>
        <v>4.5</v>
      </c>
      <c r="I59" s="68">
        <f t="array" ref="I59">IF(tblRed[[#This Row],[Enlace]]="","",SUMPRODUCT((tblEnlaces[Enlace]=tblRed[[#This Row],[Enlace]])*(tblEnlaces[Activo]=1)*tblEnlaces[VALOR OPERATIVO]*tblEnlaces[Frecuencia de Uso Relativa]))</f>
        <v>6.8333333333333339</v>
      </c>
      <c r="J59" s="68">
        <f>tblRed[[#This Row],[VALOR OPERATIVO]]/tblRed[[#This Row],[COSTE]]</f>
        <v>1.5185185185185186</v>
      </c>
    </row>
    <row r="60" spans="2:10" ht="12" customHeight="1" x14ac:dyDescent="0.25">
      <c r="B60" s="10" t="str">
        <v>E057</v>
      </c>
      <c r="D60" s="10" t="str">
        <f t="array" ref="D60">IFERROR(INDEX(_xlfn.ANCHORARRAY($B$4),ROW()-ROW($D$3),1),"")</f>
        <v>E057</v>
      </c>
      <c r="E60" s="10" t="str">
        <f>VLOOKUP(tblRed[[#This Row],[Enlace]],tblEnlaces[],2,FALSE)</f>
        <v>G3</v>
      </c>
      <c r="F60" s="10" t="str">
        <f>VLOOKUP(tblRed[[#This Row],[Enlace]],tblEnlaces[],4,FALSE)</f>
        <v>D1</v>
      </c>
      <c r="G60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60" s="68">
        <f t="array" ref="H60">IF(tblRed[[#This Row],[Enlace]]="","",SUMPRODUCT((tblEnlaces[Enlace]=tblRed[[#This Row],[Enlace]])*(tblEnlaces[Activo]=1)*tblEnlaces[COSTE]*tblEnlaces[Frecuencia de Uso Relativa]))</f>
        <v>3.9</v>
      </c>
      <c r="I60" s="68">
        <f t="array" ref="I60">IF(tblRed[[#This Row],[Enlace]]="","",SUMPRODUCT((tblEnlaces[Enlace]=tblRed[[#This Row],[Enlace]])*(tblEnlaces[Activo]=1)*tblEnlaces[VALOR OPERATIVO]*tblEnlaces[Frecuencia de Uso Relativa]))</f>
        <v>8.3000000000000007</v>
      </c>
      <c r="J60" s="68">
        <f>tblRed[[#This Row],[VALOR OPERATIVO]]/tblRed[[#This Row],[COSTE]]</f>
        <v>2.1282051282051286</v>
      </c>
    </row>
    <row r="61" spans="2:10" ht="12" customHeight="1" x14ac:dyDescent="0.25">
      <c r="B61" s="10" t="str">
        <v>E058</v>
      </c>
      <c r="D61" s="10" t="str">
        <f t="array" ref="D61">IFERROR(INDEX(_xlfn.ANCHORARRAY($B$4),ROW()-ROW($D$3),1),"")</f>
        <v>E058</v>
      </c>
      <c r="E61" s="10" t="str">
        <f>VLOOKUP(tblRed[[#This Row],[Enlace]],tblEnlaces[],2,FALSE)</f>
        <v>G4</v>
      </c>
      <c r="F61" s="10" t="str">
        <f>VLOOKUP(tblRed[[#This Row],[Enlace]],tblEnlaces[],4,FALSE)</f>
        <v>D1</v>
      </c>
      <c r="G61" s="14">
        <f>IF(OR(VLOOKUP(tblRed[[#This Row],[Nodo Inicial]],tblNodos[],4,FALSE)=0, VLOOKUP(tblRed[[#This Row],[Nodo Final]],tblNodos[],4,FALSE)=0, AND(COUNTIFS(tblEnlaces[Enlace],tblRed[[#This Row],[Enlace]])&gt;0, SUMIFS(tblEnlaces[Activo],tblEnlaces[Enlace],tblRed[[#This Row],[Enlace]])=0)),0,1)</f>
        <v>1</v>
      </c>
      <c r="H61" s="68">
        <f t="array" ref="H61">IF(tblRed[[#This Row],[Enlace]]="","",SUMPRODUCT((tblEnlaces[Enlace]=tblRed[[#This Row],[Enlace]])*(tblEnlaces[Activo]=1)*tblEnlaces[COSTE]*tblEnlaces[Frecuencia de Uso Relativa]))</f>
        <v>4.5348837209302317</v>
      </c>
      <c r="I61" s="68">
        <f t="array" ref="I61">IF(tblRed[[#This Row],[Enlace]]="","",SUMPRODUCT((tblEnlaces[Enlace]=tblRed[[#This Row],[Enlace]])*(tblEnlaces[Activo]=1)*tblEnlaces[VALOR OPERATIVO]*tblEnlaces[Frecuencia de Uso Relativa]))</f>
        <v>9.0465116279069751</v>
      </c>
      <c r="J61" s="68">
        <f>tblRed[[#This Row],[VALOR OPERATIVO]]/tblRed[[#This Row],[COSTE]]</f>
        <v>1.9948717948717949</v>
      </c>
    </row>
    <row r="62" spans="2:10" ht="12" customHeight="1" x14ac:dyDescent="0.25"/>
    <row r="63" spans="2:10" ht="12" customHeight="1" x14ac:dyDescent="0.25"/>
    <row r="64" spans="2:10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  <row r="78" ht="12" customHeight="1" x14ac:dyDescent="0.25"/>
    <row r="79" ht="12" customHeight="1" x14ac:dyDescent="0.25"/>
    <row r="80" ht="12" customHeight="1" x14ac:dyDescent="0.25"/>
    <row r="81" ht="12" customHeight="1" x14ac:dyDescent="0.25"/>
    <row r="82" ht="12" customHeight="1" x14ac:dyDescent="0.25"/>
    <row r="83" ht="12" customHeight="1" x14ac:dyDescent="0.25"/>
    <row r="84" ht="12" customHeight="1" x14ac:dyDescent="0.25"/>
    <row r="85" ht="12" customHeight="1" x14ac:dyDescent="0.25"/>
    <row r="86" ht="12" customHeight="1" x14ac:dyDescent="0.25"/>
    <row r="87" ht="12" customHeight="1" x14ac:dyDescent="0.25"/>
    <row r="88" ht="12" customHeight="1" x14ac:dyDescent="0.25"/>
    <row r="89" ht="12" customHeight="1" x14ac:dyDescent="0.25"/>
    <row r="90" ht="12" customHeight="1" x14ac:dyDescent="0.25"/>
    <row r="91" ht="12" customHeight="1" x14ac:dyDescent="0.25"/>
    <row r="92" ht="12" customHeight="1" x14ac:dyDescent="0.25"/>
    <row r="93" ht="12" customHeight="1" x14ac:dyDescent="0.25"/>
    <row r="94" ht="12" customHeight="1" x14ac:dyDescent="0.25"/>
    <row r="95" ht="12" customHeight="1" x14ac:dyDescent="0.25"/>
    <row r="96" ht="12" customHeight="1" x14ac:dyDescent="0.25"/>
    <row r="97" ht="12" customHeight="1" x14ac:dyDescent="0.25"/>
    <row r="98" ht="12" customHeight="1" x14ac:dyDescent="0.25"/>
    <row r="99" ht="12" customHeight="1" x14ac:dyDescent="0.25"/>
    <row r="100" ht="12" customHeight="1" x14ac:dyDescent="0.25"/>
    <row r="101" ht="12" customHeight="1" x14ac:dyDescent="0.25"/>
    <row r="102" ht="12" customHeight="1" x14ac:dyDescent="0.25"/>
    <row r="103" ht="12" customHeight="1" x14ac:dyDescent="0.25"/>
    <row r="104" ht="12" customHeight="1" x14ac:dyDescent="0.25"/>
    <row r="105" ht="12" customHeight="1" x14ac:dyDescent="0.25"/>
    <row r="106" ht="12" customHeight="1" x14ac:dyDescent="0.25"/>
    <row r="107" ht="12" customHeight="1" x14ac:dyDescent="0.25"/>
    <row r="108" ht="12" customHeight="1" x14ac:dyDescent="0.25"/>
    <row r="109" ht="12" customHeight="1" x14ac:dyDescent="0.25"/>
    <row r="110" ht="12" customHeight="1" x14ac:dyDescent="0.25"/>
    <row r="111" ht="12" customHeight="1" x14ac:dyDescent="0.25"/>
    <row r="112" ht="12" customHeight="1" x14ac:dyDescent="0.25"/>
    <row r="113" ht="12" customHeight="1" x14ac:dyDescent="0.25"/>
    <row r="114" ht="12" customHeight="1" x14ac:dyDescent="0.25"/>
    <row r="115" ht="12" customHeight="1" x14ac:dyDescent="0.25"/>
    <row r="116" ht="12" customHeight="1" x14ac:dyDescent="0.25"/>
    <row r="117" ht="12" customHeight="1" x14ac:dyDescent="0.25"/>
    <row r="118" ht="12" customHeight="1" x14ac:dyDescent="0.25"/>
    <row r="119" ht="12" customHeight="1" x14ac:dyDescent="0.25"/>
    <row r="120" ht="12" customHeight="1" x14ac:dyDescent="0.25"/>
    <row r="121" ht="12" customHeight="1" x14ac:dyDescent="0.25"/>
    <row r="122" ht="12" customHeight="1" x14ac:dyDescent="0.25"/>
    <row r="123" ht="12" customHeight="1" x14ac:dyDescent="0.25"/>
    <row r="124" ht="12" customHeight="1" x14ac:dyDescent="0.25"/>
    <row r="125" ht="12" customHeight="1" x14ac:dyDescent="0.25"/>
    <row r="126" ht="12" customHeight="1" x14ac:dyDescent="0.25"/>
    <row r="127" ht="12" customHeight="1" x14ac:dyDescent="0.25"/>
    <row r="128" ht="12" customHeight="1" x14ac:dyDescent="0.25"/>
    <row r="129" ht="12" customHeight="1" x14ac:dyDescent="0.25"/>
    <row r="130" ht="12" customHeight="1" x14ac:dyDescent="0.25"/>
    <row r="131" ht="12" customHeight="1" x14ac:dyDescent="0.25"/>
    <row r="132" ht="12" customHeight="1" x14ac:dyDescent="0.25"/>
    <row r="133" ht="12" customHeight="1" x14ac:dyDescent="0.25"/>
    <row r="134" ht="12" customHeight="1" x14ac:dyDescent="0.25"/>
    <row r="135" ht="12" customHeight="1" x14ac:dyDescent="0.25"/>
    <row r="136" ht="12" customHeight="1" x14ac:dyDescent="0.25"/>
    <row r="137" ht="12" customHeight="1" x14ac:dyDescent="0.25"/>
    <row r="138" ht="12" customHeight="1" x14ac:dyDescent="0.25"/>
    <row r="139" ht="12" customHeight="1" x14ac:dyDescent="0.25"/>
    <row r="140" ht="12" customHeight="1" x14ac:dyDescent="0.25"/>
    <row r="141" ht="12" customHeight="1" x14ac:dyDescent="0.25"/>
    <row r="142" ht="12" customHeight="1" x14ac:dyDescent="0.25"/>
    <row r="143" ht="12" customHeight="1" x14ac:dyDescent="0.25"/>
    <row r="144" ht="12" customHeight="1" x14ac:dyDescent="0.25"/>
    <row r="145" ht="12" customHeight="1" x14ac:dyDescent="0.25"/>
    <row r="146" ht="12" customHeight="1" x14ac:dyDescent="0.25"/>
    <row r="147" ht="12" customHeight="1" x14ac:dyDescent="0.25"/>
    <row r="148" ht="12" customHeight="1" x14ac:dyDescent="0.25"/>
    <row r="149" ht="12" customHeight="1" x14ac:dyDescent="0.25"/>
    <row r="150" ht="12" customHeight="1" x14ac:dyDescent="0.25"/>
    <row r="151" ht="12" customHeight="1" x14ac:dyDescent="0.25"/>
    <row r="152" ht="12" customHeight="1" x14ac:dyDescent="0.25"/>
    <row r="153" ht="12" customHeight="1" x14ac:dyDescent="0.25"/>
    <row r="154" ht="12" customHeight="1" x14ac:dyDescent="0.25"/>
    <row r="155" ht="12" customHeight="1" x14ac:dyDescent="0.25"/>
    <row r="156" ht="12" customHeight="1" x14ac:dyDescent="0.25"/>
    <row r="157" ht="12" customHeight="1" x14ac:dyDescent="0.25"/>
    <row r="158" ht="12" customHeight="1" x14ac:dyDescent="0.25"/>
    <row r="159" ht="12" customHeight="1" x14ac:dyDescent="0.25"/>
    <row r="160" ht="12" customHeight="1" x14ac:dyDescent="0.25"/>
    <row r="161" ht="12" customHeight="1" x14ac:dyDescent="0.25"/>
    <row r="162" ht="12" customHeight="1" x14ac:dyDescent="0.25"/>
    <row r="163" ht="12" customHeight="1" x14ac:dyDescent="0.25"/>
    <row r="164" ht="12" customHeight="1" x14ac:dyDescent="0.25"/>
    <row r="165" ht="12" customHeight="1" x14ac:dyDescent="0.25"/>
    <row r="166" ht="12" customHeight="1" x14ac:dyDescent="0.25"/>
    <row r="167" ht="12" customHeight="1" x14ac:dyDescent="0.25"/>
    <row r="168" ht="12" customHeight="1" x14ac:dyDescent="0.25"/>
    <row r="169" ht="12" customHeight="1" x14ac:dyDescent="0.25"/>
    <row r="170" ht="12" customHeight="1" x14ac:dyDescent="0.25"/>
    <row r="171" ht="12" customHeight="1" x14ac:dyDescent="0.25"/>
    <row r="172" ht="12" customHeight="1" x14ac:dyDescent="0.25"/>
    <row r="173" ht="12" customHeight="1" x14ac:dyDescent="0.25"/>
    <row r="174" ht="12" customHeight="1" x14ac:dyDescent="0.25"/>
    <row r="175" ht="12" customHeight="1" x14ac:dyDescent="0.25"/>
    <row r="176" ht="12" customHeight="1" x14ac:dyDescent="0.25"/>
    <row r="177" ht="12" customHeight="1" x14ac:dyDescent="0.25"/>
    <row r="178" ht="12" customHeight="1" x14ac:dyDescent="0.25"/>
    <row r="179" ht="12" customHeight="1" x14ac:dyDescent="0.25"/>
    <row r="180" ht="12" customHeight="1" x14ac:dyDescent="0.25"/>
    <row r="181" ht="12" customHeight="1" x14ac:dyDescent="0.25"/>
    <row r="182" ht="12" customHeight="1" x14ac:dyDescent="0.25"/>
    <row r="183" ht="12" customHeight="1" x14ac:dyDescent="0.25"/>
    <row r="184" ht="12" customHeight="1" x14ac:dyDescent="0.25"/>
    <row r="185" ht="12" customHeight="1" x14ac:dyDescent="0.25"/>
    <row r="186" ht="12" customHeight="1" x14ac:dyDescent="0.25"/>
    <row r="187" ht="12" customHeight="1" x14ac:dyDescent="0.25"/>
    <row r="188" ht="12" customHeight="1" x14ac:dyDescent="0.25"/>
    <row r="189" ht="12" customHeight="1" x14ac:dyDescent="0.25"/>
    <row r="190" ht="12" customHeight="1" x14ac:dyDescent="0.25"/>
    <row r="191" ht="12" customHeight="1" x14ac:dyDescent="0.25"/>
    <row r="192" ht="12" customHeight="1" x14ac:dyDescent="0.25"/>
    <row r="193" ht="12" customHeight="1" x14ac:dyDescent="0.25"/>
    <row r="194" ht="12" customHeight="1" x14ac:dyDescent="0.25"/>
    <row r="195" ht="12" customHeight="1" x14ac:dyDescent="0.25"/>
    <row r="196" ht="12" customHeight="1" x14ac:dyDescent="0.25"/>
    <row r="197" ht="12" customHeight="1" x14ac:dyDescent="0.25"/>
    <row r="198" ht="12" customHeight="1" x14ac:dyDescent="0.25"/>
    <row r="199" ht="12" customHeight="1" x14ac:dyDescent="0.25"/>
    <row r="200" ht="12" customHeight="1" x14ac:dyDescent="0.25"/>
    <row r="201" ht="12" customHeight="1" x14ac:dyDescent="0.25"/>
    <row r="202" ht="12" customHeight="1" x14ac:dyDescent="0.25"/>
    <row r="203" ht="12" customHeight="1" x14ac:dyDescent="0.25"/>
    <row r="204" ht="12" customHeight="1" x14ac:dyDescent="0.25"/>
    <row r="205" ht="12" customHeight="1" x14ac:dyDescent="0.25"/>
    <row r="206" ht="12" customHeight="1" x14ac:dyDescent="0.25"/>
    <row r="207" ht="12" customHeight="1" x14ac:dyDescent="0.25"/>
    <row r="208" ht="12" customHeight="1" x14ac:dyDescent="0.25"/>
    <row r="209" ht="12" customHeight="1" x14ac:dyDescent="0.25"/>
    <row r="210" ht="12" customHeight="1" x14ac:dyDescent="0.25"/>
    <row r="211" ht="12" customHeight="1" x14ac:dyDescent="0.25"/>
    <row r="212" ht="12" customHeight="1" x14ac:dyDescent="0.25"/>
    <row r="213" ht="12" customHeight="1" x14ac:dyDescent="0.25"/>
    <row r="214" ht="12" customHeight="1" x14ac:dyDescent="0.25"/>
    <row r="215" ht="12" customHeight="1" x14ac:dyDescent="0.25"/>
    <row r="216" ht="12" customHeight="1" x14ac:dyDescent="0.25"/>
    <row r="217" ht="12" customHeight="1" x14ac:dyDescent="0.25"/>
    <row r="218" ht="12" customHeight="1" x14ac:dyDescent="0.25"/>
    <row r="219" ht="12" customHeight="1" x14ac:dyDescent="0.25"/>
    <row r="220" ht="12" customHeight="1" x14ac:dyDescent="0.25"/>
    <row r="221" ht="12" customHeight="1" x14ac:dyDescent="0.25"/>
    <row r="222" ht="12" customHeight="1" x14ac:dyDescent="0.25"/>
    <row r="223" ht="12" customHeight="1" x14ac:dyDescent="0.25"/>
    <row r="224" ht="12" customHeight="1" x14ac:dyDescent="0.25"/>
    <row r="225" ht="12" customHeight="1" x14ac:dyDescent="0.25"/>
    <row r="226" ht="12" customHeight="1" x14ac:dyDescent="0.25"/>
    <row r="227" ht="12" customHeight="1" x14ac:dyDescent="0.25"/>
    <row r="228" ht="12" customHeight="1" x14ac:dyDescent="0.25"/>
    <row r="229" ht="12" customHeight="1" x14ac:dyDescent="0.25"/>
    <row r="230" ht="12" customHeight="1" x14ac:dyDescent="0.25"/>
    <row r="231" ht="12" customHeight="1" x14ac:dyDescent="0.25"/>
    <row r="232" ht="12" customHeight="1" x14ac:dyDescent="0.25"/>
    <row r="233" ht="12" customHeight="1" x14ac:dyDescent="0.25"/>
    <row r="234" ht="12" customHeight="1" x14ac:dyDescent="0.25"/>
    <row r="235" ht="12" customHeight="1" x14ac:dyDescent="0.25"/>
    <row r="236" ht="12" customHeight="1" x14ac:dyDescent="0.25"/>
    <row r="237" ht="12" customHeight="1" x14ac:dyDescent="0.25"/>
    <row r="238" ht="12" customHeight="1" x14ac:dyDescent="0.25"/>
    <row r="239" ht="12" customHeight="1" x14ac:dyDescent="0.25"/>
    <row r="240" ht="12" customHeight="1" x14ac:dyDescent="0.25"/>
    <row r="241" ht="12" customHeight="1" x14ac:dyDescent="0.25"/>
    <row r="242" ht="12" customHeight="1" x14ac:dyDescent="0.25"/>
    <row r="243" ht="12" customHeight="1" x14ac:dyDescent="0.25"/>
    <row r="244" ht="12" customHeight="1" x14ac:dyDescent="0.25"/>
    <row r="245" ht="12" customHeight="1" x14ac:dyDescent="0.25"/>
    <row r="246" ht="12" customHeight="1" x14ac:dyDescent="0.25"/>
    <row r="247" ht="12" customHeight="1" x14ac:dyDescent="0.25"/>
    <row r="248" ht="12" customHeight="1" x14ac:dyDescent="0.25"/>
    <row r="249" ht="12" customHeight="1" x14ac:dyDescent="0.25"/>
    <row r="250" ht="12" customHeight="1" x14ac:dyDescent="0.25"/>
    <row r="251" ht="12" customHeight="1" x14ac:dyDescent="0.25"/>
    <row r="252" ht="12" customHeight="1" x14ac:dyDescent="0.25"/>
    <row r="253" ht="12" customHeight="1" x14ac:dyDescent="0.25"/>
    <row r="254" ht="12" customHeight="1" x14ac:dyDescent="0.25"/>
    <row r="255" ht="12" customHeight="1" x14ac:dyDescent="0.25"/>
    <row r="256" ht="12" customHeight="1" x14ac:dyDescent="0.25"/>
    <row r="257" ht="12" customHeight="1" x14ac:dyDescent="0.25"/>
    <row r="258" ht="12" customHeight="1" x14ac:dyDescent="0.25"/>
    <row r="259" ht="12" customHeight="1" x14ac:dyDescent="0.25"/>
    <row r="260" ht="12" customHeight="1" x14ac:dyDescent="0.25"/>
    <row r="261" ht="12" customHeight="1" x14ac:dyDescent="0.25"/>
    <row r="262" ht="12" customHeight="1" x14ac:dyDescent="0.25"/>
    <row r="263" ht="12" customHeight="1" x14ac:dyDescent="0.25"/>
    <row r="264" ht="12" customHeight="1" x14ac:dyDescent="0.25"/>
    <row r="265" ht="12" customHeight="1" x14ac:dyDescent="0.25"/>
    <row r="266" ht="12" customHeight="1" x14ac:dyDescent="0.25"/>
    <row r="267" ht="12" customHeight="1" x14ac:dyDescent="0.25"/>
    <row r="268" ht="12" customHeight="1" x14ac:dyDescent="0.25"/>
    <row r="269" ht="12" customHeight="1" x14ac:dyDescent="0.25"/>
    <row r="270" ht="12" customHeight="1" x14ac:dyDescent="0.25"/>
    <row r="271" ht="12" customHeight="1" x14ac:dyDescent="0.25"/>
    <row r="272" ht="12" customHeight="1" x14ac:dyDescent="0.25"/>
    <row r="273" ht="12" customHeight="1" x14ac:dyDescent="0.25"/>
    <row r="274" ht="12" customHeight="1" x14ac:dyDescent="0.25"/>
    <row r="275" ht="12" customHeight="1" x14ac:dyDescent="0.25"/>
    <row r="276" ht="12" customHeight="1" x14ac:dyDescent="0.25"/>
    <row r="277" ht="12" customHeight="1" x14ac:dyDescent="0.25"/>
    <row r="278" ht="12" customHeight="1" x14ac:dyDescent="0.25"/>
    <row r="279" ht="12" customHeight="1" x14ac:dyDescent="0.25"/>
    <row r="280" ht="12" customHeight="1" x14ac:dyDescent="0.25"/>
    <row r="281" ht="12" customHeight="1" x14ac:dyDescent="0.25"/>
    <row r="282" ht="12" customHeight="1" x14ac:dyDescent="0.25"/>
    <row r="283" ht="12" customHeight="1" x14ac:dyDescent="0.25"/>
    <row r="284" ht="12" customHeight="1" x14ac:dyDescent="0.25"/>
    <row r="285" ht="12" customHeight="1" x14ac:dyDescent="0.25"/>
    <row r="286" ht="12" customHeight="1" x14ac:dyDescent="0.25"/>
    <row r="287" ht="12" customHeight="1" x14ac:dyDescent="0.25"/>
    <row r="288" ht="12" customHeight="1" x14ac:dyDescent="0.25"/>
    <row r="289" ht="12" customHeight="1" x14ac:dyDescent="0.25"/>
    <row r="290" ht="12" customHeight="1" x14ac:dyDescent="0.25"/>
    <row r="291" ht="12" customHeight="1" x14ac:dyDescent="0.25"/>
    <row r="292" ht="12" customHeight="1" x14ac:dyDescent="0.25"/>
    <row r="293" ht="12" customHeight="1" x14ac:dyDescent="0.25"/>
    <row r="294" ht="12" customHeight="1" x14ac:dyDescent="0.25"/>
    <row r="295" ht="12" customHeight="1" x14ac:dyDescent="0.25"/>
    <row r="296" ht="12" customHeight="1" x14ac:dyDescent="0.25"/>
    <row r="297" ht="12" customHeight="1" x14ac:dyDescent="0.25"/>
    <row r="298" ht="12" customHeight="1" x14ac:dyDescent="0.25"/>
    <row r="299" ht="12" customHeight="1" x14ac:dyDescent="0.25"/>
    <row r="300" ht="12" customHeight="1" x14ac:dyDescent="0.25"/>
    <row r="301" ht="12" customHeight="1" x14ac:dyDescent="0.25"/>
    <row r="302" ht="12" customHeight="1" x14ac:dyDescent="0.25"/>
    <row r="303" ht="12" customHeight="1" x14ac:dyDescent="0.25"/>
    <row r="304" ht="12" customHeight="1" x14ac:dyDescent="0.25"/>
    <row r="305" ht="12" customHeight="1" x14ac:dyDescent="0.25"/>
    <row r="306" ht="12" customHeight="1" x14ac:dyDescent="0.25"/>
    <row r="307" ht="12" customHeight="1" x14ac:dyDescent="0.25"/>
    <row r="308" ht="12" customHeight="1" x14ac:dyDescent="0.25"/>
    <row r="309" ht="12" customHeight="1" x14ac:dyDescent="0.25"/>
    <row r="310" ht="12" customHeight="1" x14ac:dyDescent="0.25"/>
    <row r="311" ht="12" customHeight="1" x14ac:dyDescent="0.25"/>
    <row r="312" ht="12" customHeight="1" x14ac:dyDescent="0.25"/>
    <row r="313" ht="12" customHeight="1" x14ac:dyDescent="0.25"/>
    <row r="314" ht="12" customHeight="1" x14ac:dyDescent="0.25"/>
    <row r="315" ht="12" customHeight="1" x14ac:dyDescent="0.25"/>
    <row r="316" ht="12" customHeight="1" x14ac:dyDescent="0.25"/>
    <row r="317" ht="12" customHeight="1" x14ac:dyDescent="0.25"/>
    <row r="318" ht="12" customHeight="1" x14ac:dyDescent="0.25"/>
    <row r="319" ht="12" customHeight="1" x14ac:dyDescent="0.25"/>
    <row r="320" ht="12" customHeight="1" x14ac:dyDescent="0.25"/>
    <row r="321" ht="12" customHeight="1" x14ac:dyDescent="0.25"/>
    <row r="322" ht="12" customHeight="1" x14ac:dyDescent="0.25"/>
    <row r="323" ht="12" customHeight="1" x14ac:dyDescent="0.25"/>
    <row r="324" ht="12" customHeight="1" x14ac:dyDescent="0.25"/>
    <row r="325" ht="12" customHeight="1" x14ac:dyDescent="0.25"/>
    <row r="326" ht="12" customHeight="1" x14ac:dyDescent="0.25"/>
    <row r="327" ht="12" customHeight="1" x14ac:dyDescent="0.25"/>
    <row r="328" ht="12" customHeight="1" x14ac:dyDescent="0.25"/>
    <row r="329" ht="12" customHeight="1" x14ac:dyDescent="0.25"/>
    <row r="330" ht="12" customHeight="1" x14ac:dyDescent="0.25"/>
    <row r="331" ht="12" customHeight="1" x14ac:dyDescent="0.25"/>
    <row r="332" ht="12" customHeight="1" x14ac:dyDescent="0.25"/>
    <row r="333" ht="12" customHeight="1" x14ac:dyDescent="0.25"/>
    <row r="334" ht="12" customHeight="1" x14ac:dyDescent="0.25"/>
    <row r="335" ht="12" customHeight="1" x14ac:dyDescent="0.25"/>
    <row r="336" ht="12" customHeight="1" x14ac:dyDescent="0.25"/>
    <row r="337" ht="12" customHeight="1" x14ac:dyDescent="0.25"/>
    <row r="338" ht="12" customHeight="1" x14ac:dyDescent="0.25"/>
    <row r="339" ht="12" customHeight="1" x14ac:dyDescent="0.25"/>
    <row r="340" ht="12" customHeight="1" x14ac:dyDescent="0.25"/>
    <row r="341" ht="12" customHeight="1" x14ac:dyDescent="0.25"/>
    <row r="342" ht="12" customHeight="1" x14ac:dyDescent="0.25"/>
    <row r="343" ht="12" customHeight="1" x14ac:dyDescent="0.25"/>
    <row r="344" ht="12" customHeight="1" x14ac:dyDescent="0.25"/>
    <row r="345" ht="12" customHeight="1" x14ac:dyDescent="0.25"/>
    <row r="346" ht="12" customHeight="1" x14ac:dyDescent="0.25"/>
    <row r="347" ht="12" customHeight="1" x14ac:dyDescent="0.25"/>
    <row r="348" ht="12" customHeight="1" x14ac:dyDescent="0.25"/>
    <row r="349" ht="12" customHeight="1" x14ac:dyDescent="0.25"/>
    <row r="350" ht="12" customHeight="1" x14ac:dyDescent="0.25"/>
    <row r="351" ht="12" customHeight="1" x14ac:dyDescent="0.25"/>
    <row r="352" ht="12" customHeight="1" x14ac:dyDescent="0.25"/>
    <row r="353" ht="12" customHeight="1" x14ac:dyDescent="0.25"/>
    <row r="354" ht="12" customHeight="1" x14ac:dyDescent="0.25"/>
    <row r="355" ht="12" customHeight="1" x14ac:dyDescent="0.25"/>
    <row r="356" ht="12" customHeight="1" x14ac:dyDescent="0.25"/>
    <row r="357" ht="12" customHeight="1" x14ac:dyDescent="0.25"/>
    <row r="358" ht="12" customHeight="1" x14ac:dyDescent="0.25"/>
    <row r="359" ht="12" customHeight="1" x14ac:dyDescent="0.25"/>
    <row r="360" ht="12" customHeight="1" x14ac:dyDescent="0.25"/>
    <row r="361" ht="12" customHeight="1" x14ac:dyDescent="0.25"/>
    <row r="362" ht="12" customHeight="1" x14ac:dyDescent="0.25"/>
    <row r="363" ht="12" customHeight="1" x14ac:dyDescent="0.25"/>
    <row r="364" ht="12" customHeight="1" x14ac:dyDescent="0.25"/>
    <row r="365" ht="12" customHeight="1" x14ac:dyDescent="0.25"/>
    <row r="366" ht="12" customHeight="1" x14ac:dyDescent="0.25"/>
    <row r="367" ht="12" customHeight="1" x14ac:dyDescent="0.25"/>
    <row r="368" ht="12" customHeight="1" x14ac:dyDescent="0.25"/>
    <row r="369" ht="12" customHeight="1" x14ac:dyDescent="0.25"/>
    <row r="370" ht="12" customHeight="1" x14ac:dyDescent="0.25"/>
    <row r="371" ht="12" customHeight="1" x14ac:dyDescent="0.25"/>
    <row r="372" ht="12" customHeight="1" x14ac:dyDescent="0.25"/>
    <row r="373" ht="12" customHeight="1" x14ac:dyDescent="0.25"/>
    <row r="374" ht="12" customHeight="1" x14ac:dyDescent="0.25"/>
    <row r="375" ht="12" customHeight="1" x14ac:dyDescent="0.25"/>
    <row r="376" ht="12" customHeight="1" x14ac:dyDescent="0.25"/>
    <row r="377" ht="12" customHeight="1" x14ac:dyDescent="0.25"/>
    <row r="378" ht="12" customHeight="1" x14ac:dyDescent="0.25"/>
    <row r="379" ht="12" customHeight="1" x14ac:dyDescent="0.25"/>
    <row r="380" ht="12" customHeight="1" x14ac:dyDescent="0.25"/>
    <row r="381" ht="12" customHeight="1" x14ac:dyDescent="0.25"/>
    <row r="382" ht="12" customHeight="1" x14ac:dyDescent="0.25"/>
    <row r="383" ht="12" customHeight="1" x14ac:dyDescent="0.25"/>
    <row r="384" ht="12" customHeight="1" x14ac:dyDescent="0.25"/>
    <row r="385" ht="12" customHeight="1" x14ac:dyDescent="0.25"/>
    <row r="386" ht="12" customHeight="1" x14ac:dyDescent="0.25"/>
    <row r="387" ht="12" customHeight="1" x14ac:dyDescent="0.25"/>
    <row r="388" ht="12" customHeight="1" x14ac:dyDescent="0.25"/>
    <row r="389" ht="12" customHeight="1" x14ac:dyDescent="0.25"/>
    <row r="390" ht="12" customHeight="1" x14ac:dyDescent="0.25"/>
    <row r="391" ht="12" customHeight="1" x14ac:dyDescent="0.25"/>
    <row r="392" ht="12" customHeight="1" x14ac:dyDescent="0.25"/>
    <row r="393" ht="12" customHeight="1" x14ac:dyDescent="0.25"/>
    <row r="394" ht="12" customHeight="1" x14ac:dyDescent="0.25"/>
    <row r="395" ht="12" customHeight="1" x14ac:dyDescent="0.25"/>
    <row r="396" ht="12" customHeight="1" x14ac:dyDescent="0.25"/>
    <row r="397" ht="12" customHeight="1" x14ac:dyDescent="0.25"/>
    <row r="398" ht="12" customHeight="1" x14ac:dyDescent="0.25"/>
    <row r="399" ht="12" customHeight="1" x14ac:dyDescent="0.25"/>
    <row r="400" ht="12" customHeight="1" x14ac:dyDescent="0.25"/>
    <row r="401" ht="12" customHeight="1" x14ac:dyDescent="0.25"/>
    <row r="402" ht="12" customHeight="1" x14ac:dyDescent="0.25"/>
    <row r="403" ht="12" customHeight="1" x14ac:dyDescent="0.25"/>
    <row r="404" ht="12" customHeight="1" x14ac:dyDescent="0.25"/>
    <row r="405" ht="12" customHeight="1" x14ac:dyDescent="0.25"/>
    <row r="406" ht="12" customHeight="1" x14ac:dyDescent="0.25"/>
    <row r="407" ht="12" customHeight="1" x14ac:dyDescent="0.25"/>
    <row r="408" ht="12" customHeight="1" x14ac:dyDescent="0.25"/>
    <row r="409" ht="12" customHeight="1" x14ac:dyDescent="0.25"/>
    <row r="410" ht="12" customHeight="1" x14ac:dyDescent="0.25"/>
    <row r="411" ht="12" customHeight="1" x14ac:dyDescent="0.25"/>
    <row r="412" ht="12" customHeight="1" x14ac:dyDescent="0.25"/>
    <row r="413" ht="12" customHeight="1" x14ac:dyDescent="0.25"/>
    <row r="414" ht="12" customHeight="1" x14ac:dyDescent="0.25"/>
    <row r="415" ht="12" customHeight="1" x14ac:dyDescent="0.25"/>
    <row r="416" ht="12" customHeight="1" x14ac:dyDescent="0.25"/>
    <row r="417" ht="12" customHeight="1" x14ac:dyDescent="0.25"/>
    <row r="418" ht="12" customHeight="1" x14ac:dyDescent="0.25"/>
    <row r="419" ht="12" customHeight="1" x14ac:dyDescent="0.25"/>
    <row r="420" ht="12" customHeight="1" x14ac:dyDescent="0.25"/>
    <row r="421" ht="12" customHeight="1" x14ac:dyDescent="0.25"/>
    <row r="422" ht="12" customHeight="1" x14ac:dyDescent="0.25"/>
    <row r="423" ht="12" customHeight="1" x14ac:dyDescent="0.25"/>
    <row r="424" ht="12" customHeight="1" x14ac:dyDescent="0.25"/>
    <row r="425" ht="12" customHeight="1" x14ac:dyDescent="0.25"/>
    <row r="426" ht="12" customHeight="1" x14ac:dyDescent="0.25"/>
    <row r="427" ht="12" customHeight="1" x14ac:dyDescent="0.25"/>
    <row r="428" ht="12" customHeight="1" x14ac:dyDescent="0.25"/>
    <row r="429" ht="12" customHeight="1" x14ac:dyDescent="0.25"/>
    <row r="430" ht="12" customHeight="1" x14ac:dyDescent="0.25"/>
    <row r="431" ht="12" customHeight="1" x14ac:dyDescent="0.25"/>
    <row r="432" ht="12" customHeight="1" x14ac:dyDescent="0.25"/>
    <row r="433" ht="12" customHeight="1" x14ac:dyDescent="0.25"/>
    <row r="434" ht="12" customHeight="1" x14ac:dyDescent="0.25"/>
    <row r="435" ht="12" customHeight="1" x14ac:dyDescent="0.25"/>
    <row r="436" ht="12" customHeight="1" x14ac:dyDescent="0.25"/>
    <row r="437" ht="12" customHeight="1" x14ac:dyDescent="0.25"/>
    <row r="438" ht="12" customHeight="1" x14ac:dyDescent="0.25"/>
    <row r="439" ht="12" customHeight="1" x14ac:dyDescent="0.25"/>
    <row r="440" ht="12" customHeight="1" x14ac:dyDescent="0.25"/>
    <row r="441" ht="12" customHeight="1" x14ac:dyDescent="0.25"/>
    <row r="442" ht="12" customHeight="1" x14ac:dyDescent="0.25"/>
    <row r="443" ht="12" customHeight="1" x14ac:dyDescent="0.25"/>
    <row r="444" ht="12" customHeight="1" x14ac:dyDescent="0.25"/>
    <row r="445" ht="12" customHeight="1" x14ac:dyDescent="0.25"/>
    <row r="446" ht="12" customHeight="1" x14ac:dyDescent="0.25"/>
    <row r="447" ht="12" customHeight="1" x14ac:dyDescent="0.25"/>
    <row r="448" ht="12" customHeight="1" x14ac:dyDescent="0.25"/>
    <row r="449" ht="12" customHeight="1" x14ac:dyDescent="0.25"/>
    <row r="450" ht="12" customHeight="1" x14ac:dyDescent="0.25"/>
    <row r="451" ht="12" customHeight="1" x14ac:dyDescent="0.25"/>
    <row r="452" ht="12" customHeight="1" x14ac:dyDescent="0.25"/>
    <row r="453" ht="12" customHeight="1" x14ac:dyDescent="0.25"/>
    <row r="454" ht="12" customHeight="1" x14ac:dyDescent="0.25"/>
    <row r="455" ht="12" customHeight="1" x14ac:dyDescent="0.25"/>
    <row r="456" ht="12" customHeight="1" x14ac:dyDescent="0.25"/>
    <row r="457" ht="12" customHeight="1" x14ac:dyDescent="0.25"/>
    <row r="458" ht="12" customHeight="1" x14ac:dyDescent="0.25"/>
    <row r="459" ht="12" customHeight="1" x14ac:dyDescent="0.25"/>
    <row r="460" ht="12" customHeight="1" x14ac:dyDescent="0.25"/>
    <row r="461" ht="12" customHeight="1" x14ac:dyDescent="0.25"/>
    <row r="462" ht="12" customHeight="1" x14ac:dyDescent="0.25"/>
    <row r="463" ht="12" customHeight="1" x14ac:dyDescent="0.25"/>
    <row r="464" ht="12" customHeight="1" x14ac:dyDescent="0.25"/>
    <row r="465" ht="12" customHeight="1" x14ac:dyDescent="0.25"/>
    <row r="466" ht="12" customHeight="1" x14ac:dyDescent="0.25"/>
    <row r="467" ht="12" customHeight="1" x14ac:dyDescent="0.25"/>
    <row r="468" ht="12" customHeight="1" x14ac:dyDescent="0.25"/>
    <row r="469" ht="12" customHeight="1" x14ac:dyDescent="0.25"/>
    <row r="470" ht="12" customHeight="1" x14ac:dyDescent="0.25"/>
    <row r="471" ht="12" customHeight="1" x14ac:dyDescent="0.25"/>
    <row r="472" ht="12" customHeight="1" x14ac:dyDescent="0.25"/>
    <row r="473" ht="12" customHeight="1" x14ac:dyDescent="0.25"/>
    <row r="474" ht="12" customHeight="1" x14ac:dyDescent="0.25"/>
    <row r="475" ht="12" customHeight="1" x14ac:dyDescent="0.25"/>
    <row r="476" ht="12" customHeight="1" x14ac:dyDescent="0.25"/>
    <row r="477" ht="12" customHeight="1" x14ac:dyDescent="0.25"/>
    <row r="478" ht="12" customHeight="1" x14ac:dyDescent="0.25"/>
    <row r="479" ht="12" customHeight="1" x14ac:dyDescent="0.25"/>
    <row r="480" ht="12" customHeight="1" x14ac:dyDescent="0.25"/>
    <row r="481" ht="12" customHeight="1" x14ac:dyDescent="0.25"/>
    <row r="482" ht="12" customHeight="1" x14ac:dyDescent="0.25"/>
    <row r="483" ht="12" customHeight="1" x14ac:dyDescent="0.25"/>
    <row r="484" ht="12" customHeight="1" x14ac:dyDescent="0.25"/>
    <row r="485" ht="12" customHeight="1" x14ac:dyDescent="0.25"/>
    <row r="486" ht="12" customHeight="1" x14ac:dyDescent="0.25"/>
    <row r="487" ht="12" customHeight="1" x14ac:dyDescent="0.25"/>
    <row r="488" ht="12" customHeight="1" x14ac:dyDescent="0.25"/>
    <row r="489" ht="12" customHeight="1" x14ac:dyDescent="0.25"/>
    <row r="490" ht="12" customHeight="1" x14ac:dyDescent="0.25"/>
    <row r="491" ht="12" customHeight="1" x14ac:dyDescent="0.25"/>
    <row r="492" ht="12" customHeight="1" x14ac:dyDescent="0.25"/>
    <row r="493" ht="12" customHeight="1" x14ac:dyDescent="0.25"/>
    <row r="494" ht="12" customHeight="1" x14ac:dyDescent="0.25"/>
    <row r="495" ht="12" customHeight="1" x14ac:dyDescent="0.25"/>
    <row r="496" ht="12" customHeight="1" x14ac:dyDescent="0.25"/>
    <row r="497" ht="12" customHeight="1" x14ac:dyDescent="0.25"/>
    <row r="498" ht="12" customHeight="1" x14ac:dyDescent="0.25"/>
    <row r="499" ht="12" customHeight="1" x14ac:dyDescent="0.25"/>
    <row r="500" ht="12" customHeight="1" x14ac:dyDescent="0.25"/>
    <row r="501" ht="12" customHeight="1" x14ac:dyDescent="0.25"/>
    <row r="502" ht="12" customHeight="1" x14ac:dyDescent="0.25"/>
    <row r="503" ht="12" customHeight="1" x14ac:dyDescent="0.25"/>
    <row r="559" spans="5:7" ht="16.5" customHeight="1" x14ac:dyDescent="0.25">
      <c r="E559" s="14"/>
      <c r="F559" s="68"/>
      <c r="G559" s="68"/>
    </row>
    <row r="560" spans="5:7" ht="16.5" customHeight="1" x14ac:dyDescent="0.25">
      <c r="E560" s="14"/>
      <c r="F560" s="68"/>
      <c r="G560" s="68"/>
    </row>
    <row r="561" spans="5:7" ht="16.5" customHeight="1" x14ac:dyDescent="0.25">
      <c r="E561" s="14"/>
      <c r="F561" s="68"/>
      <c r="G561" s="68"/>
    </row>
    <row r="562" spans="5:7" ht="16.5" customHeight="1" x14ac:dyDescent="0.25">
      <c r="E562" s="14"/>
      <c r="F562" s="68"/>
      <c r="G562" s="68"/>
    </row>
    <row r="563" spans="5:7" ht="16.5" customHeight="1" x14ac:dyDescent="0.25">
      <c r="E563" s="14"/>
      <c r="F563" s="68"/>
      <c r="G563" s="68"/>
    </row>
    <row r="564" spans="5:7" ht="16.5" customHeight="1" x14ac:dyDescent="0.25">
      <c r="E564" s="14"/>
      <c r="F564" s="68"/>
      <c r="G564" s="68"/>
    </row>
    <row r="565" spans="5:7" ht="16.5" customHeight="1" x14ac:dyDescent="0.25">
      <c r="E565" s="14"/>
      <c r="F565" s="68"/>
      <c r="G565" s="68"/>
    </row>
    <row r="566" spans="5:7" ht="16.5" customHeight="1" x14ac:dyDescent="0.25">
      <c r="E566" s="14"/>
      <c r="F566" s="68"/>
      <c r="G566" s="68"/>
    </row>
    <row r="567" spans="5:7" ht="16.5" customHeight="1" x14ac:dyDescent="0.25">
      <c r="E567" s="14"/>
      <c r="F567" s="68"/>
      <c r="G567" s="68"/>
    </row>
    <row r="568" spans="5:7" ht="16.5" customHeight="1" x14ac:dyDescent="0.25">
      <c r="E568" s="14"/>
      <c r="F568" s="68"/>
      <c r="G568" s="68"/>
    </row>
    <row r="569" spans="5:7" ht="16.5" customHeight="1" x14ac:dyDescent="0.25">
      <c r="E569" s="14"/>
      <c r="F569" s="68"/>
      <c r="G569" s="68"/>
    </row>
    <row r="570" spans="5:7" ht="16.5" customHeight="1" x14ac:dyDescent="0.25">
      <c r="E570" s="14"/>
      <c r="F570" s="68"/>
      <c r="G570" s="68"/>
    </row>
    <row r="571" spans="5:7" ht="16.5" customHeight="1" x14ac:dyDescent="0.25">
      <c r="E571" s="14"/>
      <c r="F571" s="68"/>
      <c r="G571" s="68"/>
    </row>
    <row r="572" spans="5:7" ht="16.5" customHeight="1" x14ac:dyDescent="0.25">
      <c r="E572" s="14"/>
      <c r="F572" s="68"/>
      <c r="G572" s="68"/>
    </row>
    <row r="573" spans="5:7" ht="16.5" customHeight="1" x14ac:dyDescent="0.25">
      <c r="E573" s="14"/>
      <c r="F573" s="68"/>
      <c r="G573" s="68"/>
    </row>
    <row r="574" spans="5:7" ht="16.5" customHeight="1" x14ac:dyDescent="0.25">
      <c r="E574" s="14"/>
      <c r="F574" s="68"/>
      <c r="G574" s="68"/>
    </row>
    <row r="575" spans="5:7" ht="16.5" customHeight="1" x14ac:dyDescent="0.25">
      <c r="E575" s="14"/>
      <c r="F575" s="68"/>
      <c r="G575" s="68"/>
    </row>
    <row r="576" spans="5:7" ht="16.5" customHeight="1" x14ac:dyDescent="0.25">
      <c r="E576" s="14"/>
      <c r="F576" s="68"/>
      <c r="G576" s="68"/>
    </row>
    <row r="577" spans="5:7" ht="16.5" customHeight="1" x14ac:dyDescent="0.25">
      <c r="E577" s="14"/>
      <c r="F577" s="68"/>
      <c r="G577" s="68"/>
    </row>
    <row r="578" spans="5:7" ht="16.5" customHeight="1" x14ac:dyDescent="0.25">
      <c r="E578" s="14"/>
      <c r="F578" s="68"/>
      <c r="G578" s="68"/>
    </row>
    <row r="579" spans="5:7" ht="16.5" customHeight="1" x14ac:dyDescent="0.25">
      <c r="E579" s="14"/>
      <c r="F579" s="68"/>
      <c r="G579" s="68"/>
    </row>
    <row r="580" spans="5:7" ht="16.5" customHeight="1" x14ac:dyDescent="0.25">
      <c r="E580" s="14"/>
      <c r="F580" s="68"/>
      <c r="G580" s="68"/>
    </row>
    <row r="581" spans="5:7" ht="16.5" customHeight="1" x14ac:dyDescent="0.25">
      <c r="E581" s="14"/>
      <c r="F581" s="68"/>
      <c r="G581" s="68"/>
    </row>
    <row r="582" spans="5:7" ht="16.5" customHeight="1" x14ac:dyDescent="0.25">
      <c r="E582" s="14"/>
      <c r="F582" s="68"/>
      <c r="G582" s="68"/>
    </row>
    <row r="583" spans="5:7" ht="16.5" customHeight="1" x14ac:dyDescent="0.25">
      <c r="E583" s="14"/>
      <c r="F583" s="68"/>
      <c r="G583" s="68"/>
    </row>
    <row r="584" spans="5:7" ht="16.5" customHeight="1" x14ac:dyDescent="0.25">
      <c r="E584" s="14"/>
      <c r="F584" s="68"/>
      <c r="G584" s="68"/>
    </row>
    <row r="585" spans="5:7" ht="16.5" customHeight="1" x14ac:dyDescent="0.25">
      <c r="E585" s="14"/>
      <c r="F585" s="68"/>
      <c r="G585" s="68"/>
    </row>
    <row r="586" spans="5:7" ht="16.5" customHeight="1" x14ac:dyDescent="0.25">
      <c r="E586" s="14"/>
      <c r="F586" s="68"/>
      <c r="G586" s="68"/>
    </row>
    <row r="587" spans="5:7" ht="16.5" customHeight="1" x14ac:dyDescent="0.25">
      <c r="E587" s="14"/>
      <c r="F587" s="68"/>
      <c r="G587" s="68"/>
    </row>
    <row r="588" spans="5:7" ht="16.5" customHeight="1" x14ac:dyDescent="0.25">
      <c r="E588" s="14"/>
      <c r="F588" s="68"/>
      <c r="G588" s="68"/>
    </row>
    <row r="589" spans="5:7" ht="16.5" customHeight="1" x14ac:dyDescent="0.25">
      <c r="E589" s="14"/>
      <c r="F589" s="68"/>
      <c r="G589" s="68"/>
    </row>
    <row r="590" spans="5:7" ht="16.5" customHeight="1" x14ac:dyDescent="0.25">
      <c r="E590" s="14"/>
      <c r="F590" s="68"/>
      <c r="G590" s="68"/>
    </row>
    <row r="591" spans="5:7" ht="16.5" customHeight="1" x14ac:dyDescent="0.25">
      <c r="E591" s="14"/>
      <c r="F591" s="68"/>
      <c r="G591" s="68"/>
    </row>
    <row r="592" spans="5:7" ht="16.5" customHeight="1" x14ac:dyDescent="0.25">
      <c r="E592" s="14"/>
      <c r="F592" s="68"/>
      <c r="G592" s="68"/>
    </row>
    <row r="593" spans="5:7" ht="16.5" customHeight="1" x14ac:dyDescent="0.25">
      <c r="E593" s="14"/>
      <c r="F593" s="68"/>
      <c r="G593" s="68"/>
    </row>
    <row r="594" spans="5:7" ht="16.5" customHeight="1" x14ac:dyDescent="0.25">
      <c r="E594" s="14"/>
      <c r="F594" s="68"/>
      <c r="G594" s="68"/>
    </row>
    <row r="595" spans="5:7" ht="16.5" customHeight="1" x14ac:dyDescent="0.25">
      <c r="E595" s="14"/>
      <c r="F595" s="68"/>
      <c r="G595" s="68"/>
    </row>
    <row r="596" spans="5:7" ht="16.5" customHeight="1" x14ac:dyDescent="0.25">
      <c r="E596" s="14"/>
      <c r="F596" s="68"/>
      <c r="G596" s="68"/>
    </row>
    <row r="597" spans="5:7" ht="16.5" customHeight="1" x14ac:dyDescent="0.25">
      <c r="E597" s="14"/>
      <c r="F597" s="68"/>
      <c r="G597" s="68"/>
    </row>
    <row r="598" spans="5:7" ht="16.5" customHeight="1" x14ac:dyDescent="0.25">
      <c r="E598" s="14"/>
      <c r="F598" s="68"/>
      <c r="G598" s="68"/>
    </row>
    <row r="599" spans="5:7" ht="16.5" customHeight="1" x14ac:dyDescent="0.25">
      <c r="E599" s="14"/>
      <c r="F599" s="68"/>
      <c r="G599" s="68"/>
    </row>
    <row r="600" spans="5:7" ht="16.5" customHeight="1" x14ac:dyDescent="0.25">
      <c r="E600" s="14"/>
      <c r="F600" s="68"/>
      <c r="G600" s="68"/>
    </row>
    <row r="601" spans="5:7" ht="16.5" customHeight="1" x14ac:dyDescent="0.25">
      <c r="E601" s="14"/>
      <c r="F601" s="68"/>
      <c r="G601" s="68"/>
    </row>
    <row r="602" spans="5:7" ht="16.5" customHeight="1" x14ac:dyDescent="0.25">
      <c r="E602" s="14"/>
      <c r="F602" s="68"/>
      <c r="G602" s="68"/>
    </row>
    <row r="603" spans="5:7" ht="16.5" customHeight="1" x14ac:dyDescent="0.25">
      <c r="E603" s="14"/>
      <c r="F603" s="68"/>
      <c r="G603" s="68"/>
    </row>
    <row r="604" spans="5:7" ht="16.5" customHeight="1" x14ac:dyDescent="0.25">
      <c r="E604" s="14"/>
      <c r="F604" s="68"/>
      <c r="G604" s="68"/>
    </row>
    <row r="605" spans="5:7" ht="16.5" customHeight="1" x14ac:dyDescent="0.25">
      <c r="E605" s="14"/>
      <c r="F605" s="68"/>
      <c r="G605" s="68"/>
    </row>
    <row r="606" spans="5:7" ht="16.5" customHeight="1" x14ac:dyDescent="0.25">
      <c r="E606" s="14"/>
      <c r="F606" s="68"/>
      <c r="G606" s="68"/>
    </row>
    <row r="607" spans="5:7" ht="16.5" customHeight="1" x14ac:dyDescent="0.25">
      <c r="E607" s="14"/>
      <c r="F607" s="68"/>
      <c r="G607" s="68"/>
    </row>
    <row r="608" spans="5:7" ht="16.5" customHeight="1" x14ac:dyDescent="0.25">
      <c r="E608" s="14"/>
      <c r="F608" s="68"/>
      <c r="G608" s="68"/>
    </row>
    <row r="609" spans="5:7" ht="16.5" customHeight="1" x14ac:dyDescent="0.25">
      <c r="E609" s="14"/>
      <c r="F609" s="68"/>
      <c r="G609" s="68"/>
    </row>
    <row r="610" spans="5:7" ht="16.5" customHeight="1" x14ac:dyDescent="0.25">
      <c r="E610" s="14"/>
      <c r="F610" s="68"/>
      <c r="G610" s="68"/>
    </row>
    <row r="611" spans="5:7" ht="16.5" customHeight="1" x14ac:dyDescent="0.25">
      <c r="E611" s="14"/>
      <c r="F611" s="68"/>
      <c r="G611" s="68"/>
    </row>
    <row r="612" spans="5:7" ht="16.5" customHeight="1" x14ac:dyDescent="0.25">
      <c r="E612" s="14"/>
      <c r="F612" s="68"/>
      <c r="G612" s="68"/>
    </row>
    <row r="613" spans="5:7" ht="16.5" customHeight="1" x14ac:dyDescent="0.25">
      <c r="E613" s="14"/>
      <c r="F613" s="68"/>
      <c r="G613" s="68"/>
    </row>
    <row r="614" spans="5:7" ht="16.5" customHeight="1" x14ac:dyDescent="0.25">
      <c r="E614" s="14"/>
      <c r="F614" s="68"/>
      <c r="G614" s="68"/>
    </row>
    <row r="615" spans="5:7" ht="16.5" customHeight="1" x14ac:dyDescent="0.25">
      <c r="E615" s="14"/>
      <c r="F615" s="68"/>
      <c r="G615" s="68"/>
    </row>
    <row r="616" spans="5:7" ht="16.5" customHeight="1" x14ac:dyDescent="0.25">
      <c r="E616" s="14"/>
      <c r="F616" s="68"/>
      <c r="G616" s="68"/>
    </row>
    <row r="617" spans="5:7" ht="16.5" customHeight="1" x14ac:dyDescent="0.25">
      <c r="E617" s="14"/>
      <c r="F617" s="68"/>
      <c r="G617" s="68"/>
    </row>
    <row r="618" spans="5:7" ht="16.5" customHeight="1" x14ac:dyDescent="0.25">
      <c r="E618" s="14"/>
      <c r="F618" s="68"/>
      <c r="G618" s="68"/>
    </row>
    <row r="619" spans="5:7" ht="16.5" customHeight="1" x14ac:dyDescent="0.25">
      <c r="E619" s="14"/>
      <c r="F619" s="68"/>
      <c r="G619" s="68"/>
    </row>
    <row r="620" spans="5:7" ht="16.5" customHeight="1" x14ac:dyDescent="0.25">
      <c r="E620" s="14"/>
      <c r="F620" s="68"/>
      <c r="G620" s="68"/>
    </row>
    <row r="621" spans="5:7" ht="16.5" customHeight="1" x14ac:dyDescent="0.25">
      <c r="E621" s="14"/>
      <c r="F621" s="68"/>
      <c r="G621" s="68"/>
    </row>
    <row r="622" spans="5:7" ht="16.5" customHeight="1" x14ac:dyDescent="0.25">
      <c r="E622" s="14"/>
      <c r="F622" s="68"/>
      <c r="G622" s="68"/>
    </row>
    <row r="623" spans="5:7" ht="16.5" customHeight="1" x14ac:dyDescent="0.25">
      <c r="E623" s="14"/>
      <c r="F623" s="68"/>
      <c r="G623" s="68"/>
    </row>
    <row r="624" spans="5:7" ht="16.5" customHeight="1" x14ac:dyDescent="0.25">
      <c r="E624" s="14"/>
      <c r="F624" s="68"/>
      <c r="G624" s="68"/>
    </row>
    <row r="625" spans="5:7" ht="16.5" customHeight="1" x14ac:dyDescent="0.25">
      <c r="E625" s="14"/>
      <c r="F625" s="68"/>
      <c r="G625" s="68"/>
    </row>
    <row r="626" spans="5:7" ht="16.5" customHeight="1" x14ac:dyDescent="0.25">
      <c r="E626" s="14"/>
      <c r="F626" s="68"/>
      <c r="G626" s="68"/>
    </row>
    <row r="627" spans="5:7" ht="16.5" customHeight="1" x14ac:dyDescent="0.25">
      <c r="E627" s="14"/>
      <c r="F627" s="68"/>
      <c r="G627" s="68"/>
    </row>
    <row r="628" spans="5:7" ht="16.5" customHeight="1" x14ac:dyDescent="0.25">
      <c r="E628" s="14"/>
      <c r="F628" s="68"/>
      <c r="G628" s="68"/>
    </row>
    <row r="629" spans="5:7" ht="16.5" customHeight="1" x14ac:dyDescent="0.25">
      <c r="E629" s="14"/>
      <c r="F629" s="68"/>
      <c r="G629" s="68"/>
    </row>
    <row r="630" spans="5:7" ht="16.5" customHeight="1" x14ac:dyDescent="0.25">
      <c r="E630" s="14"/>
      <c r="F630" s="68"/>
      <c r="G630" s="68"/>
    </row>
    <row r="631" spans="5:7" ht="16.5" customHeight="1" x14ac:dyDescent="0.25">
      <c r="E631" s="14"/>
      <c r="F631" s="68"/>
      <c r="G631" s="68"/>
    </row>
    <row r="632" spans="5:7" ht="16.5" customHeight="1" x14ac:dyDescent="0.25">
      <c r="E632" s="14"/>
      <c r="F632" s="68"/>
      <c r="G632" s="68"/>
    </row>
    <row r="633" spans="5:7" ht="16.5" customHeight="1" x14ac:dyDescent="0.25">
      <c r="E633" s="14"/>
      <c r="F633" s="68"/>
      <c r="G633" s="68"/>
    </row>
    <row r="634" spans="5:7" ht="16.5" customHeight="1" x14ac:dyDescent="0.25">
      <c r="E634" s="14"/>
      <c r="F634" s="68"/>
      <c r="G634" s="68"/>
    </row>
    <row r="635" spans="5:7" ht="16.5" customHeight="1" x14ac:dyDescent="0.25">
      <c r="E635" s="14"/>
      <c r="F635" s="68"/>
      <c r="G635" s="68"/>
    </row>
    <row r="636" spans="5:7" ht="16.5" customHeight="1" x14ac:dyDescent="0.25">
      <c r="E636" s="14"/>
      <c r="F636" s="68"/>
      <c r="G636" s="68"/>
    </row>
    <row r="637" spans="5:7" ht="16.5" customHeight="1" x14ac:dyDescent="0.25">
      <c r="E637" s="14"/>
      <c r="F637" s="68"/>
      <c r="G637" s="68"/>
    </row>
    <row r="638" spans="5:7" ht="16.5" customHeight="1" x14ac:dyDescent="0.25">
      <c r="E638" s="14"/>
      <c r="F638" s="68"/>
      <c r="G638" s="68"/>
    </row>
    <row r="639" spans="5:7" ht="16.5" customHeight="1" x14ac:dyDescent="0.25">
      <c r="E639" s="14"/>
      <c r="F639" s="68"/>
      <c r="G639" s="68"/>
    </row>
    <row r="640" spans="5:7" ht="16.5" customHeight="1" x14ac:dyDescent="0.25">
      <c r="E640" s="14"/>
      <c r="F640" s="68"/>
      <c r="G640" s="68"/>
    </row>
    <row r="641" spans="5:7" ht="16.5" customHeight="1" x14ac:dyDescent="0.25">
      <c r="E641" s="14"/>
      <c r="F641" s="68"/>
      <c r="G641" s="68"/>
    </row>
    <row r="642" spans="5:7" ht="16.5" customHeight="1" x14ac:dyDescent="0.25">
      <c r="E642" s="14"/>
      <c r="F642" s="68"/>
      <c r="G642" s="68"/>
    </row>
    <row r="643" spans="5:7" ht="16.5" customHeight="1" x14ac:dyDescent="0.25">
      <c r="E643" s="14"/>
      <c r="F643" s="68"/>
      <c r="G643" s="68"/>
    </row>
    <row r="644" spans="5:7" ht="16.5" customHeight="1" x14ac:dyDescent="0.25">
      <c r="E644" s="14"/>
      <c r="F644" s="68"/>
      <c r="G644" s="68"/>
    </row>
    <row r="645" spans="5:7" ht="16.5" customHeight="1" x14ac:dyDescent="0.25">
      <c r="E645" s="14"/>
      <c r="F645" s="68"/>
      <c r="G645" s="68"/>
    </row>
    <row r="646" spans="5:7" ht="16.5" customHeight="1" x14ac:dyDescent="0.25">
      <c r="E646" s="14"/>
      <c r="F646" s="68"/>
      <c r="G646" s="68"/>
    </row>
    <row r="647" spans="5:7" ht="16.5" customHeight="1" x14ac:dyDescent="0.25">
      <c r="E647" s="14"/>
      <c r="F647" s="68"/>
      <c r="G647" s="68"/>
    </row>
    <row r="648" spans="5:7" ht="16.5" customHeight="1" x14ac:dyDescent="0.25">
      <c r="E648" s="14"/>
      <c r="F648" s="68"/>
      <c r="G648" s="68"/>
    </row>
    <row r="649" spans="5:7" ht="16.5" customHeight="1" x14ac:dyDescent="0.25">
      <c r="E649" s="14"/>
      <c r="F649" s="68"/>
      <c r="G649" s="68"/>
    </row>
    <row r="650" spans="5:7" ht="16.5" customHeight="1" x14ac:dyDescent="0.25">
      <c r="E650" s="14"/>
      <c r="F650" s="68"/>
      <c r="G650" s="68"/>
    </row>
    <row r="651" spans="5:7" ht="16.5" customHeight="1" x14ac:dyDescent="0.25">
      <c r="E651" s="14"/>
      <c r="F651" s="68"/>
      <c r="G651" s="68"/>
    </row>
    <row r="652" spans="5:7" ht="16.5" customHeight="1" x14ac:dyDescent="0.25">
      <c r="E652" s="14"/>
      <c r="F652" s="68"/>
      <c r="G652" s="68"/>
    </row>
    <row r="653" spans="5:7" ht="16.5" customHeight="1" x14ac:dyDescent="0.25">
      <c r="E653" s="14"/>
      <c r="F653" s="68"/>
      <c r="G653" s="68"/>
    </row>
    <row r="654" spans="5:7" ht="16.5" customHeight="1" x14ac:dyDescent="0.25">
      <c r="E654" s="14"/>
      <c r="F654" s="68"/>
      <c r="G654" s="68"/>
    </row>
    <row r="655" spans="5:7" ht="16.5" customHeight="1" x14ac:dyDescent="0.25">
      <c r="E655" s="14"/>
      <c r="F655" s="68"/>
      <c r="G655" s="68"/>
    </row>
    <row r="656" spans="5:7" ht="16.5" customHeight="1" x14ac:dyDescent="0.25">
      <c r="E656" s="14"/>
      <c r="F656" s="68"/>
      <c r="G656" s="68"/>
    </row>
    <row r="657" spans="5:7" ht="16.5" customHeight="1" x14ac:dyDescent="0.25">
      <c r="E657" s="14"/>
      <c r="F657" s="68"/>
      <c r="G657" s="68"/>
    </row>
    <row r="658" spans="5:7" ht="16.5" customHeight="1" x14ac:dyDescent="0.25">
      <c r="E658" s="14"/>
      <c r="F658" s="68"/>
      <c r="G658" s="68"/>
    </row>
    <row r="659" spans="5:7" ht="16.5" customHeight="1" x14ac:dyDescent="0.25">
      <c r="E659" s="14"/>
      <c r="F659" s="68"/>
      <c r="G659" s="68"/>
    </row>
    <row r="660" spans="5:7" ht="16.5" customHeight="1" x14ac:dyDescent="0.25">
      <c r="E660" s="14"/>
      <c r="F660" s="68"/>
      <c r="G660" s="68"/>
    </row>
    <row r="661" spans="5:7" ht="16.5" customHeight="1" x14ac:dyDescent="0.25">
      <c r="E661" s="14"/>
      <c r="F661" s="68"/>
      <c r="G661" s="68"/>
    </row>
    <row r="662" spans="5:7" ht="16.5" customHeight="1" x14ac:dyDescent="0.25">
      <c r="E662" s="14"/>
      <c r="F662" s="68"/>
      <c r="G662" s="68"/>
    </row>
    <row r="663" spans="5:7" ht="16.5" customHeight="1" x14ac:dyDescent="0.25">
      <c r="E663" s="14"/>
      <c r="F663" s="68"/>
      <c r="G663" s="68"/>
    </row>
    <row r="664" spans="5:7" ht="16.5" customHeight="1" x14ac:dyDescent="0.25">
      <c r="E664" s="14"/>
      <c r="F664" s="68"/>
      <c r="G664" s="68"/>
    </row>
    <row r="665" spans="5:7" ht="16.5" customHeight="1" x14ac:dyDescent="0.25">
      <c r="E665" s="14"/>
      <c r="F665" s="68"/>
      <c r="G665" s="68"/>
    </row>
    <row r="666" spans="5:7" ht="16.5" customHeight="1" x14ac:dyDescent="0.25">
      <c r="E666" s="14"/>
      <c r="F666" s="68"/>
      <c r="G666" s="68"/>
    </row>
    <row r="667" spans="5:7" ht="16.5" customHeight="1" x14ac:dyDescent="0.25">
      <c r="E667" s="14"/>
      <c r="F667" s="68"/>
      <c r="G667" s="68"/>
    </row>
    <row r="668" spans="5:7" ht="16.5" customHeight="1" x14ac:dyDescent="0.25">
      <c r="E668" s="14"/>
      <c r="F668" s="68"/>
      <c r="G668" s="68"/>
    </row>
    <row r="669" spans="5:7" ht="16.5" customHeight="1" x14ac:dyDescent="0.25">
      <c r="E669" s="14"/>
      <c r="F669" s="68"/>
      <c r="G669" s="68"/>
    </row>
    <row r="670" spans="5:7" ht="16.5" customHeight="1" x14ac:dyDescent="0.25">
      <c r="E670" s="14"/>
      <c r="F670" s="68"/>
      <c r="G670" s="68"/>
    </row>
    <row r="671" spans="5:7" ht="16.5" customHeight="1" x14ac:dyDescent="0.25">
      <c r="E671" s="14"/>
      <c r="F671" s="68"/>
      <c r="G671" s="68"/>
    </row>
    <row r="672" spans="5:7" ht="16.5" customHeight="1" x14ac:dyDescent="0.25">
      <c r="E672" s="14"/>
      <c r="F672" s="68"/>
      <c r="G672" s="68"/>
    </row>
    <row r="673" spans="5:7" ht="16.5" customHeight="1" x14ac:dyDescent="0.25">
      <c r="E673" s="14"/>
      <c r="F673" s="68"/>
      <c r="G673" s="68"/>
    </row>
    <row r="674" spans="5:7" ht="16.5" customHeight="1" x14ac:dyDescent="0.25">
      <c r="E674" s="14"/>
      <c r="F674" s="68"/>
      <c r="G674" s="68"/>
    </row>
    <row r="675" spans="5:7" ht="16.5" customHeight="1" x14ac:dyDescent="0.25">
      <c r="E675" s="14"/>
      <c r="F675" s="68"/>
      <c r="G675" s="68"/>
    </row>
    <row r="676" spans="5:7" ht="16.5" customHeight="1" x14ac:dyDescent="0.25">
      <c r="E676" s="14"/>
      <c r="F676" s="68"/>
      <c r="G676" s="68"/>
    </row>
    <row r="677" spans="5:7" ht="16.5" customHeight="1" x14ac:dyDescent="0.25">
      <c r="E677" s="14"/>
      <c r="F677" s="68"/>
      <c r="G677" s="68"/>
    </row>
    <row r="678" spans="5:7" ht="16.5" customHeight="1" x14ac:dyDescent="0.25">
      <c r="E678" s="14"/>
      <c r="F678" s="68"/>
      <c r="G678" s="68"/>
    </row>
    <row r="679" spans="5:7" ht="16.5" customHeight="1" x14ac:dyDescent="0.25">
      <c r="E679" s="14"/>
      <c r="F679" s="68"/>
      <c r="G679" s="68"/>
    </row>
    <row r="680" spans="5:7" ht="16.5" customHeight="1" x14ac:dyDescent="0.25">
      <c r="E680" s="14"/>
      <c r="F680" s="68"/>
      <c r="G680" s="68"/>
    </row>
    <row r="681" spans="5:7" ht="16.5" customHeight="1" x14ac:dyDescent="0.25">
      <c r="E681" s="14"/>
      <c r="F681" s="68"/>
      <c r="G681" s="68"/>
    </row>
    <row r="682" spans="5:7" ht="16.5" customHeight="1" x14ac:dyDescent="0.25">
      <c r="E682" s="14"/>
      <c r="F682" s="68"/>
      <c r="G682" s="68"/>
    </row>
    <row r="683" spans="5:7" ht="16.5" customHeight="1" x14ac:dyDescent="0.25">
      <c r="E683" s="14"/>
      <c r="F683" s="68"/>
      <c r="G683" s="68"/>
    </row>
    <row r="684" spans="5:7" ht="16.5" customHeight="1" x14ac:dyDescent="0.25">
      <c r="E684" s="14"/>
      <c r="F684" s="68"/>
      <c r="G684" s="68"/>
    </row>
    <row r="685" spans="5:7" ht="16.5" customHeight="1" x14ac:dyDescent="0.25">
      <c r="E685" s="14"/>
      <c r="F685" s="68"/>
      <c r="G685" s="68"/>
    </row>
    <row r="686" spans="5:7" ht="16.5" customHeight="1" x14ac:dyDescent="0.25">
      <c r="E686" s="14"/>
      <c r="F686" s="68"/>
      <c r="G686" s="68"/>
    </row>
    <row r="687" spans="5:7" ht="16.5" customHeight="1" x14ac:dyDescent="0.25">
      <c r="E687" s="14"/>
      <c r="F687" s="68"/>
      <c r="G687" s="68"/>
    </row>
    <row r="688" spans="5:7" ht="16.5" customHeight="1" x14ac:dyDescent="0.25">
      <c r="E688" s="14"/>
      <c r="F688" s="68"/>
      <c r="G688" s="68"/>
    </row>
    <row r="689" spans="5:7" ht="16.5" customHeight="1" x14ac:dyDescent="0.25">
      <c r="E689" s="14"/>
      <c r="F689" s="68"/>
      <c r="G689" s="68"/>
    </row>
    <row r="690" spans="5:7" ht="16.5" customHeight="1" x14ac:dyDescent="0.25">
      <c r="E690" s="14"/>
      <c r="F690" s="68"/>
      <c r="G690" s="68"/>
    </row>
    <row r="691" spans="5:7" ht="16.5" customHeight="1" x14ac:dyDescent="0.25">
      <c r="E691" s="14"/>
      <c r="F691" s="68"/>
      <c r="G691" s="68"/>
    </row>
    <row r="692" spans="5:7" ht="16.5" customHeight="1" x14ac:dyDescent="0.25">
      <c r="E692" s="14"/>
      <c r="F692" s="68"/>
      <c r="G692" s="68"/>
    </row>
    <row r="693" spans="5:7" ht="16.5" customHeight="1" x14ac:dyDescent="0.25">
      <c r="E693" s="14"/>
      <c r="F693" s="68"/>
      <c r="G693" s="68"/>
    </row>
    <row r="694" spans="5:7" ht="16.5" customHeight="1" x14ac:dyDescent="0.25">
      <c r="E694" s="14"/>
      <c r="F694" s="68"/>
      <c r="G694" s="68"/>
    </row>
    <row r="695" spans="5:7" ht="16.5" customHeight="1" x14ac:dyDescent="0.25">
      <c r="E695" s="14"/>
      <c r="F695" s="68"/>
      <c r="G695" s="68"/>
    </row>
    <row r="696" spans="5:7" ht="16.5" customHeight="1" x14ac:dyDescent="0.25">
      <c r="E696" s="14"/>
      <c r="F696" s="68"/>
      <c r="G696" s="68"/>
    </row>
    <row r="697" spans="5:7" ht="16.5" customHeight="1" x14ac:dyDescent="0.25">
      <c r="E697" s="14"/>
      <c r="F697" s="68"/>
      <c r="G697" s="68"/>
    </row>
    <row r="698" spans="5:7" ht="16.5" customHeight="1" x14ac:dyDescent="0.25">
      <c r="E698" s="14"/>
      <c r="F698" s="68"/>
      <c r="G698" s="68"/>
    </row>
    <row r="699" spans="5:7" ht="16.5" customHeight="1" x14ac:dyDescent="0.25">
      <c r="E699" s="14"/>
      <c r="F699" s="68"/>
      <c r="G699" s="68"/>
    </row>
    <row r="700" spans="5:7" ht="16.5" customHeight="1" x14ac:dyDescent="0.25">
      <c r="E700" s="14"/>
      <c r="F700" s="68"/>
      <c r="G700" s="68"/>
    </row>
    <row r="701" spans="5:7" ht="16.5" customHeight="1" x14ac:dyDescent="0.25">
      <c r="E701" s="14"/>
      <c r="F701" s="68"/>
      <c r="G701" s="68"/>
    </row>
    <row r="702" spans="5:7" ht="16.5" customHeight="1" x14ac:dyDescent="0.25">
      <c r="E702" s="14"/>
      <c r="F702" s="68"/>
      <c r="G702" s="68"/>
    </row>
    <row r="703" spans="5:7" ht="16.5" customHeight="1" x14ac:dyDescent="0.25">
      <c r="E703" s="14"/>
      <c r="F703" s="68"/>
      <c r="G703" s="68"/>
    </row>
    <row r="704" spans="5:7" ht="16.5" customHeight="1" x14ac:dyDescent="0.25">
      <c r="E704" s="14"/>
      <c r="F704" s="68"/>
      <c r="G704" s="68"/>
    </row>
    <row r="705" spans="5:7" ht="16.5" customHeight="1" x14ac:dyDescent="0.25">
      <c r="E705" s="14"/>
      <c r="F705" s="68"/>
      <c r="G705" s="68"/>
    </row>
    <row r="706" spans="5:7" ht="16.5" customHeight="1" x14ac:dyDescent="0.25">
      <c r="E706" s="14"/>
      <c r="F706" s="68"/>
      <c r="G706" s="68"/>
    </row>
    <row r="707" spans="5:7" ht="16.5" customHeight="1" x14ac:dyDescent="0.25">
      <c r="E707" s="14"/>
      <c r="F707" s="68"/>
      <c r="G707" s="68"/>
    </row>
    <row r="708" spans="5:7" ht="16.5" customHeight="1" x14ac:dyDescent="0.25">
      <c r="E708" s="14"/>
      <c r="F708" s="68"/>
      <c r="G708" s="68"/>
    </row>
    <row r="709" spans="5:7" ht="16.5" customHeight="1" x14ac:dyDescent="0.25">
      <c r="E709" s="14"/>
      <c r="F709" s="68"/>
      <c r="G709" s="68"/>
    </row>
    <row r="710" spans="5:7" ht="16.5" customHeight="1" x14ac:dyDescent="0.25">
      <c r="E710" s="14"/>
      <c r="F710" s="68"/>
      <c r="G710" s="68"/>
    </row>
    <row r="711" spans="5:7" ht="16.5" customHeight="1" x14ac:dyDescent="0.25">
      <c r="E711" s="14"/>
      <c r="F711" s="68"/>
      <c r="G711" s="68"/>
    </row>
    <row r="712" spans="5:7" ht="16.5" customHeight="1" x14ac:dyDescent="0.25">
      <c r="E712" s="14"/>
      <c r="F712" s="68"/>
      <c r="G712" s="68"/>
    </row>
    <row r="713" spans="5:7" ht="16.5" customHeight="1" x14ac:dyDescent="0.25">
      <c r="E713" s="14"/>
      <c r="F713" s="68"/>
      <c r="G713" s="68"/>
    </row>
    <row r="714" spans="5:7" ht="16.5" customHeight="1" x14ac:dyDescent="0.25">
      <c r="E714" s="14"/>
      <c r="F714" s="68"/>
      <c r="G714" s="68"/>
    </row>
    <row r="715" spans="5:7" ht="16.5" customHeight="1" x14ac:dyDescent="0.25">
      <c r="E715" s="14"/>
      <c r="F715" s="68"/>
      <c r="G715" s="68"/>
    </row>
    <row r="716" spans="5:7" ht="16.5" customHeight="1" x14ac:dyDescent="0.25">
      <c r="E716" s="14"/>
      <c r="F716" s="68"/>
      <c r="G716" s="68"/>
    </row>
    <row r="717" spans="5:7" ht="16.5" customHeight="1" x14ac:dyDescent="0.25">
      <c r="E717" s="14"/>
      <c r="F717" s="68"/>
      <c r="G717" s="68"/>
    </row>
    <row r="718" spans="5:7" ht="16.5" customHeight="1" x14ac:dyDescent="0.25">
      <c r="E718" s="14"/>
      <c r="F718" s="68"/>
      <c r="G718" s="68"/>
    </row>
    <row r="719" spans="5:7" ht="16.5" customHeight="1" x14ac:dyDescent="0.25">
      <c r="E719" s="14"/>
      <c r="F719" s="68"/>
      <c r="G719" s="68"/>
    </row>
    <row r="720" spans="5:7" ht="16.5" customHeight="1" x14ac:dyDescent="0.25">
      <c r="E720" s="14"/>
      <c r="F720" s="68"/>
      <c r="G720" s="68"/>
    </row>
    <row r="721" spans="5:7" ht="16.5" customHeight="1" x14ac:dyDescent="0.25">
      <c r="E721" s="14"/>
      <c r="F721" s="68"/>
      <c r="G721" s="68"/>
    </row>
    <row r="722" spans="5:7" ht="16.5" customHeight="1" x14ac:dyDescent="0.25">
      <c r="E722" s="14"/>
      <c r="F722" s="68"/>
      <c r="G722" s="68"/>
    </row>
    <row r="723" spans="5:7" ht="16.5" customHeight="1" x14ac:dyDescent="0.25">
      <c r="E723" s="14"/>
      <c r="F723" s="68"/>
      <c r="G723" s="68"/>
    </row>
    <row r="724" spans="5:7" ht="16.5" customHeight="1" x14ac:dyDescent="0.25">
      <c r="E724" s="14"/>
      <c r="F724" s="68"/>
      <c r="G724" s="68"/>
    </row>
    <row r="725" spans="5:7" ht="16.5" customHeight="1" x14ac:dyDescent="0.25">
      <c r="E725" s="14"/>
      <c r="F725" s="68"/>
      <c r="G725" s="68"/>
    </row>
    <row r="726" spans="5:7" ht="16.5" customHeight="1" x14ac:dyDescent="0.25">
      <c r="E726" s="14"/>
      <c r="F726" s="68"/>
      <c r="G726" s="68"/>
    </row>
    <row r="727" spans="5:7" ht="16.5" customHeight="1" x14ac:dyDescent="0.25">
      <c r="E727" s="14"/>
      <c r="F727" s="68"/>
      <c r="G727" s="68"/>
    </row>
    <row r="728" spans="5:7" ht="16.5" customHeight="1" x14ac:dyDescent="0.25">
      <c r="E728" s="14"/>
      <c r="F728" s="68"/>
      <c r="G728" s="68"/>
    </row>
    <row r="729" spans="5:7" ht="16.5" customHeight="1" x14ac:dyDescent="0.25">
      <c r="E729" s="14"/>
      <c r="F729" s="68"/>
      <c r="G729" s="68"/>
    </row>
    <row r="730" spans="5:7" ht="16.5" customHeight="1" x14ac:dyDescent="0.25">
      <c r="E730" s="14"/>
      <c r="F730" s="68"/>
      <c r="G730" s="68"/>
    </row>
    <row r="731" spans="5:7" ht="16.5" customHeight="1" x14ac:dyDescent="0.25">
      <c r="E731" s="14"/>
      <c r="F731" s="68"/>
      <c r="G731" s="68"/>
    </row>
    <row r="732" spans="5:7" ht="16.5" customHeight="1" x14ac:dyDescent="0.25">
      <c r="E732" s="14"/>
      <c r="F732" s="68"/>
      <c r="G732" s="68"/>
    </row>
    <row r="733" spans="5:7" ht="16.5" customHeight="1" x14ac:dyDescent="0.25">
      <c r="E733" s="14"/>
      <c r="F733" s="68"/>
      <c r="G733" s="68"/>
    </row>
    <row r="734" spans="5:7" ht="16.5" customHeight="1" x14ac:dyDescent="0.25">
      <c r="E734" s="14"/>
      <c r="F734" s="68"/>
      <c r="G734" s="68"/>
    </row>
    <row r="735" spans="5:7" ht="16.5" customHeight="1" x14ac:dyDescent="0.25">
      <c r="E735" s="14"/>
      <c r="F735" s="68"/>
      <c r="G735" s="68"/>
    </row>
    <row r="736" spans="5:7" ht="16.5" customHeight="1" x14ac:dyDescent="0.25">
      <c r="E736" s="14"/>
      <c r="F736" s="68"/>
      <c r="G736" s="68"/>
    </row>
    <row r="737" spans="5:7" ht="16.5" customHeight="1" x14ac:dyDescent="0.25">
      <c r="E737" s="14"/>
      <c r="F737" s="68"/>
      <c r="G737" s="68"/>
    </row>
    <row r="738" spans="5:7" ht="16.5" customHeight="1" x14ac:dyDescent="0.25">
      <c r="E738" s="14"/>
      <c r="F738" s="68"/>
      <c r="G738" s="68"/>
    </row>
    <row r="739" spans="5:7" ht="16.5" customHeight="1" x14ac:dyDescent="0.25">
      <c r="E739" s="14"/>
      <c r="F739" s="68"/>
      <c r="G739" s="68"/>
    </row>
    <row r="740" spans="5:7" ht="16.5" customHeight="1" x14ac:dyDescent="0.25">
      <c r="E740" s="14"/>
      <c r="F740" s="68"/>
      <c r="G740" s="68"/>
    </row>
    <row r="741" spans="5:7" ht="16.5" customHeight="1" x14ac:dyDescent="0.25">
      <c r="E741" s="14"/>
      <c r="F741" s="68"/>
      <c r="G741" s="68"/>
    </row>
    <row r="742" spans="5:7" ht="16.5" customHeight="1" x14ac:dyDescent="0.25">
      <c r="E742" s="14"/>
      <c r="F742" s="68"/>
      <c r="G742" s="68"/>
    </row>
    <row r="743" spans="5:7" ht="16.5" customHeight="1" x14ac:dyDescent="0.25">
      <c r="E743" s="14"/>
      <c r="F743" s="68"/>
      <c r="G743" s="68"/>
    </row>
    <row r="744" spans="5:7" ht="16.5" customHeight="1" x14ac:dyDescent="0.25">
      <c r="E744" s="14"/>
      <c r="F744" s="68"/>
      <c r="G744" s="68"/>
    </row>
    <row r="745" spans="5:7" ht="16.5" customHeight="1" x14ac:dyDescent="0.25">
      <c r="E745" s="14"/>
      <c r="F745" s="68"/>
      <c r="G745" s="68"/>
    </row>
    <row r="746" spans="5:7" ht="16.5" customHeight="1" x14ac:dyDescent="0.25">
      <c r="E746" s="14"/>
      <c r="F746" s="68"/>
      <c r="G746" s="68"/>
    </row>
    <row r="747" spans="5:7" ht="16.5" customHeight="1" x14ac:dyDescent="0.25">
      <c r="E747" s="14"/>
      <c r="F747" s="68"/>
      <c r="G747" s="68"/>
    </row>
    <row r="748" spans="5:7" ht="16.5" customHeight="1" x14ac:dyDescent="0.25">
      <c r="E748" s="14"/>
      <c r="F748" s="68"/>
      <c r="G748" s="68"/>
    </row>
    <row r="749" spans="5:7" ht="16.5" customHeight="1" x14ac:dyDescent="0.25">
      <c r="E749" s="14"/>
      <c r="F749" s="68"/>
      <c r="G749" s="68"/>
    </row>
    <row r="750" spans="5:7" ht="16.5" customHeight="1" x14ac:dyDescent="0.25">
      <c r="E750" s="14"/>
      <c r="F750" s="68"/>
      <c r="G750" s="68"/>
    </row>
    <row r="751" spans="5:7" ht="16.5" customHeight="1" x14ac:dyDescent="0.25">
      <c r="E751" s="14"/>
      <c r="F751" s="68"/>
      <c r="G751" s="68"/>
    </row>
    <row r="752" spans="5:7" ht="16.5" customHeight="1" x14ac:dyDescent="0.25">
      <c r="E752" s="14"/>
      <c r="F752" s="68"/>
      <c r="G752" s="68"/>
    </row>
    <row r="753" spans="5:7" ht="16.5" customHeight="1" x14ac:dyDescent="0.25">
      <c r="E753" s="14"/>
      <c r="F753" s="68"/>
      <c r="G753" s="68"/>
    </row>
    <row r="754" spans="5:7" ht="16.5" customHeight="1" x14ac:dyDescent="0.25">
      <c r="E754" s="14"/>
      <c r="F754" s="68"/>
      <c r="G754" s="68"/>
    </row>
    <row r="755" spans="5:7" ht="16.5" customHeight="1" x14ac:dyDescent="0.25">
      <c r="E755" s="14"/>
      <c r="F755" s="68"/>
      <c r="G755" s="68"/>
    </row>
    <row r="756" spans="5:7" ht="16.5" customHeight="1" x14ac:dyDescent="0.25">
      <c r="E756" s="14"/>
      <c r="F756" s="68"/>
      <c r="G756" s="68"/>
    </row>
    <row r="757" spans="5:7" ht="16.5" customHeight="1" x14ac:dyDescent="0.25">
      <c r="E757" s="14"/>
      <c r="F757" s="68"/>
      <c r="G757" s="68"/>
    </row>
    <row r="758" spans="5:7" ht="16.5" customHeight="1" x14ac:dyDescent="0.25">
      <c r="E758" s="14"/>
      <c r="F758" s="68"/>
      <c r="G758" s="68"/>
    </row>
    <row r="759" spans="5:7" ht="16.5" customHeight="1" x14ac:dyDescent="0.25">
      <c r="E759" s="14"/>
      <c r="F759" s="68"/>
      <c r="G759" s="68"/>
    </row>
    <row r="760" spans="5:7" ht="16.5" customHeight="1" x14ac:dyDescent="0.25">
      <c r="E760" s="14"/>
      <c r="F760" s="68"/>
      <c r="G760" s="68"/>
    </row>
    <row r="761" spans="5:7" ht="16.5" customHeight="1" x14ac:dyDescent="0.25">
      <c r="E761" s="14"/>
      <c r="F761" s="68"/>
      <c r="G761" s="68"/>
    </row>
    <row r="762" spans="5:7" ht="16.5" customHeight="1" x14ac:dyDescent="0.25">
      <c r="E762" s="14"/>
      <c r="F762" s="68"/>
      <c r="G762" s="68"/>
    </row>
    <row r="763" spans="5:7" ht="16.5" customHeight="1" x14ac:dyDescent="0.25">
      <c r="E763" s="14"/>
      <c r="F763" s="68"/>
      <c r="G763" s="68"/>
    </row>
    <row r="764" spans="5:7" ht="16.5" customHeight="1" x14ac:dyDescent="0.25">
      <c r="E764" s="14"/>
      <c r="F764" s="68"/>
      <c r="G764" s="68"/>
    </row>
    <row r="765" spans="5:7" ht="16.5" customHeight="1" x14ac:dyDescent="0.25">
      <c r="E765" s="14"/>
      <c r="F765" s="68"/>
      <c r="G765" s="68"/>
    </row>
    <row r="766" spans="5:7" ht="16.5" customHeight="1" x14ac:dyDescent="0.25">
      <c r="E766" s="14"/>
      <c r="F766" s="68"/>
      <c r="G766" s="68"/>
    </row>
    <row r="767" spans="5:7" ht="16.5" customHeight="1" x14ac:dyDescent="0.25">
      <c r="E767" s="14"/>
      <c r="F767" s="68"/>
      <c r="G767" s="68"/>
    </row>
    <row r="768" spans="5:7" ht="16.5" customHeight="1" x14ac:dyDescent="0.25">
      <c r="E768" s="14"/>
      <c r="F768" s="68"/>
      <c r="G768" s="68"/>
    </row>
    <row r="769" spans="5:7" ht="16.5" customHeight="1" x14ac:dyDescent="0.25">
      <c r="E769" s="14"/>
      <c r="F769" s="68"/>
      <c r="G769" s="68"/>
    </row>
    <row r="770" spans="5:7" ht="16.5" customHeight="1" x14ac:dyDescent="0.25">
      <c r="E770" s="14"/>
      <c r="F770" s="68"/>
      <c r="G770" s="68"/>
    </row>
    <row r="771" spans="5:7" ht="16.5" customHeight="1" x14ac:dyDescent="0.25">
      <c r="E771" s="14"/>
      <c r="F771" s="68"/>
      <c r="G771" s="68"/>
    </row>
    <row r="772" spans="5:7" ht="16.5" customHeight="1" x14ac:dyDescent="0.25">
      <c r="E772" s="14"/>
      <c r="F772" s="68"/>
      <c r="G772" s="68"/>
    </row>
    <row r="773" spans="5:7" ht="16.5" customHeight="1" x14ac:dyDescent="0.25">
      <c r="E773" s="14"/>
      <c r="F773" s="68"/>
      <c r="G773" s="68"/>
    </row>
    <row r="774" spans="5:7" ht="16.5" customHeight="1" x14ac:dyDescent="0.25">
      <c r="E774" s="14"/>
      <c r="F774" s="68"/>
      <c r="G774" s="68"/>
    </row>
    <row r="775" spans="5:7" ht="16.5" customHeight="1" x14ac:dyDescent="0.25">
      <c r="E775" s="14"/>
      <c r="F775" s="68"/>
      <c r="G775" s="68"/>
    </row>
    <row r="776" spans="5:7" ht="16.5" customHeight="1" x14ac:dyDescent="0.25">
      <c r="E776" s="14"/>
      <c r="F776" s="68"/>
      <c r="G776" s="68"/>
    </row>
    <row r="777" spans="5:7" ht="16.5" customHeight="1" x14ac:dyDescent="0.25">
      <c r="E777" s="14"/>
      <c r="F777" s="68"/>
      <c r="G777" s="68"/>
    </row>
    <row r="778" spans="5:7" ht="16.5" customHeight="1" x14ac:dyDescent="0.25">
      <c r="E778" s="14"/>
      <c r="F778" s="68"/>
      <c r="G778" s="68"/>
    </row>
    <row r="779" spans="5:7" ht="16.5" customHeight="1" x14ac:dyDescent="0.25">
      <c r="E779" s="14"/>
      <c r="F779" s="68"/>
      <c r="G779" s="68"/>
    </row>
    <row r="780" spans="5:7" ht="16.5" customHeight="1" x14ac:dyDescent="0.25">
      <c r="E780" s="14"/>
      <c r="F780" s="68"/>
      <c r="G780" s="68"/>
    </row>
    <row r="781" spans="5:7" ht="16.5" customHeight="1" x14ac:dyDescent="0.25">
      <c r="E781" s="14"/>
      <c r="F781" s="68"/>
      <c r="G781" s="68"/>
    </row>
    <row r="782" spans="5:7" ht="16.5" customHeight="1" x14ac:dyDescent="0.25">
      <c r="E782" s="14"/>
      <c r="F782" s="68"/>
      <c r="G782" s="68"/>
    </row>
    <row r="783" spans="5:7" ht="16.5" customHeight="1" x14ac:dyDescent="0.25">
      <c r="E783" s="14"/>
      <c r="F783" s="68"/>
      <c r="G783" s="68"/>
    </row>
    <row r="784" spans="5:7" ht="16.5" customHeight="1" x14ac:dyDescent="0.25">
      <c r="E784" s="14"/>
      <c r="F784" s="68"/>
      <c r="G784" s="68"/>
    </row>
    <row r="785" spans="5:7" ht="16.5" customHeight="1" x14ac:dyDescent="0.25">
      <c r="E785" s="14"/>
      <c r="F785" s="68"/>
      <c r="G785" s="68"/>
    </row>
    <row r="786" spans="5:7" ht="16.5" customHeight="1" x14ac:dyDescent="0.25">
      <c r="E786" s="14"/>
      <c r="F786" s="68"/>
      <c r="G786" s="68"/>
    </row>
    <row r="787" spans="5:7" ht="16.5" customHeight="1" x14ac:dyDescent="0.25">
      <c r="E787" s="14"/>
      <c r="F787" s="68"/>
      <c r="G787" s="68"/>
    </row>
    <row r="788" spans="5:7" ht="16.5" customHeight="1" x14ac:dyDescent="0.25">
      <c r="E788" s="14"/>
      <c r="F788" s="68"/>
      <c r="G788" s="68"/>
    </row>
    <row r="789" spans="5:7" ht="16.5" customHeight="1" x14ac:dyDescent="0.25">
      <c r="E789" s="14"/>
      <c r="F789" s="68"/>
      <c r="G789" s="68"/>
    </row>
    <row r="790" spans="5:7" ht="16.5" customHeight="1" x14ac:dyDescent="0.25">
      <c r="E790" s="14"/>
      <c r="F790" s="68"/>
      <c r="G790" s="68"/>
    </row>
    <row r="791" spans="5:7" ht="16.5" customHeight="1" x14ac:dyDescent="0.25">
      <c r="E791" s="14"/>
      <c r="F791" s="68"/>
      <c r="G791" s="68"/>
    </row>
    <row r="792" spans="5:7" ht="16.5" customHeight="1" x14ac:dyDescent="0.25">
      <c r="E792" s="14"/>
      <c r="F792" s="68"/>
      <c r="G792" s="68"/>
    </row>
    <row r="793" spans="5:7" ht="16.5" customHeight="1" x14ac:dyDescent="0.25">
      <c r="E793" s="14"/>
      <c r="F793" s="68"/>
      <c r="G793" s="68"/>
    </row>
    <row r="794" spans="5:7" ht="16.5" customHeight="1" x14ac:dyDescent="0.25">
      <c r="E794" s="14"/>
      <c r="F794" s="68"/>
      <c r="G794" s="68"/>
    </row>
    <row r="795" spans="5:7" ht="16.5" customHeight="1" x14ac:dyDescent="0.25">
      <c r="E795" s="14"/>
      <c r="F795" s="68"/>
      <c r="G795" s="68"/>
    </row>
    <row r="796" spans="5:7" ht="16.5" customHeight="1" x14ac:dyDescent="0.25">
      <c r="E796" s="14"/>
      <c r="F796" s="68"/>
      <c r="G796" s="68"/>
    </row>
    <row r="797" spans="5:7" ht="16.5" customHeight="1" x14ac:dyDescent="0.25">
      <c r="E797" s="14"/>
      <c r="F797" s="68"/>
      <c r="G797" s="68"/>
    </row>
    <row r="798" spans="5:7" ht="16.5" customHeight="1" x14ac:dyDescent="0.25">
      <c r="E798" s="14"/>
      <c r="F798" s="68"/>
      <c r="G798" s="68"/>
    </row>
    <row r="799" spans="5:7" ht="16.5" customHeight="1" x14ac:dyDescent="0.25">
      <c r="E799" s="14"/>
      <c r="F799" s="68"/>
      <c r="G799" s="68"/>
    </row>
    <row r="800" spans="5:7" ht="16.5" customHeight="1" x14ac:dyDescent="0.25">
      <c r="E800" s="14"/>
      <c r="F800" s="68"/>
      <c r="G800" s="68"/>
    </row>
    <row r="801" spans="5:7" ht="16.5" customHeight="1" x14ac:dyDescent="0.25">
      <c r="E801" s="14"/>
      <c r="F801" s="68"/>
      <c r="G801" s="68"/>
    </row>
    <row r="802" spans="5:7" ht="16.5" customHeight="1" x14ac:dyDescent="0.25">
      <c r="E802" s="14"/>
      <c r="F802" s="68"/>
      <c r="G802" s="68"/>
    </row>
    <row r="803" spans="5:7" ht="16.5" customHeight="1" x14ac:dyDescent="0.25">
      <c r="E803" s="14"/>
      <c r="F803" s="68"/>
      <c r="G803" s="68"/>
    </row>
    <row r="804" spans="5:7" ht="16.5" customHeight="1" x14ac:dyDescent="0.25">
      <c r="E804" s="14"/>
      <c r="F804" s="68"/>
      <c r="G804" s="68"/>
    </row>
    <row r="805" spans="5:7" ht="16.5" customHeight="1" x14ac:dyDescent="0.25">
      <c r="E805" s="14"/>
      <c r="F805" s="68"/>
      <c r="G805" s="68"/>
    </row>
    <row r="806" spans="5:7" ht="16.5" customHeight="1" x14ac:dyDescent="0.25">
      <c r="E806" s="14"/>
      <c r="F806" s="68"/>
      <c r="G806" s="68"/>
    </row>
    <row r="807" spans="5:7" ht="16.5" customHeight="1" x14ac:dyDescent="0.25">
      <c r="E807" s="14"/>
      <c r="F807" s="68"/>
      <c r="G807" s="68"/>
    </row>
    <row r="808" spans="5:7" ht="16.5" customHeight="1" x14ac:dyDescent="0.25">
      <c r="E808" s="14"/>
      <c r="F808" s="68"/>
      <c r="G808" s="68"/>
    </row>
    <row r="809" spans="5:7" ht="16.5" customHeight="1" x14ac:dyDescent="0.25">
      <c r="E809" s="14"/>
      <c r="F809" s="68"/>
      <c r="G809" s="68"/>
    </row>
    <row r="810" spans="5:7" ht="16.5" customHeight="1" x14ac:dyDescent="0.25">
      <c r="E810" s="14"/>
      <c r="F810" s="68"/>
      <c r="G810" s="68"/>
    </row>
    <row r="811" spans="5:7" ht="16.5" customHeight="1" x14ac:dyDescent="0.25">
      <c r="E811" s="14"/>
      <c r="F811" s="68"/>
      <c r="G811" s="68"/>
    </row>
    <row r="812" spans="5:7" ht="16.5" customHeight="1" x14ac:dyDescent="0.25">
      <c r="E812" s="14"/>
      <c r="F812" s="68"/>
      <c r="G812" s="68"/>
    </row>
    <row r="813" spans="5:7" ht="16.5" customHeight="1" x14ac:dyDescent="0.25">
      <c r="E813" s="14"/>
      <c r="F813" s="68"/>
      <c r="G813" s="68"/>
    </row>
    <row r="814" spans="5:7" ht="16.5" customHeight="1" x14ac:dyDescent="0.25">
      <c r="E814" s="14"/>
      <c r="F814" s="68"/>
      <c r="G814" s="68"/>
    </row>
    <row r="815" spans="5:7" ht="16.5" customHeight="1" x14ac:dyDescent="0.25">
      <c r="E815" s="14"/>
      <c r="F815" s="68"/>
      <c r="G815" s="68"/>
    </row>
    <row r="816" spans="5:7" ht="16.5" customHeight="1" x14ac:dyDescent="0.25">
      <c r="E816" s="14"/>
      <c r="F816" s="68"/>
      <c r="G816" s="68"/>
    </row>
    <row r="817" spans="5:7" ht="16.5" customHeight="1" x14ac:dyDescent="0.25">
      <c r="E817" s="14"/>
      <c r="F817" s="68"/>
      <c r="G817" s="68"/>
    </row>
    <row r="818" spans="5:7" ht="16.5" customHeight="1" x14ac:dyDescent="0.25">
      <c r="E818" s="14"/>
      <c r="F818" s="68"/>
      <c r="G818" s="68"/>
    </row>
    <row r="819" spans="5:7" ht="16.5" customHeight="1" x14ac:dyDescent="0.25">
      <c r="E819" s="14"/>
      <c r="F819" s="68"/>
      <c r="G819" s="68"/>
    </row>
    <row r="820" spans="5:7" ht="16.5" customHeight="1" x14ac:dyDescent="0.25">
      <c r="E820" s="14"/>
      <c r="F820" s="68"/>
      <c r="G820" s="68"/>
    </row>
    <row r="821" spans="5:7" ht="16.5" customHeight="1" x14ac:dyDescent="0.25">
      <c r="E821" s="14"/>
      <c r="F821" s="68"/>
      <c r="G821" s="68"/>
    </row>
    <row r="822" spans="5:7" ht="16.5" customHeight="1" x14ac:dyDescent="0.25">
      <c r="E822" s="14"/>
      <c r="F822" s="68"/>
      <c r="G822" s="68"/>
    </row>
    <row r="823" spans="5:7" ht="16.5" customHeight="1" x14ac:dyDescent="0.25">
      <c r="E823" s="14"/>
      <c r="F823" s="68"/>
      <c r="G823" s="68"/>
    </row>
    <row r="824" spans="5:7" ht="16.5" customHeight="1" x14ac:dyDescent="0.25">
      <c r="E824" s="14"/>
      <c r="F824" s="68"/>
      <c r="G824" s="68"/>
    </row>
    <row r="825" spans="5:7" ht="16.5" customHeight="1" x14ac:dyDescent="0.25">
      <c r="E825" s="14"/>
      <c r="F825" s="68"/>
      <c r="G825" s="68"/>
    </row>
    <row r="826" spans="5:7" ht="16.5" customHeight="1" x14ac:dyDescent="0.25">
      <c r="E826" s="14"/>
      <c r="F826" s="68"/>
      <c r="G826" s="68"/>
    </row>
    <row r="827" spans="5:7" ht="16.5" customHeight="1" x14ac:dyDescent="0.25">
      <c r="E827" s="14"/>
      <c r="F827" s="68"/>
      <c r="G827" s="68"/>
    </row>
    <row r="828" spans="5:7" ht="16.5" customHeight="1" x14ac:dyDescent="0.25">
      <c r="E828" s="14"/>
      <c r="F828" s="68"/>
      <c r="G828" s="68"/>
    </row>
    <row r="829" spans="5:7" ht="16.5" customHeight="1" x14ac:dyDescent="0.25">
      <c r="E829" s="14"/>
      <c r="F829" s="68"/>
      <c r="G829" s="68"/>
    </row>
    <row r="830" spans="5:7" ht="16.5" customHeight="1" x14ac:dyDescent="0.25">
      <c r="E830" s="14"/>
      <c r="F830" s="68"/>
      <c r="G830" s="68"/>
    </row>
    <row r="831" spans="5:7" ht="16.5" customHeight="1" x14ac:dyDescent="0.25">
      <c r="E831" s="14"/>
      <c r="F831" s="68"/>
      <c r="G831" s="68"/>
    </row>
    <row r="832" spans="5:7" ht="16.5" customHeight="1" x14ac:dyDescent="0.25">
      <c r="E832" s="14"/>
      <c r="F832" s="68"/>
      <c r="G832" s="68"/>
    </row>
    <row r="833" spans="5:7" ht="16.5" customHeight="1" x14ac:dyDescent="0.25">
      <c r="E833" s="14"/>
      <c r="F833" s="68"/>
      <c r="G833" s="68"/>
    </row>
    <row r="834" spans="5:7" ht="16.5" customHeight="1" x14ac:dyDescent="0.25">
      <c r="E834" s="14"/>
      <c r="F834" s="68"/>
      <c r="G834" s="68"/>
    </row>
    <row r="835" spans="5:7" ht="16.5" customHeight="1" x14ac:dyDescent="0.25">
      <c r="E835" s="14"/>
      <c r="F835" s="68"/>
      <c r="G835" s="68"/>
    </row>
    <row r="836" spans="5:7" ht="16.5" customHeight="1" x14ac:dyDescent="0.25">
      <c r="E836" s="14"/>
      <c r="F836" s="68"/>
      <c r="G836" s="68"/>
    </row>
    <row r="837" spans="5:7" ht="16.5" customHeight="1" x14ac:dyDescent="0.25">
      <c r="E837" s="14"/>
      <c r="F837" s="68"/>
      <c r="G837" s="68"/>
    </row>
    <row r="838" spans="5:7" ht="16.5" customHeight="1" x14ac:dyDescent="0.25">
      <c r="E838" s="14"/>
      <c r="F838" s="68"/>
      <c r="G838" s="68"/>
    </row>
    <row r="839" spans="5:7" ht="16.5" customHeight="1" x14ac:dyDescent="0.25">
      <c r="E839" s="14"/>
      <c r="F839" s="68"/>
      <c r="G839" s="68"/>
    </row>
    <row r="840" spans="5:7" ht="16.5" customHeight="1" x14ac:dyDescent="0.25">
      <c r="E840" s="14"/>
      <c r="F840" s="68"/>
      <c r="G840" s="68"/>
    </row>
    <row r="841" spans="5:7" ht="16.5" customHeight="1" x14ac:dyDescent="0.25">
      <c r="E841" s="14"/>
      <c r="F841" s="68"/>
      <c r="G841" s="68"/>
    </row>
    <row r="842" spans="5:7" ht="16.5" customHeight="1" x14ac:dyDescent="0.25">
      <c r="E842" s="14"/>
      <c r="F842" s="68"/>
      <c r="G842" s="68"/>
    </row>
    <row r="843" spans="5:7" ht="16.5" customHeight="1" x14ac:dyDescent="0.25">
      <c r="E843" s="14"/>
      <c r="F843" s="68"/>
      <c r="G843" s="68"/>
    </row>
    <row r="844" spans="5:7" ht="16.5" customHeight="1" x14ac:dyDescent="0.25">
      <c r="E844" s="14"/>
      <c r="F844" s="68"/>
      <c r="G844" s="68"/>
    </row>
    <row r="845" spans="5:7" ht="16.5" customHeight="1" x14ac:dyDescent="0.25">
      <c r="E845" s="14"/>
      <c r="F845" s="68"/>
      <c r="G845" s="68"/>
    </row>
    <row r="846" spans="5:7" ht="16.5" customHeight="1" x14ac:dyDescent="0.25">
      <c r="E846" s="14"/>
      <c r="F846" s="68"/>
      <c r="G846" s="68"/>
    </row>
    <row r="847" spans="5:7" ht="16.5" customHeight="1" x14ac:dyDescent="0.25">
      <c r="E847" s="14"/>
      <c r="F847" s="68"/>
      <c r="G847" s="68"/>
    </row>
    <row r="848" spans="5:7" ht="16.5" customHeight="1" x14ac:dyDescent="0.25">
      <c r="E848" s="14"/>
      <c r="F848" s="68"/>
      <c r="G848" s="68"/>
    </row>
    <row r="849" spans="5:7" ht="16.5" customHeight="1" x14ac:dyDescent="0.25">
      <c r="E849" s="14"/>
      <c r="F849" s="68"/>
      <c r="G849" s="68"/>
    </row>
    <row r="850" spans="5:7" ht="16.5" customHeight="1" x14ac:dyDescent="0.25">
      <c r="E850" s="14"/>
      <c r="F850" s="68"/>
      <c r="G850" s="68"/>
    </row>
    <row r="851" spans="5:7" ht="16.5" customHeight="1" x14ac:dyDescent="0.25">
      <c r="E851" s="14"/>
      <c r="F851" s="68"/>
      <c r="G851" s="68"/>
    </row>
    <row r="852" spans="5:7" ht="16.5" customHeight="1" x14ac:dyDescent="0.25">
      <c r="E852" s="14"/>
      <c r="F852" s="68"/>
      <c r="G852" s="68"/>
    </row>
    <row r="853" spans="5:7" ht="16.5" customHeight="1" x14ac:dyDescent="0.25">
      <c r="E853" s="14"/>
      <c r="F853" s="68"/>
      <c r="G853" s="68"/>
    </row>
    <row r="854" spans="5:7" ht="16.5" customHeight="1" x14ac:dyDescent="0.25">
      <c r="E854" s="14"/>
      <c r="F854" s="68"/>
      <c r="G854" s="68"/>
    </row>
    <row r="855" spans="5:7" ht="16.5" customHeight="1" x14ac:dyDescent="0.25">
      <c r="E855" s="14"/>
      <c r="F855" s="68"/>
      <c r="G855" s="68"/>
    </row>
    <row r="856" spans="5:7" ht="16.5" customHeight="1" x14ac:dyDescent="0.25">
      <c r="E856" s="14"/>
      <c r="F856" s="68"/>
      <c r="G856" s="68"/>
    </row>
    <row r="857" spans="5:7" ht="16.5" customHeight="1" x14ac:dyDescent="0.25">
      <c r="E857" s="14"/>
      <c r="F857" s="68"/>
      <c r="G857" s="68"/>
    </row>
    <row r="858" spans="5:7" ht="16.5" customHeight="1" x14ac:dyDescent="0.25">
      <c r="E858" s="14"/>
      <c r="F858" s="68"/>
      <c r="G858" s="68"/>
    </row>
    <row r="859" spans="5:7" ht="16.5" customHeight="1" x14ac:dyDescent="0.25">
      <c r="E859" s="14"/>
      <c r="F859" s="68"/>
      <c r="G859" s="68"/>
    </row>
    <row r="860" spans="5:7" ht="16.5" customHeight="1" x14ac:dyDescent="0.25">
      <c r="E860" s="14"/>
      <c r="F860" s="68"/>
      <c r="G860" s="68"/>
    </row>
    <row r="861" spans="5:7" ht="16.5" customHeight="1" x14ac:dyDescent="0.25">
      <c r="E861" s="14"/>
      <c r="F861" s="68"/>
      <c r="G861" s="68"/>
    </row>
    <row r="862" spans="5:7" ht="16.5" customHeight="1" x14ac:dyDescent="0.25">
      <c r="E862" s="14"/>
      <c r="F862" s="68"/>
      <c r="G862" s="68"/>
    </row>
    <row r="863" spans="5:7" ht="16.5" customHeight="1" x14ac:dyDescent="0.25">
      <c r="E863" s="14"/>
      <c r="F863" s="68"/>
      <c r="G863" s="68"/>
    </row>
    <row r="864" spans="5:7" ht="16.5" customHeight="1" x14ac:dyDescent="0.25">
      <c r="E864" s="14"/>
      <c r="F864" s="68"/>
      <c r="G864" s="68"/>
    </row>
    <row r="865" spans="5:7" ht="16.5" customHeight="1" x14ac:dyDescent="0.25">
      <c r="E865" s="14"/>
      <c r="F865" s="68"/>
      <c r="G865" s="68"/>
    </row>
    <row r="866" spans="5:7" ht="16.5" customHeight="1" x14ac:dyDescent="0.25">
      <c r="E866" s="14"/>
      <c r="F866" s="68"/>
      <c r="G866" s="68"/>
    </row>
    <row r="867" spans="5:7" ht="16.5" customHeight="1" x14ac:dyDescent="0.25">
      <c r="E867" s="14"/>
      <c r="F867" s="68"/>
      <c r="G867" s="68"/>
    </row>
    <row r="868" spans="5:7" ht="16.5" customHeight="1" x14ac:dyDescent="0.25">
      <c r="E868" s="14"/>
      <c r="F868" s="68"/>
      <c r="G868" s="68"/>
    </row>
    <row r="869" spans="5:7" ht="16.5" customHeight="1" x14ac:dyDescent="0.25">
      <c r="E869" s="14"/>
      <c r="F869" s="68"/>
      <c r="G869" s="68"/>
    </row>
    <row r="870" spans="5:7" ht="16.5" customHeight="1" x14ac:dyDescent="0.25">
      <c r="E870" s="14"/>
      <c r="F870" s="68"/>
      <c r="G870" s="68"/>
    </row>
    <row r="871" spans="5:7" ht="16.5" customHeight="1" x14ac:dyDescent="0.25">
      <c r="E871" s="14"/>
      <c r="F871" s="68"/>
      <c r="G871" s="68"/>
    </row>
    <row r="872" spans="5:7" ht="16.5" customHeight="1" x14ac:dyDescent="0.25">
      <c r="E872" s="14"/>
      <c r="F872" s="68"/>
      <c r="G872" s="68"/>
    </row>
    <row r="873" spans="5:7" ht="16.5" customHeight="1" x14ac:dyDescent="0.25">
      <c r="E873" s="14"/>
      <c r="F873" s="68"/>
      <c r="G873" s="68"/>
    </row>
    <row r="874" spans="5:7" ht="16.5" customHeight="1" x14ac:dyDescent="0.25">
      <c r="E874" s="14"/>
      <c r="F874" s="68"/>
      <c r="G874" s="68"/>
    </row>
    <row r="875" spans="5:7" ht="16.5" customHeight="1" x14ac:dyDescent="0.25">
      <c r="E875" s="14"/>
      <c r="F875" s="68"/>
      <c r="G875" s="68"/>
    </row>
    <row r="876" spans="5:7" ht="16.5" customHeight="1" x14ac:dyDescent="0.25">
      <c r="E876" s="14"/>
      <c r="F876" s="68"/>
      <c r="G876" s="68"/>
    </row>
    <row r="877" spans="5:7" ht="16.5" customHeight="1" x14ac:dyDescent="0.25">
      <c r="E877" s="14"/>
      <c r="F877" s="68"/>
      <c r="G877" s="68"/>
    </row>
    <row r="878" spans="5:7" ht="16.5" customHeight="1" x14ac:dyDescent="0.25">
      <c r="E878" s="14"/>
      <c r="F878" s="68"/>
      <c r="G878" s="68"/>
    </row>
    <row r="879" spans="5:7" ht="16.5" customHeight="1" x14ac:dyDescent="0.25">
      <c r="E879" s="14"/>
      <c r="F879" s="68"/>
      <c r="G879" s="68"/>
    </row>
    <row r="880" spans="5:7" ht="16.5" customHeight="1" x14ac:dyDescent="0.25">
      <c r="E880" s="14"/>
      <c r="F880" s="68"/>
      <c r="G880" s="68"/>
    </row>
    <row r="881" spans="5:7" ht="16.5" customHeight="1" x14ac:dyDescent="0.25">
      <c r="E881" s="14"/>
      <c r="F881" s="68"/>
      <c r="G881" s="68"/>
    </row>
    <row r="882" spans="5:7" ht="16.5" customHeight="1" x14ac:dyDescent="0.25">
      <c r="E882" s="14"/>
      <c r="F882" s="68"/>
      <c r="G882" s="68"/>
    </row>
    <row r="883" spans="5:7" ht="16.5" customHeight="1" x14ac:dyDescent="0.25">
      <c r="E883" s="14"/>
      <c r="F883" s="68"/>
      <c r="G883" s="68"/>
    </row>
    <row r="884" spans="5:7" ht="16.5" customHeight="1" x14ac:dyDescent="0.25">
      <c r="E884" s="14"/>
      <c r="F884" s="68"/>
      <c r="G884" s="68"/>
    </row>
    <row r="885" spans="5:7" ht="16.5" customHeight="1" x14ac:dyDescent="0.25">
      <c r="E885" s="14"/>
      <c r="F885" s="68"/>
      <c r="G885" s="68"/>
    </row>
    <row r="886" spans="5:7" ht="16.5" customHeight="1" x14ac:dyDescent="0.25">
      <c r="E886" s="14"/>
      <c r="F886" s="68"/>
      <c r="G886" s="68"/>
    </row>
    <row r="887" spans="5:7" ht="16.5" customHeight="1" x14ac:dyDescent="0.25">
      <c r="E887" s="14"/>
      <c r="F887" s="68"/>
      <c r="G887" s="68"/>
    </row>
    <row r="888" spans="5:7" ht="16.5" customHeight="1" x14ac:dyDescent="0.25">
      <c r="E888" s="14"/>
      <c r="F888" s="68"/>
      <c r="G888" s="68"/>
    </row>
    <row r="889" spans="5:7" ht="16.5" customHeight="1" x14ac:dyDescent="0.25">
      <c r="E889" s="14"/>
      <c r="F889" s="68"/>
      <c r="G889" s="68"/>
    </row>
    <row r="890" spans="5:7" ht="16.5" customHeight="1" x14ac:dyDescent="0.25">
      <c r="E890" s="14"/>
      <c r="F890" s="68"/>
      <c r="G890" s="68"/>
    </row>
    <row r="891" spans="5:7" ht="16.5" customHeight="1" x14ac:dyDescent="0.25">
      <c r="E891" s="14"/>
      <c r="F891" s="68"/>
      <c r="G891" s="68"/>
    </row>
    <row r="892" spans="5:7" ht="16.5" customHeight="1" x14ac:dyDescent="0.25">
      <c r="E892" s="14"/>
      <c r="F892" s="68"/>
      <c r="G892" s="68"/>
    </row>
    <row r="893" spans="5:7" ht="16.5" customHeight="1" x14ac:dyDescent="0.25">
      <c r="E893" s="14"/>
      <c r="F893" s="68"/>
      <c r="G893" s="68"/>
    </row>
    <row r="894" spans="5:7" ht="16.5" customHeight="1" x14ac:dyDescent="0.25">
      <c r="E894" s="14"/>
      <c r="F894" s="68"/>
      <c r="G894" s="68"/>
    </row>
    <row r="895" spans="5:7" ht="16.5" customHeight="1" x14ac:dyDescent="0.25">
      <c r="E895" s="14"/>
      <c r="F895" s="68"/>
      <c r="G895" s="68"/>
    </row>
    <row r="896" spans="5:7" ht="16.5" customHeight="1" x14ac:dyDescent="0.25">
      <c r="E896" s="14"/>
      <c r="F896" s="68"/>
      <c r="G896" s="68"/>
    </row>
    <row r="897" spans="5:7" ht="16.5" customHeight="1" x14ac:dyDescent="0.25">
      <c r="E897" s="14"/>
      <c r="F897" s="68"/>
      <c r="G897" s="68"/>
    </row>
    <row r="898" spans="5:7" ht="16.5" customHeight="1" x14ac:dyDescent="0.25">
      <c r="E898" s="14"/>
      <c r="F898" s="68"/>
      <c r="G898" s="68"/>
    </row>
    <row r="899" spans="5:7" ht="16.5" customHeight="1" x14ac:dyDescent="0.25">
      <c r="E899" s="14"/>
      <c r="F899" s="68"/>
      <c r="G899" s="68"/>
    </row>
    <row r="900" spans="5:7" ht="16.5" customHeight="1" x14ac:dyDescent="0.25">
      <c r="E900" s="14"/>
      <c r="F900" s="68"/>
      <c r="G900" s="68"/>
    </row>
    <row r="901" spans="5:7" ht="16.5" customHeight="1" x14ac:dyDescent="0.25">
      <c r="E901" s="14"/>
      <c r="F901" s="68"/>
      <c r="G901" s="68"/>
    </row>
    <row r="902" spans="5:7" ht="16.5" customHeight="1" x14ac:dyDescent="0.25">
      <c r="E902" s="14"/>
      <c r="F902" s="68"/>
      <c r="G902" s="68"/>
    </row>
    <row r="903" spans="5:7" ht="16.5" customHeight="1" x14ac:dyDescent="0.25">
      <c r="E903" s="14"/>
      <c r="F903" s="68"/>
      <c r="G903" s="68"/>
    </row>
    <row r="904" spans="5:7" ht="16.5" customHeight="1" x14ac:dyDescent="0.25">
      <c r="E904" s="14"/>
      <c r="F904" s="68"/>
      <c r="G904" s="68"/>
    </row>
    <row r="905" spans="5:7" ht="16.5" customHeight="1" x14ac:dyDescent="0.25">
      <c r="E905" s="14"/>
      <c r="F905" s="68"/>
      <c r="G905" s="68"/>
    </row>
    <row r="906" spans="5:7" ht="16.5" customHeight="1" x14ac:dyDescent="0.25">
      <c r="E906" s="14"/>
      <c r="F906" s="68"/>
      <c r="G906" s="68"/>
    </row>
    <row r="907" spans="5:7" ht="16.5" customHeight="1" x14ac:dyDescent="0.25">
      <c r="E907" s="14"/>
      <c r="F907" s="68"/>
      <c r="G907" s="68"/>
    </row>
    <row r="908" spans="5:7" ht="16.5" customHeight="1" x14ac:dyDescent="0.25">
      <c r="E908" s="14"/>
      <c r="F908" s="68"/>
      <c r="G908" s="68"/>
    </row>
    <row r="909" spans="5:7" ht="16.5" customHeight="1" x14ac:dyDescent="0.25">
      <c r="E909" s="14"/>
      <c r="F909" s="68"/>
      <c r="G909" s="68"/>
    </row>
    <row r="910" spans="5:7" ht="16.5" customHeight="1" x14ac:dyDescent="0.25">
      <c r="E910" s="14"/>
      <c r="F910" s="68"/>
      <c r="G910" s="68"/>
    </row>
    <row r="911" spans="5:7" ht="16.5" customHeight="1" x14ac:dyDescent="0.25">
      <c r="E911" s="14"/>
      <c r="F911" s="68"/>
      <c r="G911" s="68"/>
    </row>
    <row r="912" spans="5:7" ht="16.5" customHeight="1" x14ac:dyDescent="0.25">
      <c r="E912" s="14"/>
      <c r="F912" s="68"/>
      <c r="G912" s="68"/>
    </row>
    <row r="913" spans="5:7" ht="16.5" customHeight="1" x14ac:dyDescent="0.25">
      <c r="E913" s="14"/>
      <c r="F913" s="68"/>
      <c r="G913" s="68"/>
    </row>
    <row r="914" spans="5:7" ht="16.5" customHeight="1" x14ac:dyDescent="0.25">
      <c r="E914" s="14"/>
      <c r="F914" s="68"/>
      <c r="G914" s="68"/>
    </row>
    <row r="915" spans="5:7" ht="16.5" customHeight="1" x14ac:dyDescent="0.25">
      <c r="E915" s="14"/>
      <c r="F915" s="68"/>
      <c r="G915" s="68"/>
    </row>
    <row r="916" spans="5:7" ht="16.5" customHeight="1" x14ac:dyDescent="0.25">
      <c r="E916" s="14"/>
      <c r="F916" s="68"/>
      <c r="G916" s="68"/>
    </row>
    <row r="917" spans="5:7" ht="16.5" customHeight="1" x14ac:dyDescent="0.25">
      <c r="E917" s="14"/>
      <c r="F917" s="68"/>
      <c r="G917" s="68"/>
    </row>
    <row r="918" spans="5:7" ht="16.5" customHeight="1" x14ac:dyDescent="0.25">
      <c r="E918" s="14"/>
      <c r="F918" s="68"/>
      <c r="G918" s="68"/>
    </row>
    <row r="919" spans="5:7" ht="16.5" customHeight="1" x14ac:dyDescent="0.25">
      <c r="E919" s="14"/>
      <c r="F919" s="68"/>
      <c r="G919" s="68"/>
    </row>
    <row r="920" spans="5:7" ht="16.5" customHeight="1" x14ac:dyDescent="0.25">
      <c r="E920" s="14"/>
      <c r="F920" s="68"/>
      <c r="G920" s="68"/>
    </row>
    <row r="921" spans="5:7" ht="16.5" customHeight="1" x14ac:dyDescent="0.25">
      <c r="E921" s="14"/>
      <c r="F921" s="68"/>
      <c r="G921" s="68"/>
    </row>
    <row r="922" spans="5:7" ht="16.5" customHeight="1" x14ac:dyDescent="0.25">
      <c r="E922" s="14"/>
      <c r="F922" s="68"/>
      <c r="G922" s="68"/>
    </row>
    <row r="923" spans="5:7" ht="16.5" customHeight="1" x14ac:dyDescent="0.25">
      <c r="E923" s="14"/>
      <c r="F923" s="68"/>
      <c r="G923" s="68"/>
    </row>
    <row r="924" spans="5:7" ht="16.5" customHeight="1" x14ac:dyDescent="0.25">
      <c r="E924" s="14"/>
      <c r="F924" s="68"/>
      <c r="G924" s="68"/>
    </row>
    <row r="925" spans="5:7" ht="16.5" customHeight="1" x14ac:dyDescent="0.25">
      <c r="E925" s="14"/>
      <c r="F925" s="68"/>
      <c r="G925" s="68"/>
    </row>
    <row r="926" spans="5:7" ht="16.5" customHeight="1" x14ac:dyDescent="0.25">
      <c r="E926" s="14"/>
      <c r="F926" s="68"/>
      <c r="G926" s="68"/>
    </row>
    <row r="927" spans="5:7" ht="16.5" customHeight="1" x14ac:dyDescent="0.25">
      <c r="E927" s="14"/>
      <c r="F927" s="68"/>
      <c r="G927" s="68"/>
    </row>
    <row r="928" spans="5:7" ht="16.5" customHeight="1" x14ac:dyDescent="0.25">
      <c r="E928" s="14"/>
      <c r="F928" s="68"/>
      <c r="G928" s="68"/>
    </row>
    <row r="929" spans="5:7" ht="16.5" customHeight="1" x14ac:dyDescent="0.25">
      <c r="E929" s="14"/>
      <c r="F929" s="68"/>
      <c r="G929" s="68"/>
    </row>
    <row r="930" spans="5:7" ht="16.5" customHeight="1" x14ac:dyDescent="0.25">
      <c r="E930" s="14"/>
      <c r="F930" s="68"/>
      <c r="G930" s="68"/>
    </row>
    <row r="931" spans="5:7" ht="16.5" customHeight="1" x14ac:dyDescent="0.25">
      <c r="E931" s="14"/>
      <c r="F931" s="68"/>
      <c r="G931" s="68"/>
    </row>
    <row r="932" spans="5:7" ht="16.5" customHeight="1" x14ac:dyDescent="0.25">
      <c r="E932" s="14"/>
      <c r="F932" s="68"/>
      <c r="G932" s="68"/>
    </row>
    <row r="933" spans="5:7" ht="16.5" customHeight="1" x14ac:dyDescent="0.25">
      <c r="E933" s="14"/>
      <c r="F933" s="68"/>
      <c r="G933" s="68"/>
    </row>
    <row r="934" spans="5:7" ht="16.5" customHeight="1" x14ac:dyDescent="0.25">
      <c r="E934" s="14"/>
      <c r="F934" s="68"/>
      <c r="G934" s="68"/>
    </row>
    <row r="935" spans="5:7" ht="16.5" customHeight="1" x14ac:dyDescent="0.25">
      <c r="E935" s="14"/>
      <c r="F935" s="68"/>
      <c r="G935" s="68"/>
    </row>
    <row r="936" spans="5:7" ht="16.5" customHeight="1" x14ac:dyDescent="0.25">
      <c r="E936" s="14"/>
      <c r="F936" s="68"/>
      <c r="G936" s="68"/>
    </row>
    <row r="937" spans="5:7" ht="16.5" customHeight="1" x14ac:dyDescent="0.25">
      <c r="E937" s="14"/>
      <c r="F937" s="68"/>
      <c r="G937" s="68"/>
    </row>
    <row r="938" spans="5:7" ht="16.5" customHeight="1" x14ac:dyDescent="0.25">
      <c r="E938" s="14"/>
      <c r="F938" s="68"/>
      <c r="G938" s="68"/>
    </row>
    <row r="939" spans="5:7" ht="16.5" customHeight="1" x14ac:dyDescent="0.25">
      <c r="E939" s="14"/>
      <c r="F939" s="68"/>
      <c r="G939" s="68"/>
    </row>
    <row r="940" spans="5:7" ht="16.5" customHeight="1" x14ac:dyDescent="0.25">
      <c r="E940" s="14"/>
      <c r="F940" s="68"/>
      <c r="G940" s="68"/>
    </row>
    <row r="941" spans="5:7" ht="16.5" customHeight="1" x14ac:dyDescent="0.25">
      <c r="E941" s="14"/>
      <c r="F941" s="68"/>
      <c r="G941" s="68"/>
    </row>
    <row r="942" spans="5:7" ht="16.5" customHeight="1" x14ac:dyDescent="0.25">
      <c r="E942" s="14"/>
      <c r="F942" s="68"/>
      <c r="G942" s="68"/>
    </row>
    <row r="943" spans="5:7" ht="16.5" customHeight="1" x14ac:dyDescent="0.25">
      <c r="E943" s="14"/>
      <c r="F943" s="68"/>
      <c r="G943" s="68"/>
    </row>
    <row r="944" spans="5:7" ht="16.5" customHeight="1" x14ac:dyDescent="0.25">
      <c r="E944" s="14"/>
      <c r="F944" s="68"/>
      <c r="G944" s="68"/>
    </row>
    <row r="945" spans="5:7" ht="16.5" customHeight="1" x14ac:dyDescent="0.25">
      <c r="E945" s="14"/>
      <c r="F945" s="68"/>
      <c r="G945" s="68"/>
    </row>
    <row r="946" spans="5:7" ht="16.5" customHeight="1" x14ac:dyDescent="0.25">
      <c r="E946" s="14"/>
      <c r="F946" s="68"/>
      <c r="G946" s="68"/>
    </row>
    <row r="947" spans="5:7" ht="16.5" customHeight="1" x14ac:dyDescent="0.25">
      <c r="E947" s="14"/>
      <c r="F947" s="68"/>
      <c r="G947" s="68"/>
    </row>
    <row r="948" spans="5:7" ht="16.5" customHeight="1" x14ac:dyDescent="0.25">
      <c r="E948" s="14"/>
      <c r="F948" s="68"/>
      <c r="G948" s="68"/>
    </row>
    <row r="949" spans="5:7" ht="16.5" customHeight="1" x14ac:dyDescent="0.25">
      <c r="E949" s="14"/>
      <c r="F949" s="68"/>
      <c r="G949" s="68"/>
    </row>
    <row r="950" spans="5:7" ht="16.5" customHeight="1" x14ac:dyDescent="0.25">
      <c r="E950" s="14"/>
      <c r="F950" s="68"/>
      <c r="G950" s="68"/>
    </row>
    <row r="951" spans="5:7" ht="16.5" customHeight="1" x14ac:dyDescent="0.25">
      <c r="E951" s="14"/>
      <c r="F951" s="68"/>
      <c r="G951" s="68"/>
    </row>
    <row r="952" spans="5:7" ht="16.5" customHeight="1" x14ac:dyDescent="0.25">
      <c r="E952" s="14"/>
      <c r="F952" s="68"/>
      <c r="G952" s="68"/>
    </row>
    <row r="953" spans="5:7" ht="16.5" customHeight="1" x14ac:dyDescent="0.25">
      <c r="E953" s="14"/>
      <c r="F953" s="68"/>
      <c r="G953" s="68"/>
    </row>
    <row r="954" spans="5:7" ht="16.5" customHeight="1" x14ac:dyDescent="0.25">
      <c r="E954" s="14"/>
      <c r="F954" s="68"/>
      <c r="G954" s="68"/>
    </row>
    <row r="955" spans="5:7" ht="16.5" customHeight="1" x14ac:dyDescent="0.25">
      <c r="E955" s="14"/>
      <c r="F955" s="68"/>
      <c r="G955" s="68"/>
    </row>
    <row r="956" spans="5:7" ht="16.5" customHeight="1" x14ac:dyDescent="0.25">
      <c r="E956" s="14"/>
      <c r="F956" s="68"/>
      <c r="G956" s="68"/>
    </row>
    <row r="957" spans="5:7" ht="16.5" customHeight="1" x14ac:dyDescent="0.25">
      <c r="E957" s="14"/>
      <c r="F957" s="68"/>
      <c r="G957" s="68"/>
    </row>
    <row r="958" spans="5:7" ht="16.5" customHeight="1" x14ac:dyDescent="0.25">
      <c r="E958" s="14"/>
      <c r="F958" s="68"/>
      <c r="G958" s="68"/>
    </row>
    <row r="959" spans="5:7" ht="16.5" customHeight="1" x14ac:dyDescent="0.25">
      <c r="E959" s="14"/>
      <c r="F959" s="68"/>
      <c r="G959" s="68"/>
    </row>
    <row r="960" spans="5:7" ht="16.5" customHeight="1" x14ac:dyDescent="0.25">
      <c r="E960" s="14"/>
      <c r="F960" s="68"/>
      <c r="G960" s="68"/>
    </row>
    <row r="961" spans="5:7" ht="16.5" customHeight="1" x14ac:dyDescent="0.25">
      <c r="E961" s="14"/>
      <c r="F961" s="68"/>
      <c r="G961" s="68"/>
    </row>
    <row r="962" spans="5:7" ht="16.5" customHeight="1" x14ac:dyDescent="0.25">
      <c r="E962" s="14"/>
      <c r="F962" s="68"/>
      <c r="G962" s="68"/>
    </row>
    <row r="963" spans="5:7" ht="16.5" customHeight="1" x14ac:dyDescent="0.25">
      <c r="E963" s="14"/>
      <c r="F963" s="68"/>
      <c r="G963" s="68"/>
    </row>
    <row r="964" spans="5:7" ht="16.5" customHeight="1" x14ac:dyDescent="0.25">
      <c r="E964" s="14"/>
      <c r="F964" s="68"/>
      <c r="G964" s="68"/>
    </row>
    <row r="965" spans="5:7" ht="16.5" customHeight="1" x14ac:dyDescent="0.25">
      <c r="E965" s="14"/>
      <c r="F965" s="68"/>
      <c r="G965" s="68"/>
    </row>
    <row r="966" spans="5:7" ht="16.5" customHeight="1" x14ac:dyDescent="0.25">
      <c r="E966" s="14"/>
      <c r="F966" s="68"/>
      <c r="G966" s="68"/>
    </row>
    <row r="967" spans="5:7" ht="16.5" customHeight="1" x14ac:dyDescent="0.25">
      <c r="E967" s="14"/>
      <c r="F967" s="68"/>
      <c r="G967" s="68"/>
    </row>
    <row r="968" spans="5:7" ht="16.5" customHeight="1" x14ac:dyDescent="0.25">
      <c r="E968" s="14"/>
      <c r="F968" s="68"/>
      <c r="G968" s="68"/>
    </row>
    <row r="969" spans="5:7" ht="16.5" customHeight="1" x14ac:dyDescent="0.25">
      <c r="E969" s="14"/>
      <c r="F969" s="68"/>
      <c r="G969" s="68"/>
    </row>
    <row r="970" spans="5:7" ht="16.5" customHeight="1" x14ac:dyDescent="0.25">
      <c r="E970" s="14"/>
      <c r="F970" s="68"/>
      <c r="G970" s="68"/>
    </row>
    <row r="971" spans="5:7" ht="16.5" customHeight="1" x14ac:dyDescent="0.25">
      <c r="E971" s="14"/>
      <c r="F971" s="68"/>
      <c r="G971" s="68"/>
    </row>
    <row r="972" spans="5:7" ht="16.5" customHeight="1" x14ac:dyDescent="0.25">
      <c r="E972" s="14"/>
      <c r="F972" s="68"/>
      <c r="G972" s="68"/>
    </row>
    <row r="973" spans="5:7" ht="16.5" customHeight="1" x14ac:dyDescent="0.25">
      <c r="E973" s="14"/>
      <c r="F973" s="68"/>
      <c r="G973" s="68"/>
    </row>
    <row r="974" spans="5:7" ht="16.5" customHeight="1" x14ac:dyDescent="0.25">
      <c r="E974" s="14"/>
      <c r="F974" s="68"/>
      <c r="G974" s="68"/>
    </row>
    <row r="975" spans="5:7" ht="16.5" customHeight="1" x14ac:dyDescent="0.25">
      <c r="E975" s="14"/>
      <c r="F975" s="68"/>
      <c r="G975" s="68"/>
    </row>
    <row r="976" spans="5:7" ht="16.5" customHeight="1" x14ac:dyDescent="0.25">
      <c r="E976" s="14"/>
      <c r="F976" s="68"/>
      <c r="G976" s="68"/>
    </row>
    <row r="977" spans="5:7" ht="16.5" customHeight="1" x14ac:dyDescent="0.25">
      <c r="E977" s="14"/>
      <c r="F977" s="68"/>
      <c r="G977" s="68"/>
    </row>
    <row r="978" spans="5:7" ht="16.5" customHeight="1" x14ac:dyDescent="0.25">
      <c r="E978" s="14"/>
      <c r="F978" s="68"/>
      <c r="G978" s="68"/>
    </row>
    <row r="979" spans="5:7" ht="16.5" customHeight="1" x14ac:dyDescent="0.25">
      <c r="E979" s="14"/>
      <c r="F979" s="68"/>
      <c r="G979" s="68"/>
    </row>
    <row r="980" spans="5:7" ht="16.5" customHeight="1" x14ac:dyDescent="0.25">
      <c r="E980" s="14"/>
      <c r="F980" s="68"/>
      <c r="G980" s="68"/>
    </row>
    <row r="981" spans="5:7" ht="16.5" customHeight="1" x14ac:dyDescent="0.25">
      <c r="E981" s="14"/>
      <c r="F981" s="68"/>
      <c r="G981" s="68"/>
    </row>
    <row r="982" spans="5:7" ht="16.5" customHeight="1" x14ac:dyDescent="0.25">
      <c r="E982" s="14"/>
      <c r="F982" s="68"/>
      <c r="G982" s="68"/>
    </row>
    <row r="983" spans="5:7" ht="16.5" customHeight="1" x14ac:dyDescent="0.25">
      <c r="E983" s="14"/>
      <c r="F983" s="68"/>
      <c r="G983" s="68"/>
    </row>
    <row r="984" spans="5:7" ht="16.5" customHeight="1" x14ac:dyDescent="0.25">
      <c r="E984" s="14"/>
      <c r="F984" s="68"/>
      <c r="G984" s="68"/>
    </row>
    <row r="985" spans="5:7" ht="16.5" customHeight="1" x14ac:dyDescent="0.25">
      <c r="E985" s="14"/>
      <c r="F985" s="68"/>
      <c r="G985" s="68"/>
    </row>
    <row r="986" spans="5:7" ht="16.5" customHeight="1" x14ac:dyDescent="0.25">
      <c r="E986" s="14"/>
      <c r="F986" s="68"/>
      <c r="G986" s="68"/>
    </row>
    <row r="987" spans="5:7" ht="16.5" customHeight="1" x14ac:dyDescent="0.25">
      <c r="E987" s="14"/>
      <c r="F987" s="68"/>
      <c r="G987" s="68"/>
    </row>
    <row r="988" spans="5:7" ht="16.5" customHeight="1" x14ac:dyDescent="0.25">
      <c r="E988" s="14"/>
      <c r="F988" s="68"/>
      <c r="G988" s="68"/>
    </row>
    <row r="989" spans="5:7" ht="16.5" customHeight="1" x14ac:dyDescent="0.25">
      <c r="E989" s="14"/>
      <c r="F989" s="68"/>
      <c r="G989" s="68"/>
    </row>
    <row r="990" spans="5:7" ht="16.5" customHeight="1" x14ac:dyDescent="0.25">
      <c r="E990" s="14"/>
      <c r="F990" s="68"/>
      <c r="G990" s="68"/>
    </row>
    <row r="991" spans="5:7" ht="16.5" customHeight="1" x14ac:dyDescent="0.25">
      <c r="E991" s="14"/>
      <c r="F991" s="68"/>
      <c r="G991" s="68"/>
    </row>
    <row r="992" spans="5:7" ht="16.5" customHeight="1" x14ac:dyDescent="0.25">
      <c r="E992" s="14"/>
      <c r="F992" s="68"/>
      <c r="G992" s="68"/>
    </row>
    <row r="993" spans="5:7" ht="16.5" customHeight="1" x14ac:dyDescent="0.25">
      <c r="E993" s="14"/>
      <c r="F993" s="68"/>
      <c r="G993" s="68"/>
    </row>
    <row r="994" spans="5:7" ht="16.5" customHeight="1" x14ac:dyDescent="0.25">
      <c r="E994" s="14"/>
      <c r="F994" s="68"/>
      <c r="G994" s="68"/>
    </row>
    <row r="995" spans="5:7" ht="16.5" customHeight="1" x14ac:dyDescent="0.25">
      <c r="E995" s="14"/>
      <c r="F995" s="68"/>
      <c r="G995" s="68"/>
    </row>
    <row r="996" spans="5:7" ht="16.5" customHeight="1" x14ac:dyDescent="0.25">
      <c r="E996" s="14"/>
      <c r="F996" s="68"/>
      <c r="G996" s="68"/>
    </row>
    <row r="997" spans="5:7" ht="16.5" customHeight="1" x14ac:dyDescent="0.25">
      <c r="E997" s="14"/>
      <c r="F997" s="68"/>
      <c r="G997" s="68"/>
    </row>
    <row r="998" spans="5:7" ht="16.5" customHeight="1" x14ac:dyDescent="0.25">
      <c r="E998" s="14"/>
      <c r="F998" s="68"/>
      <c r="G998" s="68"/>
    </row>
    <row r="999" spans="5:7" ht="16.5" customHeight="1" x14ac:dyDescent="0.25">
      <c r="E999" s="14"/>
      <c r="F999" s="68"/>
      <c r="G999" s="68"/>
    </row>
    <row r="1000" spans="5:7" ht="16.5" customHeight="1" x14ac:dyDescent="0.25">
      <c r="E1000" s="14"/>
      <c r="F1000" s="68"/>
      <c r="G1000" s="68"/>
    </row>
    <row r="1001" spans="5:7" ht="16.5" customHeight="1" x14ac:dyDescent="0.25">
      <c r="E1001" s="14"/>
      <c r="F1001" s="68"/>
      <c r="G1001" s="68"/>
    </row>
    <row r="1002" spans="5:7" ht="16.5" customHeight="1" x14ac:dyDescent="0.25">
      <c r="E1002" s="14"/>
      <c r="F1002" s="68"/>
      <c r="G1002" s="68"/>
    </row>
    <row r="1003" spans="5:7" ht="16.5" customHeight="1" x14ac:dyDescent="0.25">
      <c r="E1003" s="14"/>
      <c r="F1003" s="68"/>
      <c r="G1003" s="68"/>
    </row>
    <row r="1004" spans="5:7" ht="16.5" customHeight="1" x14ac:dyDescent="0.25">
      <c r="E1004" s="14"/>
      <c r="F1004" s="68"/>
      <c r="G1004" s="68"/>
    </row>
    <row r="1005" spans="5:7" ht="16.5" customHeight="1" x14ac:dyDescent="0.25">
      <c r="E1005" s="14"/>
      <c r="F1005" s="68"/>
      <c r="G1005" s="68"/>
    </row>
    <row r="1006" spans="5:7" ht="16.5" customHeight="1" x14ac:dyDescent="0.25">
      <c r="E1006" s="14"/>
      <c r="F1006" s="68"/>
      <c r="G1006" s="68"/>
    </row>
    <row r="1007" spans="5:7" ht="16.5" customHeight="1" x14ac:dyDescent="0.25">
      <c r="E1007" s="14"/>
      <c r="F1007" s="68"/>
      <c r="G1007" s="68"/>
    </row>
    <row r="1008" spans="5:7" ht="16.5" customHeight="1" x14ac:dyDescent="0.25">
      <c r="E1008" s="14"/>
      <c r="F1008" s="68"/>
      <c r="G1008" s="68"/>
    </row>
    <row r="1009" spans="5:7" ht="16.5" customHeight="1" x14ac:dyDescent="0.25">
      <c r="E1009" s="14"/>
      <c r="F1009" s="68"/>
      <c r="G1009" s="68"/>
    </row>
    <row r="1010" spans="5:7" ht="16.5" customHeight="1" x14ac:dyDescent="0.25">
      <c r="E1010" s="14"/>
      <c r="F1010" s="68"/>
      <c r="G1010" s="68"/>
    </row>
    <row r="1011" spans="5:7" ht="16.5" customHeight="1" x14ac:dyDescent="0.25">
      <c r="E1011" s="14"/>
      <c r="F1011" s="68"/>
      <c r="G1011" s="68"/>
    </row>
    <row r="1012" spans="5:7" ht="16.5" customHeight="1" x14ac:dyDescent="0.25">
      <c r="E1012" s="14"/>
      <c r="F1012" s="68"/>
      <c r="G1012" s="68"/>
    </row>
    <row r="1013" spans="5:7" ht="16.5" customHeight="1" x14ac:dyDescent="0.25">
      <c r="E1013" s="14"/>
      <c r="F1013" s="68"/>
      <c r="G1013" s="68"/>
    </row>
    <row r="1014" spans="5:7" ht="16.5" customHeight="1" x14ac:dyDescent="0.25">
      <c r="E1014" s="14"/>
      <c r="F1014" s="68"/>
      <c r="G1014" s="68"/>
    </row>
    <row r="1015" spans="5:7" ht="16.5" customHeight="1" x14ac:dyDescent="0.25">
      <c r="E1015" s="14"/>
      <c r="F1015" s="68"/>
      <c r="G1015" s="68"/>
    </row>
    <row r="1016" spans="5:7" ht="16.5" customHeight="1" x14ac:dyDescent="0.25">
      <c r="E1016" s="14"/>
      <c r="F1016" s="68"/>
      <c r="G1016" s="68"/>
    </row>
    <row r="1017" spans="5:7" ht="16.5" customHeight="1" x14ac:dyDescent="0.25">
      <c r="E1017" s="14"/>
      <c r="F1017" s="68"/>
      <c r="G1017" s="68"/>
    </row>
    <row r="1018" spans="5:7" ht="16.5" customHeight="1" x14ac:dyDescent="0.25">
      <c r="E1018" s="14"/>
      <c r="F1018" s="68"/>
      <c r="G1018" s="68"/>
    </row>
    <row r="1019" spans="5:7" ht="16.5" customHeight="1" x14ac:dyDescent="0.25">
      <c r="E1019" s="14"/>
      <c r="F1019" s="68"/>
      <c r="G1019" s="68"/>
    </row>
    <row r="1020" spans="5:7" ht="16.5" customHeight="1" x14ac:dyDescent="0.25">
      <c r="E1020" s="14"/>
      <c r="F1020" s="68"/>
      <c r="G1020" s="68"/>
    </row>
    <row r="1021" spans="5:7" ht="16.5" customHeight="1" x14ac:dyDescent="0.25">
      <c r="E1021" s="14"/>
      <c r="F1021" s="68"/>
      <c r="G1021" s="68"/>
    </row>
    <row r="1022" spans="5:7" ht="16.5" customHeight="1" x14ac:dyDescent="0.25">
      <c r="E1022" s="14"/>
      <c r="F1022" s="68"/>
      <c r="G1022" s="68"/>
    </row>
    <row r="1023" spans="5:7" ht="16.5" customHeight="1" x14ac:dyDescent="0.25">
      <c r="E1023" s="14"/>
      <c r="F1023" s="68"/>
      <c r="G1023" s="68"/>
    </row>
    <row r="1024" spans="5:7" ht="16.5" customHeight="1" x14ac:dyDescent="0.25">
      <c r="E1024" s="14"/>
      <c r="F1024" s="68"/>
      <c r="G1024" s="68"/>
    </row>
    <row r="1025" spans="5:7" ht="16.5" customHeight="1" x14ac:dyDescent="0.25">
      <c r="E1025" s="14"/>
      <c r="F1025" s="68"/>
      <c r="G1025" s="68"/>
    </row>
    <row r="1026" spans="5:7" ht="16.5" customHeight="1" x14ac:dyDescent="0.25">
      <c r="E1026" s="14"/>
      <c r="F1026" s="68"/>
      <c r="G1026" s="68"/>
    </row>
    <row r="1027" spans="5:7" ht="16.5" customHeight="1" x14ac:dyDescent="0.25">
      <c r="E1027" s="14"/>
      <c r="F1027" s="68"/>
      <c r="G1027" s="68"/>
    </row>
    <row r="1028" spans="5:7" ht="16.5" customHeight="1" x14ac:dyDescent="0.25">
      <c r="E1028" s="14"/>
      <c r="F1028" s="68"/>
      <c r="G1028" s="68"/>
    </row>
    <row r="1029" spans="5:7" ht="16.5" customHeight="1" x14ac:dyDescent="0.25">
      <c r="E1029" s="14"/>
      <c r="F1029" s="68"/>
      <c r="G1029" s="68"/>
    </row>
    <row r="1030" spans="5:7" ht="16.5" customHeight="1" x14ac:dyDescent="0.25">
      <c r="E1030" s="14"/>
      <c r="F1030" s="68"/>
      <c r="G1030" s="68"/>
    </row>
    <row r="1031" spans="5:7" ht="16.5" customHeight="1" x14ac:dyDescent="0.25">
      <c r="E1031" s="14"/>
      <c r="F1031" s="68"/>
      <c r="G1031" s="68"/>
    </row>
    <row r="1032" spans="5:7" ht="16.5" customHeight="1" x14ac:dyDescent="0.25">
      <c r="E1032" s="14"/>
      <c r="F1032" s="68"/>
      <c r="G1032" s="68"/>
    </row>
    <row r="1033" spans="5:7" ht="16.5" customHeight="1" x14ac:dyDescent="0.25">
      <c r="E1033" s="14"/>
      <c r="F1033" s="68"/>
      <c r="G1033" s="68"/>
    </row>
    <row r="1034" spans="5:7" ht="16.5" customHeight="1" x14ac:dyDescent="0.25">
      <c r="E1034" s="14"/>
      <c r="F1034" s="68"/>
      <c r="G1034" s="68"/>
    </row>
    <row r="1035" spans="5:7" ht="16.5" customHeight="1" x14ac:dyDescent="0.25">
      <c r="E1035" s="14"/>
      <c r="F1035" s="68"/>
      <c r="G1035" s="68"/>
    </row>
    <row r="1036" spans="5:7" ht="16.5" customHeight="1" x14ac:dyDescent="0.25">
      <c r="E1036" s="14"/>
      <c r="F1036" s="68"/>
      <c r="G1036" s="68"/>
    </row>
    <row r="1037" spans="5:7" ht="16.5" customHeight="1" x14ac:dyDescent="0.25">
      <c r="E1037" s="14"/>
      <c r="F1037" s="68"/>
      <c r="G1037" s="68"/>
    </row>
    <row r="1038" spans="5:7" ht="16.5" customHeight="1" x14ac:dyDescent="0.25">
      <c r="E1038" s="14"/>
      <c r="F1038" s="68"/>
      <c r="G1038" s="68"/>
    </row>
    <row r="1039" spans="5:7" ht="16.5" customHeight="1" x14ac:dyDescent="0.25">
      <c r="E1039" s="14"/>
      <c r="F1039" s="68"/>
      <c r="G1039" s="68"/>
    </row>
    <row r="1040" spans="5:7" ht="16.5" customHeight="1" x14ac:dyDescent="0.25">
      <c r="E1040" s="14"/>
      <c r="F1040" s="68"/>
      <c r="G1040" s="68"/>
    </row>
    <row r="1041" spans="5:7" ht="16.5" customHeight="1" x14ac:dyDescent="0.25">
      <c r="E1041" s="14"/>
      <c r="F1041" s="68"/>
      <c r="G1041" s="68"/>
    </row>
    <row r="1042" spans="5:7" ht="16.5" customHeight="1" x14ac:dyDescent="0.25">
      <c r="E1042" s="14"/>
      <c r="F1042" s="68"/>
      <c r="G1042" s="68"/>
    </row>
    <row r="1043" spans="5:7" ht="16.5" customHeight="1" x14ac:dyDescent="0.25">
      <c r="E1043" s="14"/>
      <c r="F1043" s="68"/>
      <c r="G1043" s="68"/>
    </row>
    <row r="1044" spans="5:7" ht="16.5" customHeight="1" x14ac:dyDescent="0.25">
      <c r="E1044" s="14"/>
      <c r="F1044" s="68"/>
      <c r="G1044" s="68"/>
    </row>
    <row r="1045" spans="5:7" ht="16.5" customHeight="1" x14ac:dyDescent="0.25">
      <c r="E1045" s="14"/>
      <c r="F1045" s="68"/>
      <c r="G1045" s="68"/>
    </row>
    <row r="1046" spans="5:7" ht="16.5" customHeight="1" x14ac:dyDescent="0.25">
      <c r="E1046" s="14"/>
      <c r="F1046" s="68"/>
      <c r="G1046" s="68"/>
    </row>
    <row r="1047" spans="5:7" ht="16.5" customHeight="1" x14ac:dyDescent="0.25">
      <c r="E1047" s="14"/>
      <c r="F1047" s="68"/>
      <c r="G1047" s="68"/>
    </row>
    <row r="1048" spans="5:7" ht="16.5" customHeight="1" x14ac:dyDescent="0.25">
      <c r="E1048" s="14"/>
      <c r="F1048" s="68"/>
      <c r="G1048" s="68"/>
    </row>
    <row r="1049" spans="5:7" ht="16.5" customHeight="1" x14ac:dyDescent="0.25">
      <c r="E1049" s="14"/>
      <c r="F1049" s="68"/>
      <c r="G1049" s="68"/>
    </row>
    <row r="1050" spans="5:7" ht="16.5" customHeight="1" x14ac:dyDescent="0.25">
      <c r="E1050" s="14"/>
      <c r="F1050" s="68"/>
      <c r="G1050" s="68"/>
    </row>
    <row r="1051" spans="5:7" ht="16.5" customHeight="1" x14ac:dyDescent="0.25">
      <c r="E1051" s="14"/>
      <c r="F1051" s="68"/>
      <c r="G1051" s="68"/>
    </row>
    <row r="1052" spans="5:7" ht="16.5" customHeight="1" x14ac:dyDescent="0.25">
      <c r="E1052" s="14"/>
      <c r="F1052" s="68"/>
      <c r="G1052" s="68"/>
    </row>
    <row r="1053" spans="5:7" ht="16.5" customHeight="1" x14ac:dyDescent="0.25">
      <c r="E1053" s="14"/>
      <c r="F1053" s="68"/>
      <c r="G1053" s="68"/>
    </row>
    <row r="1054" spans="5:7" ht="16.5" customHeight="1" x14ac:dyDescent="0.25">
      <c r="E1054" s="14"/>
      <c r="F1054" s="68"/>
      <c r="G1054" s="68"/>
    </row>
    <row r="1055" spans="5:7" ht="16.5" customHeight="1" x14ac:dyDescent="0.25">
      <c r="E1055" s="14"/>
      <c r="F1055" s="68"/>
      <c r="G1055" s="68"/>
    </row>
    <row r="1056" spans="5:7" ht="16.5" customHeight="1" x14ac:dyDescent="0.25">
      <c r="E1056" s="14"/>
      <c r="F1056" s="68"/>
      <c r="G1056" s="68"/>
    </row>
    <row r="1057" spans="5:7" ht="16.5" customHeight="1" x14ac:dyDescent="0.25">
      <c r="E1057" s="14"/>
      <c r="F1057" s="68"/>
      <c r="G1057" s="68"/>
    </row>
    <row r="1058" spans="5:7" ht="16.5" customHeight="1" x14ac:dyDescent="0.25">
      <c r="E1058" s="14"/>
      <c r="F1058" s="68"/>
      <c r="G1058" s="68"/>
    </row>
    <row r="1059" spans="5:7" ht="16.5" customHeight="1" x14ac:dyDescent="0.25">
      <c r="E1059" s="14"/>
      <c r="F1059" s="68"/>
      <c r="G1059" s="68"/>
    </row>
    <row r="1060" spans="5:7" ht="16.5" customHeight="1" x14ac:dyDescent="0.25">
      <c r="E1060" s="14"/>
      <c r="F1060" s="68"/>
      <c r="G1060" s="68"/>
    </row>
    <row r="1061" spans="5:7" ht="16.5" customHeight="1" x14ac:dyDescent="0.25">
      <c r="E1061" s="14"/>
      <c r="F1061" s="68"/>
      <c r="G1061" s="68"/>
    </row>
    <row r="1062" spans="5:7" ht="16.5" customHeight="1" x14ac:dyDescent="0.25">
      <c r="E1062" s="14"/>
      <c r="F1062" s="68"/>
      <c r="G1062" s="68"/>
    </row>
    <row r="1063" spans="5:7" ht="16.5" customHeight="1" x14ac:dyDescent="0.25">
      <c r="E1063" s="14"/>
      <c r="F1063" s="68"/>
      <c r="G1063" s="68"/>
    </row>
    <row r="1064" spans="5:7" ht="16.5" customHeight="1" x14ac:dyDescent="0.25">
      <c r="E1064" s="14"/>
      <c r="F1064" s="68"/>
      <c r="G1064" s="68"/>
    </row>
    <row r="1065" spans="5:7" ht="16.5" customHeight="1" x14ac:dyDescent="0.25">
      <c r="E1065" s="14"/>
      <c r="F1065" s="68"/>
      <c r="G1065" s="68"/>
    </row>
    <row r="1066" spans="5:7" ht="16.5" customHeight="1" x14ac:dyDescent="0.25">
      <c r="E1066" s="14"/>
      <c r="F1066" s="68"/>
      <c r="G1066" s="68"/>
    </row>
    <row r="1067" spans="5:7" ht="16.5" customHeight="1" x14ac:dyDescent="0.25">
      <c r="E1067" s="14"/>
      <c r="F1067" s="68"/>
      <c r="G1067" s="68"/>
    </row>
    <row r="1068" spans="5:7" ht="16.5" customHeight="1" x14ac:dyDescent="0.25">
      <c r="E1068" s="14"/>
      <c r="F1068" s="68"/>
      <c r="G1068" s="68"/>
    </row>
    <row r="1069" spans="5:7" ht="16.5" customHeight="1" x14ac:dyDescent="0.25">
      <c r="E1069" s="14"/>
      <c r="F1069" s="68"/>
      <c r="G1069" s="68"/>
    </row>
    <row r="1070" spans="5:7" ht="16.5" customHeight="1" x14ac:dyDescent="0.25">
      <c r="E1070" s="14"/>
      <c r="F1070" s="68"/>
      <c r="G1070" s="68"/>
    </row>
    <row r="1071" spans="5:7" ht="16.5" customHeight="1" x14ac:dyDescent="0.25">
      <c r="E1071" s="14"/>
      <c r="F1071" s="68"/>
      <c r="G1071" s="68"/>
    </row>
    <row r="1072" spans="5:7" ht="16.5" customHeight="1" x14ac:dyDescent="0.25">
      <c r="E1072" s="14"/>
      <c r="F1072" s="68"/>
      <c r="G1072" s="68"/>
    </row>
    <row r="1073" spans="5:7" ht="16.5" customHeight="1" x14ac:dyDescent="0.25">
      <c r="E1073" s="14"/>
      <c r="F1073" s="68"/>
      <c r="G1073" s="68"/>
    </row>
    <row r="1074" spans="5:7" ht="16.5" customHeight="1" x14ac:dyDescent="0.25">
      <c r="E1074" s="14"/>
      <c r="F1074" s="68"/>
      <c r="G1074" s="68"/>
    </row>
    <row r="1075" spans="5:7" ht="16.5" customHeight="1" x14ac:dyDescent="0.25">
      <c r="E1075" s="14"/>
      <c r="F1075" s="68"/>
      <c r="G1075" s="68"/>
    </row>
    <row r="1076" spans="5:7" ht="16.5" customHeight="1" x14ac:dyDescent="0.25">
      <c r="E1076" s="14"/>
      <c r="F1076" s="68"/>
      <c r="G1076" s="68"/>
    </row>
    <row r="1077" spans="5:7" ht="16.5" customHeight="1" x14ac:dyDescent="0.25">
      <c r="E1077" s="14"/>
      <c r="F1077" s="68"/>
      <c r="G1077" s="68"/>
    </row>
    <row r="1078" spans="5:7" ht="16.5" customHeight="1" x14ac:dyDescent="0.25">
      <c r="E1078" s="14"/>
      <c r="F1078" s="68"/>
      <c r="G1078" s="68"/>
    </row>
    <row r="1079" spans="5:7" ht="16.5" customHeight="1" x14ac:dyDescent="0.25">
      <c r="E1079" s="14"/>
      <c r="F1079" s="68"/>
      <c r="G1079" s="68"/>
    </row>
    <row r="1080" spans="5:7" ht="16.5" customHeight="1" x14ac:dyDescent="0.25">
      <c r="E1080" s="14"/>
      <c r="F1080" s="68"/>
      <c r="G1080" s="68"/>
    </row>
    <row r="1081" spans="5:7" ht="16.5" customHeight="1" x14ac:dyDescent="0.25">
      <c r="E1081" s="14"/>
      <c r="F1081" s="68"/>
      <c r="G1081" s="68"/>
    </row>
    <row r="1082" spans="5:7" ht="16.5" customHeight="1" x14ac:dyDescent="0.25">
      <c r="E1082" s="14"/>
      <c r="F1082" s="68"/>
      <c r="G1082" s="68"/>
    </row>
    <row r="1083" spans="5:7" ht="16.5" customHeight="1" x14ac:dyDescent="0.25">
      <c r="E1083" s="14"/>
      <c r="F1083" s="68"/>
      <c r="G1083" s="68"/>
    </row>
    <row r="1084" spans="5:7" ht="16.5" customHeight="1" x14ac:dyDescent="0.25">
      <c r="E1084" s="14"/>
      <c r="F1084" s="68"/>
      <c r="G1084" s="68"/>
    </row>
    <row r="1085" spans="5:7" ht="16.5" customHeight="1" x14ac:dyDescent="0.25">
      <c r="E1085" s="14"/>
      <c r="F1085" s="68"/>
      <c r="G1085" s="68"/>
    </row>
    <row r="1086" spans="5:7" ht="16.5" customHeight="1" x14ac:dyDescent="0.25">
      <c r="E1086" s="14"/>
      <c r="F1086" s="68"/>
      <c r="G1086" s="68"/>
    </row>
    <row r="1087" spans="5:7" ht="16.5" customHeight="1" x14ac:dyDescent="0.25">
      <c r="E1087" s="14"/>
      <c r="F1087" s="68"/>
      <c r="G1087" s="68"/>
    </row>
    <row r="1088" spans="5:7" ht="16.5" customHeight="1" x14ac:dyDescent="0.25">
      <c r="E1088" s="14"/>
      <c r="F1088" s="68"/>
      <c r="G1088" s="68"/>
    </row>
    <row r="1089" spans="5:7" ht="16.5" customHeight="1" x14ac:dyDescent="0.25">
      <c r="E1089" s="14"/>
      <c r="F1089" s="68"/>
      <c r="G1089" s="68"/>
    </row>
    <row r="1090" spans="5:7" ht="16.5" customHeight="1" x14ac:dyDescent="0.25">
      <c r="E1090" s="14"/>
      <c r="F1090" s="68"/>
      <c r="G1090" s="68"/>
    </row>
    <row r="1091" spans="5:7" ht="16.5" customHeight="1" x14ac:dyDescent="0.25">
      <c r="E1091" s="14"/>
      <c r="F1091" s="68"/>
      <c r="G1091" s="68"/>
    </row>
    <row r="1092" spans="5:7" ht="16.5" customHeight="1" x14ac:dyDescent="0.25">
      <c r="E1092" s="14"/>
      <c r="F1092" s="68"/>
      <c r="G1092" s="68"/>
    </row>
    <row r="1093" spans="5:7" ht="16.5" customHeight="1" x14ac:dyDescent="0.25">
      <c r="E1093" s="14"/>
      <c r="F1093" s="68"/>
      <c r="G1093" s="68"/>
    </row>
    <row r="1094" spans="5:7" ht="16.5" customHeight="1" x14ac:dyDescent="0.25">
      <c r="E1094" s="14"/>
      <c r="F1094" s="68"/>
      <c r="G1094" s="68"/>
    </row>
    <row r="1095" spans="5:7" ht="16.5" customHeight="1" x14ac:dyDescent="0.25">
      <c r="E1095" s="14"/>
      <c r="F1095" s="68"/>
      <c r="G1095" s="68"/>
    </row>
    <row r="1096" spans="5:7" ht="16.5" customHeight="1" x14ac:dyDescent="0.25">
      <c r="E1096" s="14"/>
      <c r="F1096" s="68"/>
      <c r="G1096" s="68"/>
    </row>
    <row r="1097" spans="5:7" ht="16.5" customHeight="1" x14ac:dyDescent="0.25">
      <c r="E1097" s="14"/>
      <c r="F1097" s="68"/>
      <c r="G1097" s="68"/>
    </row>
    <row r="1098" spans="5:7" ht="16.5" customHeight="1" x14ac:dyDescent="0.25">
      <c r="E1098" s="14"/>
      <c r="F1098" s="68"/>
      <c r="G1098" s="68"/>
    </row>
    <row r="1099" spans="5:7" ht="16.5" customHeight="1" x14ac:dyDescent="0.25">
      <c r="E1099" s="14"/>
      <c r="F1099" s="68"/>
      <c r="G1099" s="68"/>
    </row>
    <row r="1100" spans="5:7" ht="16.5" customHeight="1" x14ac:dyDescent="0.25">
      <c r="E1100" s="14"/>
      <c r="F1100" s="68"/>
      <c r="G1100" s="68"/>
    </row>
    <row r="1101" spans="5:7" ht="16.5" customHeight="1" x14ac:dyDescent="0.25">
      <c r="E1101" s="14"/>
      <c r="F1101" s="68"/>
      <c r="G1101" s="68"/>
    </row>
    <row r="1102" spans="5:7" ht="16.5" customHeight="1" x14ac:dyDescent="0.25">
      <c r="E1102" s="14"/>
      <c r="F1102" s="68"/>
      <c r="G1102" s="68"/>
    </row>
    <row r="1103" spans="5:7" ht="16.5" customHeight="1" x14ac:dyDescent="0.25">
      <c r="E1103" s="14"/>
      <c r="F1103" s="68"/>
      <c r="G1103" s="68"/>
    </row>
    <row r="1104" spans="5:7" ht="16.5" customHeight="1" x14ac:dyDescent="0.25">
      <c r="E1104" s="14"/>
      <c r="F1104" s="68"/>
      <c r="G1104" s="68"/>
    </row>
    <row r="1105" spans="5:7" ht="16.5" customHeight="1" x14ac:dyDescent="0.25">
      <c r="E1105" s="14"/>
      <c r="F1105" s="68"/>
      <c r="G1105" s="68"/>
    </row>
    <row r="1106" spans="5:7" ht="16.5" customHeight="1" x14ac:dyDescent="0.25">
      <c r="E1106" s="14"/>
      <c r="F1106" s="68"/>
      <c r="G1106" s="68"/>
    </row>
    <row r="1107" spans="5:7" ht="16.5" customHeight="1" x14ac:dyDescent="0.25">
      <c r="E1107" s="14"/>
      <c r="F1107" s="68"/>
      <c r="G1107" s="68"/>
    </row>
    <row r="1108" spans="5:7" ht="16.5" customHeight="1" x14ac:dyDescent="0.25">
      <c r="E1108" s="14"/>
      <c r="F1108" s="68"/>
      <c r="G1108" s="68"/>
    </row>
    <row r="1109" spans="5:7" ht="16.5" customHeight="1" x14ac:dyDescent="0.25">
      <c r="E1109" s="14"/>
      <c r="F1109" s="68"/>
      <c r="G1109" s="68"/>
    </row>
    <row r="1110" spans="5:7" ht="16.5" customHeight="1" x14ac:dyDescent="0.25">
      <c r="E1110" s="14"/>
      <c r="F1110" s="68"/>
      <c r="G1110" s="68"/>
    </row>
    <row r="1111" spans="5:7" ht="16.5" customHeight="1" x14ac:dyDescent="0.25">
      <c r="E1111" s="14"/>
      <c r="F1111" s="68"/>
      <c r="G1111" s="68"/>
    </row>
    <row r="1112" spans="5:7" ht="16.5" customHeight="1" x14ac:dyDescent="0.25">
      <c r="E1112" s="14"/>
      <c r="F1112" s="68"/>
      <c r="G1112" s="68"/>
    </row>
    <row r="1113" spans="5:7" ht="16.5" customHeight="1" x14ac:dyDescent="0.25">
      <c r="E1113" s="14"/>
      <c r="F1113" s="68"/>
      <c r="G1113" s="68"/>
    </row>
    <row r="1114" spans="5:7" ht="16.5" customHeight="1" x14ac:dyDescent="0.25">
      <c r="E1114" s="14"/>
      <c r="F1114" s="68"/>
      <c r="G1114" s="68"/>
    </row>
    <row r="1115" spans="5:7" ht="16.5" customHeight="1" x14ac:dyDescent="0.25">
      <c r="E1115" s="14"/>
      <c r="F1115" s="68"/>
      <c r="G1115" s="68"/>
    </row>
    <row r="1116" spans="5:7" ht="16.5" customHeight="1" x14ac:dyDescent="0.25">
      <c r="E1116" s="14"/>
      <c r="F1116" s="68"/>
      <c r="G1116" s="68"/>
    </row>
    <row r="1117" spans="5:7" ht="16.5" customHeight="1" x14ac:dyDescent="0.25">
      <c r="E1117" s="14"/>
      <c r="F1117" s="68"/>
      <c r="G1117" s="68"/>
    </row>
    <row r="1118" spans="5:7" ht="16.5" customHeight="1" x14ac:dyDescent="0.25">
      <c r="E1118" s="14"/>
      <c r="F1118" s="68"/>
      <c r="G1118" s="68"/>
    </row>
    <row r="1119" spans="5:7" ht="16.5" customHeight="1" x14ac:dyDescent="0.25">
      <c r="E1119" s="14"/>
      <c r="F1119" s="68"/>
      <c r="G1119" s="68"/>
    </row>
    <row r="1120" spans="5:7" ht="16.5" customHeight="1" x14ac:dyDescent="0.25">
      <c r="E1120" s="14"/>
      <c r="F1120" s="68"/>
      <c r="G1120" s="68"/>
    </row>
    <row r="1121" spans="5:7" ht="16.5" customHeight="1" x14ac:dyDescent="0.25">
      <c r="E1121" s="14"/>
      <c r="F1121" s="68"/>
      <c r="G1121" s="68"/>
    </row>
    <row r="1122" spans="5:7" ht="16.5" customHeight="1" x14ac:dyDescent="0.25">
      <c r="E1122" s="14"/>
      <c r="F1122" s="68"/>
      <c r="G1122" s="68"/>
    </row>
    <row r="1123" spans="5:7" ht="16.5" customHeight="1" x14ac:dyDescent="0.25">
      <c r="E1123" s="14"/>
      <c r="F1123" s="68"/>
      <c r="G1123" s="68"/>
    </row>
    <row r="1124" spans="5:7" ht="16.5" customHeight="1" x14ac:dyDescent="0.25">
      <c r="E1124" s="14"/>
      <c r="F1124" s="68"/>
      <c r="G1124" s="68"/>
    </row>
    <row r="1125" spans="5:7" ht="16.5" customHeight="1" x14ac:dyDescent="0.25">
      <c r="E1125" s="14"/>
      <c r="F1125" s="68"/>
      <c r="G1125" s="68"/>
    </row>
    <row r="1126" spans="5:7" ht="16.5" customHeight="1" x14ac:dyDescent="0.25">
      <c r="E1126" s="14"/>
      <c r="F1126" s="68"/>
      <c r="G1126" s="68"/>
    </row>
    <row r="1127" spans="5:7" ht="16.5" customHeight="1" x14ac:dyDescent="0.25">
      <c r="E1127" s="14"/>
      <c r="F1127" s="68"/>
      <c r="G1127" s="68"/>
    </row>
    <row r="1128" spans="5:7" ht="16.5" customHeight="1" x14ac:dyDescent="0.25">
      <c r="E1128" s="14"/>
      <c r="F1128" s="68"/>
      <c r="G1128" s="68"/>
    </row>
    <row r="1129" spans="5:7" ht="16.5" customHeight="1" x14ac:dyDescent="0.25">
      <c r="E1129" s="14"/>
      <c r="F1129" s="68"/>
      <c r="G1129" s="68"/>
    </row>
    <row r="1130" spans="5:7" ht="16.5" customHeight="1" x14ac:dyDescent="0.25">
      <c r="E1130" s="14"/>
      <c r="F1130" s="68"/>
      <c r="G1130" s="68"/>
    </row>
    <row r="1131" spans="5:7" ht="16.5" customHeight="1" x14ac:dyDescent="0.25">
      <c r="E1131" s="14"/>
      <c r="F1131" s="68"/>
      <c r="G1131" s="68"/>
    </row>
    <row r="1132" spans="5:7" ht="16.5" customHeight="1" x14ac:dyDescent="0.25">
      <c r="E1132" s="14"/>
      <c r="F1132" s="68"/>
      <c r="G1132" s="68"/>
    </row>
    <row r="1133" spans="5:7" ht="16.5" customHeight="1" x14ac:dyDescent="0.25">
      <c r="E1133" s="14"/>
      <c r="F1133" s="68"/>
      <c r="G1133" s="68"/>
    </row>
    <row r="1134" spans="5:7" ht="16.5" customHeight="1" x14ac:dyDescent="0.25">
      <c r="E1134" s="14"/>
      <c r="F1134" s="68"/>
      <c r="G1134" s="68"/>
    </row>
    <row r="1135" spans="5:7" ht="16.5" customHeight="1" x14ac:dyDescent="0.25">
      <c r="E1135" s="14"/>
      <c r="F1135" s="68"/>
      <c r="G1135" s="68"/>
    </row>
    <row r="1136" spans="5:7" ht="16.5" customHeight="1" x14ac:dyDescent="0.25">
      <c r="E1136" s="14"/>
      <c r="F1136" s="68"/>
      <c r="G1136" s="68"/>
    </row>
    <row r="1137" spans="5:7" ht="16.5" customHeight="1" x14ac:dyDescent="0.25">
      <c r="E1137" s="14"/>
      <c r="F1137" s="68"/>
      <c r="G1137" s="68"/>
    </row>
    <row r="1138" spans="5:7" ht="16.5" customHeight="1" x14ac:dyDescent="0.25">
      <c r="E1138" s="14"/>
      <c r="F1138" s="68"/>
      <c r="G1138" s="68"/>
    </row>
    <row r="1139" spans="5:7" ht="16.5" customHeight="1" x14ac:dyDescent="0.25">
      <c r="E1139" s="14"/>
      <c r="F1139" s="68"/>
      <c r="G1139" s="68"/>
    </row>
    <row r="1140" spans="5:7" ht="16.5" customHeight="1" x14ac:dyDescent="0.25">
      <c r="E1140" s="14"/>
      <c r="F1140" s="68"/>
      <c r="G1140" s="68"/>
    </row>
    <row r="1141" spans="5:7" ht="16.5" customHeight="1" x14ac:dyDescent="0.25">
      <c r="E1141" s="14"/>
      <c r="F1141" s="68"/>
      <c r="G1141" s="68"/>
    </row>
    <row r="1142" spans="5:7" ht="16.5" customHeight="1" x14ac:dyDescent="0.25">
      <c r="E1142" s="14"/>
      <c r="F1142" s="68"/>
      <c r="G1142" s="68"/>
    </row>
    <row r="1143" spans="5:7" ht="16.5" customHeight="1" x14ac:dyDescent="0.25">
      <c r="E1143" s="14"/>
      <c r="F1143" s="68"/>
      <c r="G1143" s="68"/>
    </row>
    <row r="1144" spans="5:7" ht="16.5" customHeight="1" x14ac:dyDescent="0.25">
      <c r="E1144" s="14"/>
      <c r="F1144" s="68"/>
      <c r="G1144" s="68"/>
    </row>
    <row r="1145" spans="5:7" ht="16.5" customHeight="1" x14ac:dyDescent="0.25">
      <c r="E1145" s="14"/>
      <c r="F1145" s="68"/>
      <c r="G1145" s="68"/>
    </row>
    <row r="1146" spans="5:7" ht="16.5" customHeight="1" x14ac:dyDescent="0.25">
      <c r="E1146" s="14"/>
      <c r="F1146" s="68"/>
      <c r="G1146" s="68"/>
    </row>
    <row r="1147" spans="5:7" ht="16.5" customHeight="1" x14ac:dyDescent="0.25">
      <c r="E1147" s="14"/>
      <c r="F1147" s="68"/>
      <c r="G1147" s="68"/>
    </row>
    <row r="1148" spans="5:7" ht="16.5" customHeight="1" x14ac:dyDescent="0.25">
      <c r="E1148" s="14"/>
      <c r="F1148" s="68"/>
      <c r="G1148" s="68"/>
    </row>
    <row r="1149" spans="5:7" ht="16.5" customHeight="1" x14ac:dyDescent="0.25">
      <c r="E1149" s="14"/>
      <c r="F1149" s="68"/>
      <c r="G1149" s="68"/>
    </row>
    <row r="1150" spans="5:7" ht="16.5" customHeight="1" x14ac:dyDescent="0.25">
      <c r="E1150" s="14"/>
      <c r="F1150" s="68"/>
      <c r="G1150" s="68"/>
    </row>
    <row r="1151" spans="5:7" ht="16.5" customHeight="1" x14ac:dyDescent="0.25">
      <c r="E1151" s="14"/>
      <c r="F1151" s="68"/>
      <c r="G1151" s="68"/>
    </row>
    <row r="1152" spans="5:7" ht="16.5" customHeight="1" x14ac:dyDescent="0.25">
      <c r="E1152" s="14"/>
      <c r="F1152" s="68"/>
      <c r="G1152" s="68"/>
    </row>
    <row r="1153" spans="5:7" ht="16.5" customHeight="1" x14ac:dyDescent="0.25">
      <c r="E1153" s="14"/>
      <c r="F1153" s="68"/>
      <c r="G1153" s="68"/>
    </row>
    <row r="1154" spans="5:7" ht="16.5" customHeight="1" x14ac:dyDescent="0.25">
      <c r="E1154" s="14"/>
      <c r="F1154" s="68"/>
      <c r="G1154" s="68"/>
    </row>
    <row r="1155" spans="5:7" ht="16.5" customHeight="1" x14ac:dyDescent="0.25">
      <c r="E1155" s="14"/>
      <c r="F1155" s="68"/>
      <c r="G1155" s="68"/>
    </row>
    <row r="1156" spans="5:7" ht="16.5" customHeight="1" x14ac:dyDescent="0.25">
      <c r="E1156" s="14"/>
      <c r="F1156" s="68"/>
      <c r="G1156" s="68"/>
    </row>
    <row r="1157" spans="5:7" ht="16.5" customHeight="1" x14ac:dyDescent="0.25">
      <c r="E1157" s="14"/>
      <c r="F1157" s="68"/>
      <c r="G1157" s="68"/>
    </row>
    <row r="1158" spans="5:7" ht="16.5" customHeight="1" x14ac:dyDescent="0.25">
      <c r="E1158" s="14"/>
      <c r="F1158" s="68"/>
      <c r="G1158" s="68"/>
    </row>
    <row r="1159" spans="5:7" ht="16.5" customHeight="1" x14ac:dyDescent="0.25">
      <c r="E1159" s="14"/>
      <c r="F1159" s="68"/>
      <c r="G1159" s="68"/>
    </row>
    <row r="1160" spans="5:7" ht="16.5" customHeight="1" x14ac:dyDescent="0.25">
      <c r="E1160" s="14"/>
      <c r="F1160" s="68"/>
      <c r="G1160" s="68"/>
    </row>
    <row r="1161" spans="5:7" ht="16.5" customHeight="1" x14ac:dyDescent="0.25">
      <c r="E1161" s="14"/>
      <c r="F1161" s="68"/>
      <c r="G1161" s="68"/>
    </row>
    <row r="1162" spans="5:7" ht="16.5" customHeight="1" x14ac:dyDescent="0.25">
      <c r="E1162" s="14"/>
      <c r="F1162" s="68"/>
      <c r="G1162" s="68"/>
    </row>
    <row r="1163" spans="5:7" ht="16.5" customHeight="1" x14ac:dyDescent="0.25">
      <c r="E1163" s="14"/>
      <c r="F1163" s="68"/>
      <c r="G1163" s="68"/>
    </row>
    <row r="1164" spans="5:7" ht="16.5" customHeight="1" x14ac:dyDescent="0.25">
      <c r="E1164" s="14"/>
      <c r="F1164" s="68"/>
      <c r="G1164" s="68"/>
    </row>
    <row r="1165" spans="5:7" ht="16.5" customHeight="1" x14ac:dyDescent="0.25">
      <c r="E1165" s="14"/>
      <c r="F1165" s="68"/>
      <c r="G1165" s="68"/>
    </row>
    <row r="1166" spans="5:7" ht="16.5" customHeight="1" x14ac:dyDescent="0.25">
      <c r="E1166" s="14"/>
      <c r="F1166" s="68"/>
      <c r="G1166" s="68"/>
    </row>
    <row r="1167" spans="5:7" ht="16.5" customHeight="1" x14ac:dyDescent="0.25">
      <c r="E1167" s="14"/>
      <c r="F1167" s="68"/>
      <c r="G1167" s="68"/>
    </row>
    <row r="1168" spans="5:7" ht="16.5" customHeight="1" x14ac:dyDescent="0.25">
      <c r="E1168" s="14"/>
      <c r="F1168" s="68"/>
      <c r="G1168" s="68"/>
    </row>
    <row r="1169" spans="5:7" ht="16.5" customHeight="1" x14ac:dyDescent="0.25">
      <c r="E1169" s="14"/>
      <c r="F1169" s="68"/>
      <c r="G1169" s="68"/>
    </row>
    <row r="1170" spans="5:7" ht="16.5" customHeight="1" x14ac:dyDescent="0.25">
      <c r="E1170" s="14"/>
      <c r="F1170" s="68"/>
      <c r="G1170" s="68"/>
    </row>
    <row r="1171" spans="5:7" ht="16.5" customHeight="1" x14ac:dyDescent="0.25">
      <c r="E1171" s="14"/>
      <c r="F1171" s="68"/>
      <c r="G1171" s="68"/>
    </row>
    <row r="1172" spans="5:7" ht="16.5" customHeight="1" x14ac:dyDescent="0.25">
      <c r="E1172" s="14"/>
      <c r="F1172" s="68"/>
      <c r="G1172" s="68"/>
    </row>
    <row r="1173" spans="5:7" ht="16.5" customHeight="1" x14ac:dyDescent="0.25">
      <c r="E1173" s="14"/>
      <c r="F1173" s="68"/>
      <c r="G1173" s="68"/>
    </row>
    <row r="1174" spans="5:7" ht="16.5" customHeight="1" x14ac:dyDescent="0.25">
      <c r="E1174" s="14"/>
      <c r="F1174" s="68"/>
      <c r="G1174" s="68"/>
    </row>
    <row r="1175" spans="5:7" ht="16.5" customHeight="1" x14ac:dyDescent="0.25">
      <c r="E1175" s="14"/>
      <c r="F1175" s="68"/>
      <c r="G1175" s="68"/>
    </row>
    <row r="1176" spans="5:7" ht="16.5" customHeight="1" x14ac:dyDescent="0.25">
      <c r="E1176" s="14"/>
      <c r="F1176" s="68"/>
      <c r="G1176" s="68"/>
    </row>
    <row r="1177" spans="5:7" ht="16.5" customHeight="1" x14ac:dyDescent="0.25">
      <c r="E1177" s="14"/>
      <c r="F1177" s="68"/>
      <c r="G1177" s="68"/>
    </row>
    <row r="1178" spans="5:7" ht="16.5" customHeight="1" x14ac:dyDescent="0.25">
      <c r="E1178" s="14"/>
      <c r="F1178" s="68"/>
      <c r="G1178" s="68"/>
    </row>
    <row r="1179" spans="5:7" ht="16.5" customHeight="1" x14ac:dyDescent="0.25">
      <c r="E1179" s="14"/>
      <c r="F1179" s="68"/>
      <c r="G1179" s="68"/>
    </row>
    <row r="1180" spans="5:7" ht="16.5" customHeight="1" x14ac:dyDescent="0.25">
      <c r="E1180" s="14"/>
      <c r="F1180" s="68"/>
      <c r="G1180" s="68"/>
    </row>
    <row r="1181" spans="5:7" ht="16.5" customHeight="1" x14ac:dyDescent="0.25">
      <c r="E1181" s="14"/>
      <c r="F1181" s="68"/>
      <c r="G1181" s="68"/>
    </row>
    <row r="1182" spans="5:7" ht="16.5" customHeight="1" x14ac:dyDescent="0.25">
      <c r="E1182" s="14"/>
      <c r="F1182" s="68"/>
      <c r="G1182" s="68"/>
    </row>
    <row r="1183" spans="5:7" ht="16.5" customHeight="1" x14ac:dyDescent="0.25">
      <c r="E1183" s="14"/>
      <c r="F1183" s="68"/>
      <c r="G1183" s="68"/>
    </row>
    <row r="1184" spans="5:7" ht="16.5" customHeight="1" x14ac:dyDescent="0.25">
      <c r="E1184" s="14"/>
      <c r="F1184" s="68"/>
      <c r="G1184" s="68"/>
    </row>
    <row r="1185" spans="5:7" ht="16.5" customHeight="1" x14ac:dyDescent="0.25">
      <c r="E1185" s="14"/>
      <c r="F1185" s="68"/>
      <c r="G1185" s="68"/>
    </row>
    <row r="1186" spans="5:7" ht="16.5" customHeight="1" x14ac:dyDescent="0.25">
      <c r="E1186" s="14"/>
      <c r="F1186" s="68"/>
      <c r="G1186" s="68"/>
    </row>
    <row r="1187" spans="5:7" ht="16.5" customHeight="1" x14ac:dyDescent="0.25">
      <c r="E1187" s="14"/>
      <c r="F1187" s="68"/>
      <c r="G1187" s="68"/>
    </row>
    <row r="1188" spans="5:7" ht="16.5" customHeight="1" x14ac:dyDescent="0.25">
      <c r="E1188" s="14"/>
      <c r="F1188" s="68"/>
      <c r="G1188" s="68"/>
    </row>
    <row r="1189" spans="5:7" ht="16.5" customHeight="1" x14ac:dyDescent="0.25">
      <c r="E1189" s="14"/>
      <c r="F1189" s="68"/>
      <c r="G1189" s="68"/>
    </row>
    <row r="1190" spans="5:7" ht="16.5" customHeight="1" x14ac:dyDescent="0.25">
      <c r="E1190" s="14"/>
      <c r="F1190" s="68"/>
      <c r="G1190" s="68"/>
    </row>
    <row r="1191" spans="5:7" ht="16.5" customHeight="1" x14ac:dyDescent="0.25">
      <c r="E1191" s="14"/>
      <c r="F1191" s="68"/>
      <c r="G1191" s="68"/>
    </row>
    <row r="1192" spans="5:7" ht="16.5" customHeight="1" x14ac:dyDescent="0.25">
      <c r="E1192" s="14"/>
      <c r="F1192" s="68"/>
      <c r="G1192" s="68"/>
    </row>
    <row r="1193" spans="5:7" ht="16.5" customHeight="1" x14ac:dyDescent="0.25">
      <c r="E1193" s="14"/>
      <c r="F1193" s="68"/>
      <c r="G1193" s="68"/>
    </row>
    <row r="1194" spans="5:7" ht="16.5" customHeight="1" x14ac:dyDescent="0.25">
      <c r="E1194" s="14"/>
      <c r="F1194" s="68"/>
      <c r="G1194" s="68"/>
    </row>
    <row r="1195" spans="5:7" ht="16.5" customHeight="1" x14ac:dyDescent="0.25">
      <c r="E1195" s="14"/>
      <c r="F1195" s="68"/>
      <c r="G1195" s="68"/>
    </row>
    <row r="1196" spans="5:7" ht="16.5" customHeight="1" x14ac:dyDescent="0.25">
      <c r="E1196" s="14"/>
      <c r="F1196" s="68"/>
      <c r="G1196" s="68"/>
    </row>
    <row r="1197" spans="5:7" ht="16.5" customHeight="1" x14ac:dyDescent="0.25">
      <c r="E1197" s="14"/>
      <c r="F1197" s="68"/>
      <c r="G1197" s="68"/>
    </row>
    <row r="1198" spans="5:7" ht="16.5" customHeight="1" x14ac:dyDescent="0.25">
      <c r="E1198" s="14"/>
      <c r="F1198" s="68"/>
      <c r="G1198" s="68"/>
    </row>
    <row r="1199" spans="5:7" ht="16.5" customHeight="1" x14ac:dyDescent="0.25">
      <c r="E1199" s="14"/>
      <c r="F1199" s="68"/>
      <c r="G1199" s="68"/>
    </row>
    <row r="1200" spans="5:7" ht="16.5" customHeight="1" x14ac:dyDescent="0.25">
      <c r="E1200" s="14"/>
      <c r="F1200" s="68"/>
      <c r="G1200" s="68"/>
    </row>
    <row r="1201" spans="5:7" ht="16.5" customHeight="1" x14ac:dyDescent="0.25">
      <c r="E1201" s="14"/>
      <c r="F1201" s="68"/>
      <c r="G1201" s="68"/>
    </row>
    <row r="1202" spans="5:7" ht="16.5" customHeight="1" x14ac:dyDescent="0.25">
      <c r="E1202" s="14"/>
      <c r="F1202" s="68"/>
      <c r="G1202" s="68"/>
    </row>
    <row r="1203" spans="5:7" ht="16.5" customHeight="1" x14ac:dyDescent="0.25">
      <c r="E1203" s="14"/>
      <c r="F1203" s="68"/>
      <c r="G1203" s="68"/>
    </row>
    <row r="1204" spans="5:7" ht="16.5" customHeight="1" x14ac:dyDescent="0.25">
      <c r="E1204" s="14"/>
      <c r="F1204" s="68"/>
      <c r="G1204" s="68"/>
    </row>
    <row r="1205" spans="5:7" ht="16.5" customHeight="1" x14ac:dyDescent="0.25">
      <c r="E1205" s="14"/>
      <c r="F1205" s="68"/>
      <c r="G1205" s="68"/>
    </row>
    <row r="1206" spans="5:7" ht="16.5" customHeight="1" x14ac:dyDescent="0.25">
      <c r="E1206" s="14"/>
      <c r="F1206" s="68"/>
      <c r="G1206" s="68"/>
    </row>
    <row r="1207" spans="5:7" ht="16.5" customHeight="1" x14ac:dyDescent="0.25">
      <c r="E1207" s="14"/>
      <c r="F1207" s="68"/>
      <c r="G1207" s="68"/>
    </row>
    <row r="1208" spans="5:7" ht="16.5" customHeight="1" x14ac:dyDescent="0.25">
      <c r="E1208" s="14"/>
      <c r="F1208" s="68"/>
      <c r="G1208" s="68"/>
    </row>
    <row r="1209" spans="5:7" ht="16.5" customHeight="1" x14ac:dyDescent="0.25">
      <c r="E1209" s="14"/>
      <c r="F1209" s="68"/>
      <c r="G1209" s="68"/>
    </row>
    <row r="1210" spans="5:7" ht="16.5" customHeight="1" x14ac:dyDescent="0.25">
      <c r="E1210" s="14"/>
      <c r="F1210" s="68"/>
      <c r="G1210" s="68"/>
    </row>
    <row r="1211" spans="5:7" ht="16.5" customHeight="1" x14ac:dyDescent="0.25">
      <c r="E1211" s="14"/>
      <c r="F1211" s="68"/>
      <c r="G1211" s="68"/>
    </row>
    <row r="1212" spans="5:7" ht="16.5" customHeight="1" x14ac:dyDescent="0.25">
      <c r="E1212" s="14"/>
      <c r="F1212" s="68"/>
      <c r="G1212" s="68"/>
    </row>
    <row r="1213" spans="5:7" ht="16.5" customHeight="1" x14ac:dyDescent="0.25">
      <c r="E1213" s="14"/>
      <c r="F1213" s="68"/>
      <c r="G1213" s="68"/>
    </row>
    <row r="1214" spans="5:7" ht="16.5" customHeight="1" x14ac:dyDescent="0.25">
      <c r="E1214" s="14"/>
      <c r="F1214" s="68"/>
      <c r="G1214" s="68"/>
    </row>
    <row r="1215" spans="5:7" ht="16.5" customHeight="1" x14ac:dyDescent="0.25">
      <c r="E1215" s="14"/>
      <c r="F1215" s="68"/>
      <c r="G1215" s="68"/>
    </row>
    <row r="1216" spans="5:7" ht="16.5" customHeight="1" x14ac:dyDescent="0.25">
      <c r="E1216" s="14"/>
      <c r="F1216" s="68"/>
      <c r="G1216" s="68"/>
    </row>
    <row r="1217" spans="5:7" ht="16.5" customHeight="1" x14ac:dyDescent="0.25">
      <c r="E1217" s="14"/>
      <c r="F1217" s="68"/>
      <c r="G1217" s="68"/>
    </row>
    <row r="1218" spans="5:7" ht="16.5" customHeight="1" x14ac:dyDescent="0.25">
      <c r="E1218" s="14"/>
      <c r="F1218" s="68"/>
      <c r="G1218" s="68"/>
    </row>
    <row r="1219" spans="5:7" ht="16.5" customHeight="1" x14ac:dyDescent="0.25">
      <c r="E1219" s="14"/>
      <c r="F1219" s="68"/>
      <c r="G1219" s="68"/>
    </row>
    <row r="1220" spans="5:7" ht="16.5" customHeight="1" x14ac:dyDescent="0.25">
      <c r="E1220" s="14"/>
      <c r="F1220" s="68"/>
      <c r="G1220" s="68"/>
    </row>
    <row r="1221" spans="5:7" ht="16.5" customHeight="1" x14ac:dyDescent="0.25">
      <c r="E1221" s="14"/>
      <c r="F1221" s="68"/>
      <c r="G1221" s="68"/>
    </row>
    <row r="1222" spans="5:7" ht="16.5" customHeight="1" x14ac:dyDescent="0.25">
      <c r="E1222" s="14"/>
      <c r="F1222" s="68"/>
      <c r="G1222" s="68"/>
    </row>
    <row r="1223" spans="5:7" ht="16.5" customHeight="1" x14ac:dyDescent="0.25">
      <c r="E1223" s="14"/>
      <c r="F1223" s="68"/>
      <c r="G1223" s="68"/>
    </row>
    <row r="1224" spans="5:7" ht="16.5" customHeight="1" x14ac:dyDescent="0.25">
      <c r="E1224" s="14"/>
      <c r="F1224" s="68"/>
      <c r="G1224" s="68"/>
    </row>
    <row r="1225" spans="5:7" ht="16.5" customHeight="1" x14ac:dyDescent="0.25">
      <c r="E1225" s="14"/>
      <c r="F1225" s="68"/>
      <c r="G1225" s="68"/>
    </row>
    <row r="1226" spans="5:7" ht="16.5" customHeight="1" x14ac:dyDescent="0.25">
      <c r="E1226" s="14"/>
      <c r="F1226" s="68"/>
      <c r="G1226" s="68"/>
    </row>
    <row r="1227" spans="5:7" ht="16.5" customHeight="1" x14ac:dyDescent="0.25">
      <c r="E1227" s="14"/>
      <c r="F1227" s="68"/>
      <c r="G1227" s="68"/>
    </row>
    <row r="1228" spans="5:7" ht="16.5" customHeight="1" x14ac:dyDescent="0.25">
      <c r="E1228" s="14"/>
      <c r="F1228" s="68"/>
      <c r="G1228" s="68"/>
    </row>
    <row r="1229" spans="5:7" ht="16.5" customHeight="1" x14ac:dyDescent="0.25">
      <c r="E1229" s="14"/>
      <c r="F1229" s="68"/>
      <c r="G1229" s="68"/>
    </row>
    <row r="1230" spans="5:7" ht="16.5" customHeight="1" x14ac:dyDescent="0.25">
      <c r="E1230" s="14"/>
      <c r="F1230" s="68"/>
      <c r="G1230" s="68"/>
    </row>
    <row r="1231" spans="5:7" ht="16.5" customHeight="1" x14ac:dyDescent="0.25">
      <c r="E1231" s="14"/>
      <c r="F1231" s="68"/>
      <c r="G1231" s="68"/>
    </row>
    <row r="1232" spans="5:7" ht="16.5" customHeight="1" x14ac:dyDescent="0.25">
      <c r="E1232" s="14"/>
      <c r="F1232" s="68"/>
      <c r="G1232" s="68"/>
    </row>
    <row r="1233" spans="5:7" ht="16.5" customHeight="1" x14ac:dyDescent="0.25">
      <c r="E1233" s="14"/>
      <c r="F1233" s="68"/>
      <c r="G1233" s="68"/>
    </row>
    <row r="1234" spans="5:7" ht="16.5" customHeight="1" x14ac:dyDescent="0.25">
      <c r="E1234" s="14"/>
      <c r="F1234" s="68"/>
      <c r="G1234" s="68"/>
    </row>
    <row r="1235" spans="5:7" ht="16.5" customHeight="1" x14ac:dyDescent="0.25">
      <c r="E1235" s="14"/>
      <c r="F1235" s="68"/>
      <c r="G1235" s="68"/>
    </row>
    <row r="1236" spans="5:7" ht="16.5" customHeight="1" x14ac:dyDescent="0.25">
      <c r="E1236" s="14"/>
      <c r="F1236" s="68"/>
      <c r="G1236" s="68"/>
    </row>
    <row r="1237" spans="5:7" ht="16.5" customHeight="1" x14ac:dyDescent="0.25">
      <c r="E1237" s="14"/>
      <c r="F1237" s="68"/>
      <c r="G1237" s="68"/>
    </row>
    <row r="1238" spans="5:7" ht="16.5" customHeight="1" x14ac:dyDescent="0.25">
      <c r="E1238" s="14"/>
      <c r="F1238" s="68"/>
      <c r="G1238" s="68"/>
    </row>
    <row r="1239" spans="5:7" ht="16.5" customHeight="1" x14ac:dyDescent="0.25">
      <c r="E1239" s="14"/>
      <c r="F1239" s="68"/>
      <c r="G1239" s="68"/>
    </row>
    <row r="1240" spans="5:7" ht="16.5" customHeight="1" x14ac:dyDescent="0.25">
      <c r="E1240" s="14"/>
      <c r="F1240" s="68"/>
      <c r="G1240" s="68"/>
    </row>
    <row r="1241" spans="5:7" ht="16.5" customHeight="1" x14ac:dyDescent="0.25">
      <c r="E1241" s="14"/>
      <c r="F1241" s="68"/>
      <c r="G1241" s="68"/>
    </row>
    <row r="1242" spans="5:7" ht="16.5" customHeight="1" x14ac:dyDescent="0.25">
      <c r="E1242" s="14"/>
      <c r="F1242" s="68"/>
      <c r="G1242" s="68"/>
    </row>
    <row r="1243" spans="5:7" ht="16.5" customHeight="1" x14ac:dyDescent="0.25">
      <c r="E1243" s="14"/>
      <c r="F1243" s="68"/>
      <c r="G1243" s="68"/>
    </row>
    <row r="1244" spans="5:7" ht="16.5" customHeight="1" x14ac:dyDescent="0.25">
      <c r="E1244" s="14"/>
      <c r="F1244" s="68"/>
      <c r="G1244" s="68"/>
    </row>
    <row r="1245" spans="5:7" ht="16.5" customHeight="1" x14ac:dyDescent="0.25">
      <c r="E1245" s="14"/>
      <c r="F1245" s="68"/>
      <c r="G1245" s="68"/>
    </row>
    <row r="1246" spans="5:7" ht="16.5" customHeight="1" x14ac:dyDescent="0.25">
      <c r="E1246" s="14"/>
      <c r="F1246" s="68"/>
      <c r="G1246" s="68"/>
    </row>
    <row r="1247" spans="5:7" ht="16.5" customHeight="1" x14ac:dyDescent="0.25">
      <c r="E1247" s="14"/>
      <c r="F1247" s="68"/>
      <c r="G1247" s="68"/>
    </row>
    <row r="1248" spans="5:7" ht="16.5" customHeight="1" x14ac:dyDescent="0.25">
      <c r="E1248" s="14"/>
      <c r="F1248" s="68"/>
      <c r="G1248" s="68"/>
    </row>
    <row r="1249" spans="5:7" ht="16.5" customHeight="1" x14ac:dyDescent="0.25">
      <c r="E1249" s="14"/>
      <c r="F1249" s="68"/>
      <c r="G1249" s="68"/>
    </row>
    <row r="1250" spans="5:7" ht="16.5" customHeight="1" x14ac:dyDescent="0.25">
      <c r="E1250" s="14"/>
      <c r="F1250" s="68"/>
      <c r="G1250" s="68"/>
    </row>
    <row r="1251" spans="5:7" ht="16.5" customHeight="1" x14ac:dyDescent="0.25">
      <c r="E1251" s="14"/>
      <c r="F1251" s="68"/>
      <c r="G1251" s="68"/>
    </row>
    <row r="1252" spans="5:7" ht="16.5" customHeight="1" x14ac:dyDescent="0.25">
      <c r="E1252" s="14"/>
      <c r="F1252" s="68"/>
      <c r="G1252" s="68"/>
    </row>
    <row r="1253" spans="5:7" ht="16.5" customHeight="1" x14ac:dyDescent="0.25">
      <c r="E1253" s="14"/>
      <c r="F1253" s="68"/>
      <c r="G1253" s="68"/>
    </row>
    <row r="1254" spans="5:7" ht="16.5" customHeight="1" x14ac:dyDescent="0.25">
      <c r="E1254" s="14"/>
      <c r="F1254" s="68"/>
      <c r="G1254" s="68"/>
    </row>
    <row r="1255" spans="5:7" ht="16.5" customHeight="1" x14ac:dyDescent="0.25">
      <c r="E1255" s="14"/>
      <c r="F1255" s="68"/>
      <c r="G1255" s="68"/>
    </row>
    <row r="1256" spans="5:7" ht="16.5" customHeight="1" x14ac:dyDescent="0.25">
      <c r="E1256" s="14"/>
      <c r="F1256" s="68"/>
      <c r="G1256" s="68"/>
    </row>
    <row r="1257" spans="5:7" ht="16.5" customHeight="1" x14ac:dyDescent="0.25">
      <c r="E1257" s="14"/>
      <c r="F1257" s="68"/>
      <c r="G1257" s="68"/>
    </row>
    <row r="1258" spans="5:7" ht="16.5" customHeight="1" x14ac:dyDescent="0.25">
      <c r="E1258" s="14"/>
      <c r="F1258" s="68"/>
      <c r="G1258" s="68"/>
    </row>
    <row r="1259" spans="5:7" ht="16.5" customHeight="1" x14ac:dyDescent="0.25">
      <c r="E1259" s="14"/>
      <c r="F1259" s="68"/>
      <c r="G1259" s="68"/>
    </row>
    <row r="1260" spans="5:7" ht="16.5" customHeight="1" x14ac:dyDescent="0.25">
      <c r="E1260" s="14"/>
      <c r="F1260" s="68"/>
      <c r="G1260" s="68"/>
    </row>
    <row r="1261" spans="5:7" ht="16.5" customHeight="1" x14ac:dyDescent="0.25">
      <c r="E1261" s="14"/>
      <c r="F1261" s="68"/>
      <c r="G1261" s="68"/>
    </row>
    <row r="1262" spans="5:7" ht="16.5" customHeight="1" x14ac:dyDescent="0.25">
      <c r="E1262" s="14"/>
      <c r="F1262" s="68"/>
      <c r="G1262" s="68"/>
    </row>
    <row r="1263" spans="5:7" ht="16.5" customHeight="1" x14ac:dyDescent="0.25">
      <c r="E1263" s="14"/>
      <c r="F1263" s="68"/>
      <c r="G1263" s="68"/>
    </row>
    <row r="1264" spans="5:7" ht="16.5" customHeight="1" x14ac:dyDescent="0.25">
      <c r="E1264" s="14"/>
      <c r="F1264" s="68"/>
      <c r="G1264" s="68"/>
    </row>
    <row r="1265" spans="5:7" ht="16.5" customHeight="1" x14ac:dyDescent="0.25">
      <c r="E1265" s="14"/>
      <c r="F1265" s="68"/>
      <c r="G1265" s="68"/>
    </row>
    <row r="1266" spans="5:7" ht="16.5" customHeight="1" x14ac:dyDescent="0.25">
      <c r="E1266" s="14"/>
      <c r="F1266" s="68"/>
      <c r="G1266" s="68"/>
    </row>
    <row r="1267" spans="5:7" ht="16.5" customHeight="1" x14ac:dyDescent="0.25">
      <c r="E1267" s="14"/>
      <c r="F1267" s="68"/>
      <c r="G1267" s="68"/>
    </row>
    <row r="1268" spans="5:7" ht="16.5" customHeight="1" x14ac:dyDescent="0.25">
      <c r="E1268" s="14"/>
      <c r="F1268" s="68"/>
      <c r="G1268" s="68"/>
    </row>
    <row r="1269" spans="5:7" ht="16.5" customHeight="1" x14ac:dyDescent="0.25">
      <c r="E1269" s="14"/>
      <c r="F1269" s="68"/>
      <c r="G1269" s="68"/>
    </row>
    <row r="1270" spans="5:7" ht="16.5" customHeight="1" x14ac:dyDescent="0.25">
      <c r="E1270" s="14"/>
      <c r="F1270" s="68"/>
      <c r="G1270" s="68"/>
    </row>
    <row r="1271" spans="5:7" ht="16.5" customHeight="1" x14ac:dyDescent="0.25">
      <c r="E1271" s="14"/>
      <c r="F1271" s="68"/>
      <c r="G1271" s="68"/>
    </row>
    <row r="1272" spans="5:7" ht="16.5" customHeight="1" x14ac:dyDescent="0.25">
      <c r="E1272" s="14"/>
      <c r="F1272" s="68"/>
      <c r="G1272" s="68"/>
    </row>
    <row r="1273" spans="5:7" ht="16.5" customHeight="1" x14ac:dyDescent="0.25">
      <c r="E1273" s="14"/>
      <c r="F1273" s="68"/>
      <c r="G1273" s="68"/>
    </row>
    <row r="1274" spans="5:7" ht="16.5" customHeight="1" x14ac:dyDescent="0.25">
      <c r="E1274" s="14"/>
      <c r="F1274" s="68"/>
      <c r="G1274" s="68"/>
    </row>
    <row r="1275" spans="5:7" ht="16.5" customHeight="1" x14ac:dyDescent="0.25">
      <c r="E1275" s="14"/>
      <c r="F1275" s="68"/>
      <c r="G1275" s="68"/>
    </row>
    <row r="1276" spans="5:7" ht="16.5" customHeight="1" x14ac:dyDescent="0.25">
      <c r="E1276" s="14"/>
      <c r="F1276" s="68"/>
      <c r="G1276" s="68"/>
    </row>
    <row r="1277" spans="5:7" ht="16.5" customHeight="1" x14ac:dyDescent="0.25">
      <c r="E1277" s="14"/>
      <c r="F1277" s="68"/>
      <c r="G1277" s="68"/>
    </row>
    <row r="1278" spans="5:7" ht="16.5" customHeight="1" x14ac:dyDescent="0.25">
      <c r="E1278" s="14"/>
      <c r="F1278" s="68"/>
      <c r="G1278" s="68"/>
    </row>
    <row r="1279" spans="5:7" ht="16.5" customHeight="1" x14ac:dyDescent="0.25">
      <c r="E1279" s="14"/>
      <c r="F1279" s="68"/>
      <c r="G1279" s="68"/>
    </row>
    <row r="1280" spans="5:7" ht="16.5" customHeight="1" x14ac:dyDescent="0.25">
      <c r="E1280" s="14"/>
      <c r="F1280" s="68"/>
      <c r="G1280" s="68"/>
    </row>
    <row r="1281" spans="5:7" ht="16.5" customHeight="1" x14ac:dyDescent="0.25">
      <c r="E1281" s="14"/>
      <c r="F1281" s="68"/>
      <c r="G1281" s="68"/>
    </row>
    <row r="1282" spans="5:7" ht="16.5" customHeight="1" x14ac:dyDescent="0.25">
      <c r="E1282" s="14"/>
      <c r="F1282" s="68"/>
      <c r="G1282" s="68"/>
    </row>
    <row r="1283" spans="5:7" ht="16.5" customHeight="1" x14ac:dyDescent="0.25">
      <c r="E1283" s="14"/>
      <c r="F1283" s="68"/>
      <c r="G1283" s="68"/>
    </row>
    <row r="1284" spans="5:7" ht="16.5" customHeight="1" x14ac:dyDescent="0.25">
      <c r="E1284" s="14"/>
      <c r="F1284" s="68"/>
      <c r="G1284" s="68"/>
    </row>
    <row r="1285" spans="5:7" ht="16.5" customHeight="1" x14ac:dyDescent="0.25">
      <c r="E1285" s="14"/>
      <c r="F1285" s="68"/>
      <c r="G1285" s="68"/>
    </row>
    <row r="1286" spans="5:7" ht="16.5" customHeight="1" x14ac:dyDescent="0.25">
      <c r="E1286" s="14"/>
      <c r="F1286" s="68"/>
      <c r="G1286" s="68"/>
    </row>
    <row r="1287" spans="5:7" ht="16.5" customHeight="1" x14ac:dyDescent="0.25">
      <c r="E1287" s="14"/>
      <c r="F1287" s="68"/>
      <c r="G1287" s="68"/>
    </row>
    <row r="1288" spans="5:7" ht="16.5" customHeight="1" x14ac:dyDescent="0.25">
      <c r="E1288" s="14"/>
      <c r="F1288" s="68"/>
      <c r="G1288" s="68"/>
    </row>
    <row r="1289" spans="5:7" ht="16.5" customHeight="1" x14ac:dyDescent="0.25">
      <c r="E1289" s="14"/>
      <c r="F1289" s="68"/>
      <c r="G1289" s="68"/>
    </row>
    <row r="1290" spans="5:7" ht="16.5" customHeight="1" x14ac:dyDescent="0.25">
      <c r="E1290" s="14"/>
      <c r="F1290" s="68"/>
      <c r="G1290" s="68"/>
    </row>
    <row r="1291" spans="5:7" ht="16.5" customHeight="1" x14ac:dyDescent="0.25">
      <c r="E1291" s="14"/>
      <c r="F1291" s="68"/>
      <c r="G1291" s="68"/>
    </row>
    <row r="1292" spans="5:7" ht="16.5" customHeight="1" x14ac:dyDescent="0.25">
      <c r="E1292" s="14"/>
      <c r="F1292" s="68"/>
      <c r="G1292" s="68"/>
    </row>
    <row r="1293" spans="5:7" ht="16.5" customHeight="1" x14ac:dyDescent="0.25">
      <c r="E1293" s="14"/>
      <c r="F1293" s="68"/>
      <c r="G1293" s="68"/>
    </row>
    <row r="1294" spans="5:7" ht="16.5" customHeight="1" x14ac:dyDescent="0.25">
      <c r="E1294" s="14"/>
      <c r="F1294" s="68"/>
      <c r="G1294" s="68"/>
    </row>
    <row r="1295" spans="5:7" ht="16.5" customHeight="1" x14ac:dyDescent="0.25">
      <c r="E1295" s="14"/>
      <c r="F1295" s="68"/>
      <c r="G1295" s="68"/>
    </row>
    <row r="1296" spans="5:7" ht="16.5" customHeight="1" x14ac:dyDescent="0.25">
      <c r="E1296" s="14"/>
      <c r="F1296" s="68"/>
      <c r="G1296" s="68"/>
    </row>
    <row r="1297" spans="5:7" ht="16.5" customHeight="1" x14ac:dyDescent="0.25">
      <c r="E1297" s="14"/>
      <c r="F1297" s="68"/>
      <c r="G1297" s="68"/>
    </row>
    <row r="1298" spans="5:7" ht="16.5" customHeight="1" x14ac:dyDescent="0.25">
      <c r="E1298" s="14"/>
      <c r="F1298" s="68"/>
      <c r="G1298" s="68"/>
    </row>
    <row r="1299" spans="5:7" ht="16.5" customHeight="1" x14ac:dyDescent="0.25">
      <c r="E1299" s="14"/>
      <c r="F1299" s="68"/>
      <c r="G1299" s="68"/>
    </row>
    <row r="1300" spans="5:7" ht="16.5" customHeight="1" x14ac:dyDescent="0.25">
      <c r="E1300" s="14"/>
      <c r="F1300" s="68"/>
      <c r="G1300" s="68"/>
    </row>
    <row r="1301" spans="5:7" ht="16.5" customHeight="1" x14ac:dyDescent="0.25">
      <c r="E1301" s="14"/>
      <c r="F1301" s="68"/>
      <c r="G1301" s="68"/>
    </row>
    <row r="1302" spans="5:7" ht="16.5" customHeight="1" x14ac:dyDescent="0.25">
      <c r="E1302" s="14"/>
      <c r="F1302" s="68"/>
      <c r="G1302" s="68"/>
    </row>
    <row r="1303" spans="5:7" ht="16.5" customHeight="1" x14ac:dyDescent="0.25">
      <c r="E1303" s="14"/>
      <c r="F1303" s="68"/>
      <c r="G1303" s="68"/>
    </row>
    <row r="1304" spans="5:7" ht="16.5" customHeight="1" x14ac:dyDescent="0.25">
      <c r="E1304" s="14"/>
      <c r="F1304" s="68"/>
      <c r="G1304" s="68"/>
    </row>
    <row r="1305" spans="5:7" ht="16.5" customHeight="1" x14ac:dyDescent="0.25">
      <c r="E1305" s="14"/>
      <c r="F1305" s="68"/>
      <c r="G1305" s="68"/>
    </row>
    <row r="1306" spans="5:7" ht="16.5" customHeight="1" x14ac:dyDescent="0.25">
      <c r="E1306" s="14"/>
      <c r="F1306" s="68"/>
      <c r="G1306" s="68"/>
    </row>
    <row r="1307" spans="5:7" ht="16.5" customHeight="1" x14ac:dyDescent="0.25">
      <c r="E1307" s="14"/>
      <c r="F1307" s="68"/>
      <c r="G1307" s="68"/>
    </row>
    <row r="1308" spans="5:7" ht="16.5" customHeight="1" x14ac:dyDescent="0.25">
      <c r="E1308" s="14"/>
      <c r="F1308" s="68"/>
      <c r="G1308" s="68"/>
    </row>
    <row r="1309" spans="5:7" ht="16.5" customHeight="1" x14ac:dyDescent="0.25">
      <c r="E1309" s="14"/>
      <c r="F1309" s="68"/>
      <c r="G1309" s="68"/>
    </row>
    <row r="1310" spans="5:7" ht="16.5" customHeight="1" x14ac:dyDescent="0.25">
      <c r="E1310" s="14"/>
      <c r="F1310" s="68"/>
      <c r="G1310" s="68"/>
    </row>
    <row r="1311" spans="5:7" ht="16.5" customHeight="1" x14ac:dyDescent="0.25">
      <c r="E1311" s="14"/>
      <c r="F1311" s="68"/>
      <c r="G1311" s="68"/>
    </row>
    <row r="1312" spans="5:7" ht="16.5" customHeight="1" x14ac:dyDescent="0.25">
      <c r="E1312" s="14"/>
      <c r="F1312" s="68"/>
      <c r="G1312" s="68"/>
    </row>
    <row r="1313" spans="5:7" ht="16.5" customHeight="1" x14ac:dyDescent="0.25">
      <c r="E1313" s="14"/>
      <c r="F1313" s="68"/>
      <c r="G1313" s="68"/>
    </row>
    <row r="1314" spans="5:7" ht="16.5" customHeight="1" x14ac:dyDescent="0.25">
      <c r="E1314" s="14"/>
      <c r="F1314" s="68"/>
      <c r="G1314" s="68"/>
    </row>
    <row r="1315" spans="5:7" ht="16.5" customHeight="1" x14ac:dyDescent="0.25">
      <c r="E1315" s="14"/>
      <c r="F1315" s="68"/>
      <c r="G1315" s="68"/>
    </row>
    <row r="1316" spans="5:7" ht="16.5" customHeight="1" x14ac:dyDescent="0.25">
      <c r="E1316" s="14"/>
      <c r="F1316" s="68"/>
      <c r="G1316" s="68"/>
    </row>
    <row r="1317" spans="5:7" ht="16.5" customHeight="1" x14ac:dyDescent="0.25">
      <c r="E1317" s="14"/>
      <c r="F1317" s="68"/>
      <c r="G1317" s="68"/>
    </row>
    <row r="1318" spans="5:7" ht="16.5" customHeight="1" x14ac:dyDescent="0.25">
      <c r="E1318" s="14"/>
      <c r="F1318" s="68"/>
      <c r="G1318" s="68"/>
    </row>
    <row r="1319" spans="5:7" ht="16.5" customHeight="1" x14ac:dyDescent="0.25">
      <c r="E1319" s="14"/>
      <c r="F1319" s="68"/>
      <c r="G1319" s="68"/>
    </row>
    <row r="1320" spans="5:7" ht="16.5" customHeight="1" x14ac:dyDescent="0.25">
      <c r="E1320" s="14"/>
      <c r="F1320" s="68"/>
      <c r="G1320" s="68"/>
    </row>
    <row r="1321" spans="5:7" ht="16.5" customHeight="1" x14ac:dyDescent="0.25">
      <c r="E1321" s="14"/>
      <c r="F1321" s="68"/>
      <c r="G1321" s="68"/>
    </row>
    <row r="1322" spans="5:7" ht="16.5" customHeight="1" x14ac:dyDescent="0.25">
      <c r="E1322" s="14"/>
      <c r="F1322" s="68"/>
      <c r="G1322" s="68"/>
    </row>
    <row r="1323" spans="5:7" ht="16.5" customHeight="1" x14ac:dyDescent="0.25">
      <c r="E1323" s="14"/>
      <c r="F1323" s="68"/>
      <c r="G1323" s="68"/>
    </row>
    <row r="1324" spans="5:7" ht="16.5" customHeight="1" x14ac:dyDescent="0.25">
      <c r="E1324" s="14"/>
      <c r="F1324" s="68"/>
      <c r="G1324" s="68"/>
    </row>
    <row r="1325" spans="5:7" ht="16.5" customHeight="1" x14ac:dyDescent="0.25">
      <c r="E1325" s="14"/>
      <c r="F1325" s="68"/>
      <c r="G1325" s="68"/>
    </row>
    <row r="1326" spans="5:7" ht="16.5" customHeight="1" x14ac:dyDescent="0.25">
      <c r="E1326" s="14"/>
      <c r="F1326" s="68"/>
      <c r="G1326" s="68"/>
    </row>
    <row r="1327" spans="5:7" ht="16.5" customHeight="1" x14ac:dyDescent="0.25">
      <c r="E1327" s="14"/>
      <c r="F1327" s="68"/>
      <c r="G1327" s="68"/>
    </row>
    <row r="1328" spans="5:7" ht="16.5" customHeight="1" x14ac:dyDescent="0.25">
      <c r="E1328" s="14"/>
      <c r="F1328" s="68"/>
      <c r="G1328" s="68"/>
    </row>
    <row r="1329" spans="5:7" ht="16.5" customHeight="1" x14ac:dyDescent="0.25">
      <c r="E1329" s="14"/>
      <c r="F1329" s="68"/>
      <c r="G1329" s="68"/>
    </row>
    <row r="1330" spans="5:7" ht="16.5" customHeight="1" x14ac:dyDescent="0.25">
      <c r="E1330" s="14"/>
      <c r="F1330" s="68"/>
      <c r="G1330" s="68"/>
    </row>
    <row r="1331" spans="5:7" ht="16.5" customHeight="1" x14ac:dyDescent="0.25">
      <c r="E1331" s="14"/>
      <c r="F1331" s="68"/>
      <c r="G1331" s="68"/>
    </row>
    <row r="1332" spans="5:7" ht="16.5" customHeight="1" x14ac:dyDescent="0.25">
      <c r="E1332" s="14"/>
      <c r="F1332" s="68"/>
      <c r="G1332" s="68"/>
    </row>
    <row r="1333" spans="5:7" ht="16.5" customHeight="1" x14ac:dyDescent="0.25">
      <c r="E1333" s="14"/>
      <c r="F1333" s="68"/>
      <c r="G1333" s="68"/>
    </row>
    <row r="1334" spans="5:7" ht="16.5" customHeight="1" x14ac:dyDescent="0.25">
      <c r="E1334" s="14"/>
      <c r="F1334" s="68"/>
      <c r="G1334" s="68"/>
    </row>
    <row r="1335" spans="5:7" ht="16.5" customHeight="1" x14ac:dyDescent="0.25">
      <c r="E1335" s="14"/>
      <c r="F1335" s="68"/>
      <c r="G1335" s="68"/>
    </row>
    <row r="1336" spans="5:7" ht="16.5" customHeight="1" x14ac:dyDescent="0.25">
      <c r="E1336" s="14"/>
      <c r="F1336" s="68"/>
      <c r="G1336" s="68"/>
    </row>
    <row r="1337" spans="5:7" ht="16.5" customHeight="1" x14ac:dyDescent="0.25">
      <c r="E1337" s="14"/>
      <c r="F1337" s="68"/>
      <c r="G1337" s="68"/>
    </row>
    <row r="1338" spans="5:7" ht="16.5" customHeight="1" x14ac:dyDescent="0.25">
      <c r="E1338" s="14"/>
      <c r="F1338" s="68"/>
      <c r="G1338" s="68"/>
    </row>
    <row r="1339" spans="5:7" ht="16.5" customHeight="1" x14ac:dyDescent="0.25">
      <c r="E1339" s="14"/>
      <c r="F1339" s="68"/>
      <c r="G1339" s="68"/>
    </row>
    <row r="1340" spans="5:7" ht="16.5" customHeight="1" x14ac:dyDescent="0.25">
      <c r="E1340" s="14"/>
      <c r="F1340" s="68"/>
      <c r="G1340" s="68"/>
    </row>
    <row r="1341" spans="5:7" ht="16.5" customHeight="1" x14ac:dyDescent="0.25">
      <c r="E1341" s="14"/>
      <c r="F1341" s="68"/>
      <c r="G1341" s="68"/>
    </row>
    <row r="1342" spans="5:7" ht="16.5" customHeight="1" x14ac:dyDescent="0.25">
      <c r="E1342" s="14"/>
      <c r="F1342" s="68"/>
      <c r="G1342" s="68"/>
    </row>
    <row r="1343" spans="5:7" ht="16.5" customHeight="1" x14ac:dyDescent="0.25">
      <c r="E1343" s="14"/>
      <c r="F1343" s="68"/>
      <c r="G1343" s="68"/>
    </row>
    <row r="1344" spans="5:7" ht="16.5" customHeight="1" x14ac:dyDescent="0.25">
      <c r="E1344" s="14"/>
      <c r="F1344" s="68"/>
      <c r="G1344" s="68"/>
    </row>
    <row r="1345" spans="5:7" ht="16.5" customHeight="1" x14ac:dyDescent="0.25">
      <c r="E1345" s="14"/>
      <c r="F1345" s="68"/>
      <c r="G1345" s="68"/>
    </row>
    <row r="1346" spans="5:7" ht="16.5" customHeight="1" x14ac:dyDescent="0.25">
      <c r="E1346" s="14"/>
      <c r="F1346" s="68"/>
      <c r="G1346" s="68"/>
    </row>
    <row r="1347" spans="5:7" ht="16.5" customHeight="1" x14ac:dyDescent="0.25">
      <c r="E1347" s="14"/>
      <c r="F1347" s="68"/>
      <c r="G1347" s="68"/>
    </row>
    <row r="1348" spans="5:7" ht="16.5" customHeight="1" x14ac:dyDescent="0.25">
      <c r="E1348" s="14"/>
      <c r="F1348" s="68"/>
      <c r="G1348" s="68"/>
    </row>
    <row r="1349" spans="5:7" ht="16.5" customHeight="1" x14ac:dyDescent="0.25">
      <c r="E1349" s="14"/>
      <c r="F1349" s="68"/>
      <c r="G1349" s="68"/>
    </row>
    <row r="1350" spans="5:7" ht="16.5" customHeight="1" x14ac:dyDescent="0.25">
      <c r="E1350" s="14"/>
      <c r="F1350" s="68"/>
      <c r="G1350" s="68"/>
    </row>
    <row r="1351" spans="5:7" ht="16.5" customHeight="1" x14ac:dyDescent="0.25">
      <c r="E1351" s="14"/>
      <c r="F1351" s="68"/>
      <c r="G1351" s="68"/>
    </row>
    <row r="1352" spans="5:7" ht="16.5" customHeight="1" x14ac:dyDescent="0.25">
      <c r="E1352" s="14"/>
      <c r="F1352" s="68"/>
      <c r="G1352" s="68"/>
    </row>
    <row r="1353" spans="5:7" ht="16.5" customHeight="1" x14ac:dyDescent="0.25">
      <c r="E1353" s="14"/>
      <c r="F1353" s="68"/>
      <c r="G1353" s="68"/>
    </row>
    <row r="1354" spans="5:7" ht="16.5" customHeight="1" x14ac:dyDescent="0.25">
      <c r="E1354" s="14"/>
      <c r="F1354" s="68"/>
      <c r="G1354" s="68"/>
    </row>
    <row r="1355" spans="5:7" ht="16.5" customHeight="1" x14ac:dyDescent="0.25">
      <c r="E1355" s="14"/>
      <c r="F1355" s="68"/>
      <c r="G1355" s="68"/>
    </row>
    <row r="1356" spans="5:7" ht="16.5" customHeight="1" x14ac:dyDescent="0.25">
      <c r="E1356" s="14"/>
      <c r="F1356" s="68"/>
      <c r="G1356" s="68"/>
    </row>
    <row r="1357" spans="5:7" ht="16.5" customHeight="1" x14ac:dyDescent="0.25">
      <c r="E1357" s="14"/>
      <c r="F1357" s="68"/>
      <c r="G1357" s="68"/>
    </row>
    <row r="1358" spans="5:7" ht="16.5" customHeight="1" x14ac:dyDescent="0.25">
      <c r="E1358" s="14"/>
      <c r="F1358" s="68"/>
      <c r="G1358" s="68"/>
    </row>
    <row r="1359" spans="5:7" ht="16.5" customHeight="1" x14ac:dyDescent="0.25">
      <c r="E1359" s="14"/>
      <c r="F1359" s="68"/>
      <c r="G1359" s="68"/>
    </row>
    <row r="1360" spans="5:7" ht="16.5" customHeight="1" x14ac:dyDescent="0.25">
      <c r="E1360" s="14"/>
      <c r="F1360" s="68"/>
      <c r="G1360" s="68"/>
    </row>
    <row r="1361" spans="5:7" ht="16.5" customHeight="1" x14ac:dyDescent="0.25">
      <c r="E1361" s="14"/>
      <c r="F1361" s="68"/>
      <c r="G1361" s="68"/>
    </row>
    <row r="1362" spans="5:7" ht="16.5" customHeight="1" x14ac:dyDescent="0.25">
      <c r="E1362" s="14"/>
      <c r="F1362" s="68"/>
      <c r="G1362" s="68"/>
    </row>
    <row r="1363" spans="5:7" ht="16.5" customHeight="1" x14ac:dyDescent="0.25">
      <c r="E1363" s="14"/>
      <c r="F1363" s="68"/>
      <c r="G1363" s="68"/>
    </row>
    <row r="1364" spans="5:7" ht="16.5" customHeight="1" x14ac:dyDescent="0.25">
      <c r="E1364" s="14"/>
      <c r="F1364" s="68"/>
      <c r="G1364" s="68"/>
    </row>
    <row r="1365" spans="5:7" ht="16.5" customHeight="1" x14ac:dyDescent="0.25">
      <c r="E1365" s="14"/>
      <c r="F1365" s="68"/>
      <c r="G1365" s="68"/>
    </row>
    <row r="1366" spans="5:7" ht="16.5" customHeight="1" x14ac:dyDescent="0.25">
      <c r="E1366" s="14"/>
      <c r="F1366" s="68"/>
      <c r="G1366" s="68"/>
    </row>
    <row r="1367" spans="5:7" ht="16.5" customHeight="1" x14ac:dyDescent="0.25">
      <c r="E1367" s="14"/>
      <c r="F1367" s="68"/>
      <c r="G1367" s="68"/>
    </row>
    <row r="1368" spans="5:7" ht="16.5" customHeight="1" x14ac:dyDescent="0.25">
      <c r="E1368" s="14"/>
      <c r="F1368" s="68"/>
      <c r="G1368" s="68"/>
    </row>
    <row r="1369" spans="5:7" ht="16.5" customHeight="1" x14ac:dyDescent="0.25">
      <c r="E1369" s="14"/>
      <c r="F1369" s="68"/>
      <c r="G1369" s="68"/>
    </row>
    <row r="1370" spans="5:7" ht="16.5" customHeight="1" x14ac:dyDescent="0.25">
      <c r="E1370" s="14"/>
      <c r="F1370" s="68"/>
      <c r="G1370" s="68"/>
    </row>
    <row r="1371" spans="5:7" ht="16.5" customHeight="1" x14ac:dyDescent="0.25">
      <c r="E1371" s="14"/>
      <c r="F1371" s="68"/>
      <c r="G1371" s="68"/>
    </row>
    <row r="1372" spans="5:7" ht="16.5" customHeight="1" x14ac:dyDescent="0.25">
      <c r="E1372" s="14"/>
      <c r="F1372" s="68"/>
      <c r="G1372" s="68"/>
    </row>
    <row r="1373" spans="5:7" ht="16.5" customHeight="1" x14ac:dyDescent="0.25">
      <c r="E1373" s="14"/>
      <c r="F1373" s="68"/>
      <c r="G1373" s="68"/>
    </row>
    <row r="1374" spans="5:7" ht="16.5" customHeight="1" x14ac:dyDescent="0.25">
      <c r="E1374" s="14"/>
      <c r="F1374" s="68"/>
      <c r="G1374" s="68"/>
    </row>
    <row r="1375" spans="5:7" ht="16.5" customHeight="1" x14ac:dyDescent="0.25">
      <c r="E1375" s="14"/>
      <c r="F1375" s="68"/>
      <c r="G1375" s="68"/>
    </row>
    <row r="1376" spans="5:7" ht="16.5" customHeight="1" x14ac:dyDescent="0.25">
      <c r="E1376" s="14"/>
      <c r="F1376" s="68"/>
      <c r="G1376" s="68"/>
    </row>
    <row r="1377" spans="5:7" ht="16.5" customHeight="1" x14ac:dyDescent="0.25">
      <c r="E1377" s="14"/>
      <c r="F1377" s="68"/>
      <c r="G1377" s="68"/>
    </row>
    <row r="1378" spans="5:7" ht="16.5" customHeight="1" x14ac:dyDescent="0.25">
      <c r="E1378" s="14"/>
      <c r="F1378" s="68"/>
      <c r="G1378" s="68"/>
    </row>
    <row r="1379" spans="5:7" ht="16.5" customHeight="1" x14ac:dyDescent="0.25">
      <c r="E1379" s="14"/>
      <c r="F1379" s="68"/>
      <c r="G1379" s="68"/>
    </row>
    <row r="1380" spans="5:7" ht="16.5" customHeight="1" x14ac:dyDescent="0.25">
      <c r="E1380" s="14"/>
      <c r="F1380" s="68"/>
      <c r="G1380" s="68"/>
    </row>
    <row r="1381" spans="5:7" ht="16.5" customHeight="1" x14ac:dyDescent="0.25">
      <c r="E1381" s="14"/>
      <c r="F1381" s="68"/>
      <c r="G1381" s="68"/>
    </row>
    <row r="1382" spans="5:7" ht="16.5" customHeight="1" x14ac:dyDescent="0.25">
      <c r="E1382" s="14"/>
      <c r="F1382" s="68"/>
      <c r="G1382" s="68"/>
    </row>
    <row r="1383" spans="5:7" ht="16.5" customHeight="1" x14ac:dyDescent="0.25">
      <c r="E1383" s="14"/>
      <c r="F1383" s="68"/>
      <c r="G1383" s="68"/>
    </row>
    <row r="1384" spans="5:7" ht="16.5" customHeight="1" x14ac:dyDescent="0.25">
      <c r="E1384" s="14"/>
      <c r="F1384" s="68"/>
      <c r="G1384" s="68"/>
    </row>
    <row r="1385" spans="5:7" ht="16.5" customHeight="1" x14ac:dyDescent="0.25">
      <c r="E1385" s="14"/>
      <c r="F1385" s="68"/>
      <c r="G1385" s="68"/>
    </row>
    <row r="1386" spans="5:7" ht="16.5" customHeight="1" x14ac:dyDescent="0.25">
      <c r="E1386" s="14"/>
      <c r="F1386" s="68"/>
      <c r="G1386" s="68"/>
    </row>
    <row r="1387" spans="5:7" ht="16.5" customHeight="1" x14ac:dyDescent="0.25">
      <c r="E1387" s="14"/>
      <c r="F1387" s="68"/>
      <c r="G1387" s="68"/>
    </row>
    <row r="1388" spans="5:7" ht="16.5" customHeight="1" x14ac:dyDescent="0.25">
      <c r="E1388" s="14"/>
      <c r="F1388" s="68"/>
      <c r="G1388" s="68"/>
    </row>
    <row r="1389" spans="5:7" ht="16.5" customHeight="1" x14ac:dyDescent="0.25">
      <c r="E1389" s="14"/>
      <c r="F1389" s="68"/>
      <c r="G1389" s="68"/>
    </row>
    <row r="1390" spans="5:7" ht="16.5" customHeight="1" x14ac:dyDescent="0.25">
      <c r="E1390" s="14"/>
      <c r="F1390" s="68"/>
      <c r="G1390" s="68"/>
    </row>
    <row r="1391" spans="5:7" ht="16.5" customHeight="1" x14ac:dyDescent="0.25">
      <c r="E1391" s="14"/>
      <c r="F1391" s="68"/>
      <c r="G1391" s="68"/>
    </row>
    <row r="1392" spans="5:7" ht="16.5" customHeight="1" x14ac:dyDescent="0.25">
      <c r="E1392" s="14"/>
      <c r="F1392" s="68"/>
      <c r="G1392" s="68"/>
    </row>
    <row r="1393" spans="5:7" ht="16.5" customHeight="1" x14ac:dyDescent="0.25">
      <c r="E1393" s="14"/>
      <c r="F1393" s="68"/>
      <c r="G1393" s="68"/>
    </row>
    <row r="1394" spans="5:7" ht="16.5" customHeight="1" x14ac:dyDescent="0.25">
      <c r="E1394" s="14"/>
      <c r="F1394" s="68"/>
      <c r="G1394" s="68"/>
    </row>
    <row r="1395" spans="5:7" ht="16.5" customHeight="1" x14ac:dyDescent="0.25">
      <c r="E1395" s="14"/>
      <c r="F1395" s="68"/>
      <c r="G1395" s="68"/>
    </row>
    <row r="1396" spans="5:7" ht="16.5" customHeight="1" x14ac:dyDescent="0.25">
      <c r="E1396" s="14"/>
      <c r="F1396" s="68"/>
      <c r="G1396" s="68"/>
    </row>
    <row r="1397" spans="5:7" ht="16.5" customHeight="1" x14ac:dyDescent="0.25">
      <c r="E1397" s="14"/>
      <c r="F1397" s="68"/>
      <c r="G1397" s="68"/>
    </row>
    <row r="1398" spans="5:7" ht="16.5" customHeight="1" x14ac:dyDescent="0.25">
      <c r="E1398" s="14"/>
      <c r="F1398" s="68"/>
      <c r="G1398" s="68"/>
    </row>
    <row r="1399" spans="5:7" ht="16.5" customHeight="1" x14ac:dyDescent="0.25">
      <c r="E1399" s="14"/>
      <c r="F1399" s="68"/>
      <c r="G1399" s="68"/>
    </row>
    <row r="1400" spans="5:7" ht="16.5" customHeight="1" x14ac:dyDescent="0.25">
      <c r="E1400" s="14"/>
      <c r="F1400" s="68"/>
      <c r="G1400" s="68"/>
    </row>
    <row r="1401" spans="5:7" ht="16.5" customHeight="1" x14ac:dyDescent="0.25">
      <c r="E1401" s="14"/>
      <c r="F1401" s="68"/>
      <c r="G1401" s="68"/>
    </row>
    <row r="1402" spans="5:7" ht="16.5" customHeight="1" x14ac:dyDescent="0.25">
      <c r="E1402" s="14"/>
      <c r="F1402" s="68"/>
      <c r="G1402" s="68"/>
    </row>
    <row r="1403" spans="5:7" ht="16.5" customHeight="1" x14ac:dyDescent="0.25">
      <c r="E1403" s="14"/>
      <c r="F1403" s="68"/>
      <c r="G1403" s="68"/>
    </row>
    <row r="1404" spans="5:7" ht="16.5" customHeight="1" x14ac:dyDescent="0.25">
      <c r="E1404" s="14"/>
      <c r="F1404" s="68"/>
      <c r="G1404" s="68"/>
    </row>
    <row r="1405" spans="5:7" ht="16.5" customHeight="1" x14ac:dyDescent="0.25">
      <c r="E1405" s="14"/>
      <c r="F1405" s="68"/>
      <c r="G1405" s="68"/>
    </row>
    <row r="1406" spans="5:7" ht="16.5" customHeight="1" x14ac:dyDescent="0.25">
      <c r="E1406" s="14"/>
      <c r="F1406" s="68"/>
      <c r="G1406" s="68"/>
    </row>
    <row r="1407" spans="5:7" ht="16.5" customHeight="1" x14ac:dyDescent="0.25">
      <c r="E1407" s="14"/>
      <c r="F1407" s="68"/>
      <c r="G1407" s="68"/>
    </row>
    <row r="1408" spans="5:7" ht="16.5" customHeight="1" x14ac:dyDescent="0.25">
      <c r="E1408" s="14"/>
      <c r="F1408" s="68"/>
      <c r="G1408" s="68"/>
    </row>
    <row r="1409" spans="5:7" ht="16.5" customHeight="1" x14ac:dyDescent="0.25">
      <c r="E1409" s="14"/>
      <c r="F1409" s="68"/>
      <c r="G1409" s="68"/>
    </row>
    <row r="1410" spans="5:7" ht="16.5" customHeight="1" x14ac:dyDescent="0.25">
      <c r="E1410" s="14"/>
      <c r="F1410" s="68"/>
      <c r="G1410" s="68"/>
    </row>
    <row r="1411" spans="5:7" ht="16.5" customHeight="1" x14ac:dyDescent="0.25">
      <c r="E1411" s="14"/>
      <c r="F1411" s="68"/>
      <c r="G1411" s="68"/>
    </row>
    <row r="1412" spans="5:7" ht="16.5" customHeight="1" x14ac:dyDescent="0.25">
      <c r="E1412" s="14"/>
      <c r="F1412" s="68"/>
      <c r="G1412" s="68"/>
    </row>
    <row r="1413" spans="5:7" ht="16.5" customHeight="1" x14ac:dyDescent="0.25">
      <c r="E1413" s="14"/>
      <c r="F1413" s="68"/>
      <c r="G1413" s="68"/>
    </row>
    <row r="1414" spans="5:7" ht="16.5" customHeight="1" x14ac:dyDescent="0.25">
      <c r="E1414" s="14"/>
      <c r="F1414" s="68"/>
      <c r="G1414" s="68"/>
    </row>
    <row r="1415" spans="5:7" ht="16.5" customHeight="1" x14ac:dyDescent="0.25">
      <c r="E1415" s="14"/>
      <c r="F1415" s="68"/>
      <c r="G1415" s="68"/>
    </row>
    <row r="1416" spans="5:7" ht="16.5" customHeight="1" x14ac:dyDescent="0.25">
      <c r="E1416" s="14"/>
      <c r="F1416" s="68"/>
      <c r="G1416" s="68"/>
    </row>
    <row r="1417" spans="5:7" ht="16.5" customHeight="1" x14ac:dyDescent="0.25">
      <c r="E1417" s="14"/>
      <c r="F1417" s="68"/>
      <c r="G1417" s="68"/>
    </row>
    <row r="1418" spans="5:7" ht="16.5" customHeight="1" x14ac:dyDescent="0.25">
      <c r="E1418" s="14"/>
      <c r="F1418" s="68"/>
      <c r="G1418" s="68"/>
    </row>
    <row r="1419" spans="5:7" ht="16.5" customHeight="1" x14ac:dyDescent="0.25">
      <c r="E1419" s="14"/>
      <c r="F1419" s="68"/>
      <c r="G1419" s="68"/>
    </row>
    <row r="1420" spans="5:7" ht="16.5" customHeight="1" x14ac:dyDescent="0.25">
      <c r="E1420" s="14"/>
      <c r="F1420" s="68"/>
      <c r="G1420" s="68"/>
    </row>
    <row r="1421" spans="5:7" ht="16.5" customHeight="1" x14ac:dyDescent="0.25">
      <c r="E1421" s="14"/>
      <c r="F1421" s="68"/>
      <c r="G1421" s="68"/>
    </row>
    <row r="1422" spans="5:7" ht="16.5" customHeight="1" x14ac:dyDescent="0.25">
      <c r="E1422" s="14"/>
      <c r="F1422" s="68"/>
      <c r="G1422" s="68"/>
    </row>
    <row r="1423" spans="5:7" ht="16.5" customHeight="1" x14ac:dyDescent="0.25">
      <c r="E1423" s="14"/>
      <c r="F1423" s="68"/>
      <c r="G1423" s="68"/>
    </row>
    <row r="1424" spans="5:7" ht="16.5" customHeight="1" x14ac:dyDescent="0.25">
      <c r="E1424" s="14"/>
      <c r="F1424" s="68"/>
      <c r="G1424" s="68"/>
    </row>
    <row r="1425" spans="5:7" ht="16.5" customHeight="1" x14ac:dyDescent="0.25">
      <c r="E1425" s="14"/>
      <c r="F1425" s="68"/>
      <c r="G1425" s="68"/>
    </row>
    <row r="1426" spans="5:7" ht="16.5" customHeight="1" x14ac:dyDescent="0.25">
      <c r="E1426" s="14"/>
      <c r="F1426" s="68"/>
      <c r="G1426" s="68"/>
    </row>
    <row r="1427" spans="5:7" ht="16.5" customHeight="1" x14ac:dyDescent="0.25">
      <c r="E1427" s="14"/>
      <c r="F1427" s="68"/>
      <c r="G1427" s="68"/>
    </row>
    <row r="1428" spans="5:7" ht="16.5" customHeight="1" x14ac:dyDescent="0.25">
      <c r="E1428" s="14"/>
      <c r="F1428" s="68"/>
      <c r="G1428" s="68"/>
    </row>
    <row r="1429" spans="5:7" ht="16.5" customHeight="1" x14ac:dyDescent="0.25">
      <c r="E1429" s="14"/>
      <c r="F1429" s="68"/>
      <c r="G1429" s="68"/>
    </row>
    <row r="1430" spans="5:7" ht="16.5" customHeight="1" x14ac:dyDescent="0.25">
      <c r="E1430" s="14"/>
      <c r="F1430" s="68"/>
      <c r="G1430" s="68"/>
    </row>
    <row r="1431" spans="5:7" ht="16.5" customHeight="1" x14ac:dyDescent="0.25">
      <c r="E1431" s="14"/>
      <c r="F1431" s="68"/>
      <c r="G1431" s="68"/>
    </row>
    <row r="1432" spans="5:7" ht="16.5" customHeight="1" x14ac:dyDescent="0.25">
      <c r="E1432" s="14"/>
      <c r="F1432" s="68"/>
      <c r="G1432" s="68"/>
    </row>
    <row r="1433" spans="5:7" ht="16.5" customHeight="1" x14ac:dyDescent="0.25">
      <c r="E1433" s="14"/>
      <c r="F1433" s="68"/>
      <c r="G1433" s="68"/>
    </row>
    <row r="1434" spans="5:7" ht="16.5" customHeight="1" x14ac:dyDescent="0.25">
      <c r="E1434" s="14"/>
      <c r="F1434" s="68"/>
      <c r="G1434" s="68"/>
    </row>
    <row r="1435" spans="5:7" ht="16.5" customHeight="1" x14ac:dyDescent="0.25">
      <c r="E1435" s="14"/>
      <c r="F1435" s="68"/>
      <c r="G1435" s="68"/>
    </row>
    <row r="1436" spans="5:7" ht="16.5" customHeight="1" x14ac:dyDescent="0.25">
      <c r="E1436" s="14"/>
      <c r="F1436" s="68"/>
      <c r="G1436" s="68"/>
    </row>
    <row r="1437" spans="5:7" ht="16.5" customHeight="1" x14ac:dyDescent="0.25">
      <c r="E1437" s="14"/>
      <c r="F1437" s="68"/>
      <c r="G1437" s="68"/>
    </row>
    <row r="1438" spans="5:7" ht="16.5" customHeight="1" x14ac:dyDescent="0.25">
      <c r="E1438" s="14"/>
      <c r="F1438" s="68"/>
      <c r="G1438" s="68"/>
    </row>
    <row r="1439" spans="5:7" ht="16.5" customHeight="1" x14ac:dyDescent="0.25">
      <c r="E1439" s="14"/>
      <c r="F1439" s="68"/>
      <c r="G1439" s="68"/>
    </row>
    <row r="1440" spans="5:7" ht="16.5" customHeight="1" x14ac:dyDescent="0.25">
      <c r="E1440" s="14"/>
      <c r="F1440" s="68"/>
      <c r="G1440" s="68"/>
    </row>
    <row r="1441" spans="5:7" ht="16.5" customHeight="1" x14ac:dyDescent="0.25">
      <c r="E1441" s="14"/>
      <c r="F1441" s="68"/>
      <c r="G1441" s="68"/>
    </row>
    <row r="1442" spans="5:7" ht="16.5" customHeight="1" x14ac:dyDescent="0.25">
      <c r="E1442" s="14"/>
      <c r="F1442" s="68"/>
      <c r="G1442" s="68"/>
    </row>
    <row r="1443" spans="5:7" ht="16.5" customHeight="1" x14ac:dyDescent="0.25">
      <c r="E1443" s="14"/>
      <c r="F1443" s="68"/>
      <c r="G1443" s="68"/>
    </row>
    <row r="1444" spans="5:7" ht="16.5" customHeight="1" x14ac:dyDescent="0.25">
      <c r="E1444" s="14"/>
      <c r="F1444" s="68"/>
      <c r="G1444" s="68"/>
    </row>
    <row r="1445" spans="5:7" ht="16.5" customHeight="1" x14ac:dyDescent="0.25">
      <c r="E1445" s="14"/>
      <c r="F1445" s="68"/>
      <c r="G1445" s="68"/>
    </row>
    <row r="1446" spans="5:7" ht="16.5" customHeight="1" x14ac:dyDescent="0.25">
      <c r="E1446" s="14"/>
      <c r="F1446" s="68"/>
      <c r="G1446" s="68"/>
    </row>
    <row r="1447" spans="5:7" ht="16.5" customHeight="1" x14ac:dyDescent="0.25">
      <c r="E1447" s="14"/>
      <c r="F1447" s="68"/>
      <c r="G1447" s="68"/>
    </row>
    <row r="1448" spans="5:7" ht="16.5" customHeight="1" x14ac:dyDescent="0.25">
      <c r="E1448" s="14"/>
      <c r="F1448" s="68"/>
      <c r="G1448" s="68"/>
    </row>
    <row r="1449" spans="5:7" ht="16.5" customHeight="1" x14ac:dyDescent="0.25">
      <c r="E1449" s="14"/>
      <c r="F1449" s="68"/>
      <c r="G1449" s="68"/>
    </row>
    <row r="1450" spans="5:7" ht="16.5" customHeight="1" x14ac:dyDescent="0.25">
      <c r="E1450" s="14"/>
      <c r="F1450" s="68"/>
      <c r="G1450" s="68"/>
    </row>
    <row r="1451" spans="5:7" ht="16.5" customHeight="1" x14ac:dyDescent="0.25">
      <c r="E1451" s="14"/>
      <c r="F1451" s="68"/>
      <c r="G1451" s="68"/>
    </row>
    <row r="1452" spans="5:7" ht="16.5" customHeight="1" x14ac:dyDescent="0.25">
      <c r="E1452" s="14"/>
      <c r="F1452" s="68"/>
      <c r="G1452" s="68"/>
    </row>
    <row r="1453" spans="5:7" ht="16.5" customHeight="1" x14ac:dyDescent="0.25">
      <c r="E1453" s="14"/>
      <c r="F1453" s="68"/>
      <c r="G1453" s="68"/>
    </row>
    <row r="1454" spans="5:7" ht="16.5" customHeight="1" x14ac:dyDescent="0.25">
      <c r="E1454" s="14"/>
      <c r="F1454" s="68"/>
      <c r="G1454" s="68"/>
    </row>
    <row r="1455" spans="5:7" ht="16.5" customHeight="1" x14ac:dyDescent="0.25">
      <c r="E1455" s="14"/>
      <c r="F1455" s="68"/>
      <c r="G1455" s="68"/>
    </row>
    <row r="1456" spans="5:7" ht="16.5" customHeight="1" x14ac:dyDescent="0.25">
      <c r="E1456" s="14"/>
      <c r="F1456" s="68"/>
      <c r="G1456" s="68"/>
    </row>
    <row r="1457" spans="5:7" ht="16.5" customHeight="1" x14ac:dyDescent="0.25">
      <c r="E1457" s="14"/>
      <c r="F1457" s="68"/>
      <c r="G1457" s="68"/>
    </row>
    <row r="1458" spans="5:7" ht="16.5" customHeight="1" x14ac:dyDescent="0.25">
      <c r="E1458" s="14"/>
      <c r="F1458" s="68"/>
      <c r="G1458" s="68"/>
    </row>
    <row r="1459" spans="5:7" ht="16.5" customHeight="1" x14ac:dyDescent="0.25">
      <c r="E1459" s="14"/>
      <c r="F1459" s="68"/>
      <c r="G1459" s="68"/>
    </row>
    <row r="1460" spans="5:7" ht="16.5" customHeight="1" x14ac:dyDescent="0.25">
      <c r="E1460" s="14"/>
      <c r="F1460" s="68"/>
      <c r="G1460" s="68"/>
    </row>
    <row r="1461" spans="5:7" ht="16.5" customHeight="1" x14ac:dyDescent="0.25">
      <c r="E1461" s="14"/>
      <c r="F1461" s="68"/>
      <c r="G1461" s="68"/>
    </row>
    <row r="1462" spans="5:7" ht="16.5" customHeight="1" x14ac:dyDescent="0.25">
      <c r="E1462" s="14"/>
      <c r="F1462" s="68"/>
      <c r="G1462" s="68"/>
    </row>
    <row r="1463" spans="5:7" ht="16.5" customHeight="1" x14ac:dyDescent="0.25">
      <c r="E1463" s="14"/>
      <c r="F1463" s="68"/>
      <c r="G1463" s="68"/>
    </row>
    <row r="1464" spans="5:7" ht="16.5" customHeight="1" x14ac:dyDescent="0.25">
      <c r="E1464" s="14"/>
      <c r="F1464" s="68"/>
      <c r="G1464" s="68"/>
    </row>
    <row r="1465" spans="5:7" ht="16.5" customHeight="1" x14ac:dyDescent="0.25">
      <c r="E1465" s="14"/>
      <c r="F1465" s="68"/>
      <c r="G1465" s="68"/>
    </row>
    <row r="1466" spans="5:7" ht="16.5" customHeight="1" x14ac:dyDescent="0.25">
      <c r="E1466" s="14"/>
      <c r="F1466" s="68"/>
      <c r="G1466" s="68"/>
    </row>
    <row r="1467" spans="5:7" ht="16.5" customHeight="1" x14ac:dyDescent="0.25">
      <c r="E1467" s="14"/>
      <c r="F1467" s="68"/>
      <c r="G1467" s="68"/>
    </row>
    <row r="1468" spans="5:7" ht="16.5" customHeight="1" x14ac:dyDescent="0.25">
      <c r="E1468" s="14"/>
      <c r="F1468" s="68"/>
      <c r="G1468" s="68"/>
    </row>
    <row r="1469" spans="5:7" ht="16.5" customHeight="1" x14ac:dyDescent="0.25">
      <c r="E1469" s="14"/>
      <c r="F1469" s="68"/>
      <c r="G1469" s="68"/>
    </row>
    <row r="1470" spans="5:7" ht="16.5" customHeight="1" x14ac:dyDescent="0.25">
      <c r="E1470" s="14"/>
      <c r="F1470" s="68"/>
      <c r="G1470" s="68"/>
    </row>
    <row r="1471" spans="5:7" ht="16.5" customHeight="1" x14ac:dyDescent="0.25">
      <c r="E1471" s="14"/>
      <c r="F1471" s="68"/>
      <c r="G1471" s="68"/>
    </row>
    <row r="1472" spans="5:7" ht="16.5" customHeight="1" x14ac:dyDescent="0.25">
      <c r="E1472" s="14"/>
      <c r="F1472" s="68"/>
      <c r="G1472" s="68"/>
    </row>
    <row r="1473" spans="5:7" ht="16.5" customHeight="1" x14ac:dyDescent="0.25">
      <c r="E1473" s="14"/>
      <c r="F1473" s="68"/>
      <c r="G1473" s="68"/>
    </row>
    <row r="1474" spans="5:7" ht="16.5" customHeight="1" x14ac:dyDescent="0.25">
      <c r="E1474" s="14"/>
      <c r="F1474" s="68"/>
      <c r="G1474" s="68"/>
    </row>
    <row r="1475" spans="5:7" ht="16.5" customHeight="1" x14ac:dyDescent="0.25">
      <c r="E1475" s="14"/>
      <c r="F1475" s="68"/>
      <c r="G1475" s="68"/>
    </row>
    <row r="1476" spans="5:7" ht="16.5" customHeight="1" x14ac:dyDescent="0.25">
      <c r="E1476" s="14"/>
      <c r="F1476" s="68"/>
      <c r="G1476" s="68"/>
    </row>
    <row r="1477" spans="5:7" ht="16.5" customHeight="1" x14ac:dyDescent="0.25">
      <c r="E1477" s="14"/>
      <c r="F1477" s="68"/>
      <c r="G1477" s="68"/>
    </row>
    <row r="1478" spans="5:7" ht="16.5" customHeight="1" x14ac:dyDescent="0.25">
      <c r="E1478" s="14"/>
      <c r="F1478" s="68"/>
      <c r="G1478" s="68"/>
    </row>
    <row r="1479" spans="5:7" ht="16.5" customHeight="1" x14ac:dyDescent="0.25">
      <c r="E1479" s="14"/>
      <c r="F1479" s="68"/>
      <c r="G1479" s="68"/>
    </row>
    <row r="1480" spans="5:7" ht="16.5" customHeight="1" x14ac:dyDescent="0.25">
      <c r="E1480" s="14"/>
      <c r="F1480" s="68"/>
      <c r="G1480" s="68"/>
    </row>
    <row r="1481" spans="5:7" ht="16.5" customHeight="1" x14ac:dyDescent="0.25">
      <c r="E1481" s="14"/>
      <c r="F1481" s="68"/>
      <c r="G1481" s="68"/>
    </row>
    <row r="1482" spans="5:7" ht="16.5" customHeight="1" x14ac:dyDescent="0.25">
      <c r="E1482" s="14"/>
      <c r="F1482" s="68"/>
      <c r="G1482" s="68"/>
    </row>
    <row r="1483" spans="5:7" ht="16.5" customHeight="1" x14ac:dyDescent="0.25">
      <c r="E1483" s="14"/>
      <c r="F1483" s="68"/>
      <c r="G1483" s="68"/>
    </row>
    <row r="1484" spans="5:7" ht="16.5" customHeight="1" x14ac:dyDescent="0.25">
      <c r="E1484" s="14"/>
      <c r="F1484" s="68"/>
      <c r="G1484" s="68"/>
    </row>
    <row r="1485" spans="5:7" ht="16.5" customHeight="1" x14ac:dyDescent="0.25">
      <c r="E1485" s="14"/>
      <c r="F1485" s="68"/>
      <c r="G1485" s="68"/>
    </row>
    <row r="1486" spans="5:7" ht="16.5" customHeight="1" x14ac:dyDescent="0.25">
      <c r="E1486" s="14"/>
      <c r="F1486" s="68"/>
      <c r="G1486" s="68"/>
    </row>
    <row r="1487" spans="5:7" ht="16.5" customHeight="1" x14ac:dyDescent="0.25">
      <c r="E1487" s="14"/>
      <c r="F1487" s="68"/>
      <c r="G1487" s="68"/>
    </row>
    <row r="1488" spans="5:7" ht="16.5" customHeight="1" x14ac:dyDescent="0.25">
      <c r="E1488" s="14"/>
      <c r="F1488" s="68"/>
      <c r="G1488" s="68"/>
    </row>
    <row r="1489" spans="5:7" ht="16.5" customHeight="1" x14ac:dyDescent="0.25">
      <c r="E1489" s="14"/>
      <c r="F1489" s="68"/>
      <c r="G1489" s="68"/>
    </row>
    <row r="1490" spans="5:7" ht="16.5" customHeight="1" x14ac:dyDescent="0.25">
      <c r="E1490" s="14"/>
      <c r="F1490" s="68"/>
      <c r="G1490" s="68"/>
    </row>
    <row r="1491" spans="5:7" ht="16.5" customHeight="1" x14ac:dyDescent="0.25">
      <c r="E1491" s="14"/>
      <c r="F1491" s="68"/>
      <c r="G1491" s="68"/>
    </row>
    <row r="1492" spans="5:7" ht="16.5" customHeight="1" x14ac:dyDescent="0.25">
      <c r="E1492" s="14"/>
      <c r="F1492" s="68"/>
      <c r="G1492" s="68"/>
    </row>
    <row r="1493" spans="5:7" ht="16.5" customHeight="1" x14ac:dyDescent="0.25">
      <c r="E1493" s="14"/>
      <c r="F1493" s="68"/>
      <c r="G1493" s="68"/>
    </row>
    <row r="1494" spans="5:7" ht="16.5" customHeight="1" x14ac:dyDescent="0.25">
      <c r="E1494" s="14"/>
      <c r="F1494" s="68"/>
      <c r="G1494" s="68"/>
    </row>
    <row r="1495" spans="5:7" ht="16.5" customHeight="1" x14ac:dyDescent="0.25">
      <c r="E1495" s="14"/>
      <c r="F1495" s="68"/>
      <c r="G1495" s="68"/>
    </row>
    <row r="1496" spans="5:7" ht="16.5" customHeight="1" x14ac:dyDescent="0.25">
      <c r="E1496" s="14"/>
      <c r="F1496" s="68"/>
      <c r="G1496" s="68"/>
    </row>
    <row r="1497" spans="5:7" ht="16.5" customHeight="1" x14ac:dyDescent="0.25">
      <c r="E1497" s="14"/>
      <c r="F1497" s="68"/>
      <c r="G1497" s="68"/>
    </row>
    <row r="1498" spans="5:7" ht="16.5" customHeight="1" x14ac:dyDescent="0.25">
      <c r="E1498" s="14"/>
      <c r="F1498" s="68"/>
      <c r="G1498" s="68"/>
    </row>
    <row r="1499" spans="5:7" ht="16.5" customHeight="1" x14ac:dyDescent="0.25">
      <c r="E1499" s="14"/>
      <c r="F1499" s="68"/>
      <c r="G1499" s="68"/>
    </row>
    <row r="1500" spans="5:7" ht="16.5" customHeight="1" x14ac:dyDescent="0.25">
      <c r="E1500" s="14"/>
      <c r="F1500" s="68"/>
      <c r="G1500" s="68"/>
    </row>
    <row r="1501" spans="5:7" ht="16.5" customHeight="1" x14ac:dyDescent="0.25">
      <c r="E1501" s="14"/>
      <c r="F1501" s="68"/>
      <c r="G1501" s="68"/>
    </row>
    <row r="1502" spans="5:7" ht="16.5" customHeight="1" x14ac:dyDescent="0.25">
      <c r="E1502" s="14"/>
      <c r="F1502" s="68"/>
      <c r="G1502" s="68"/>
    </row>
    <row r="1503" spans="5:7" ht="16.5" customHeight="1" x14ac:dyDescent="0.25">
      <c r="E1503" s="14"/>
      <c r="F1503" s="68"/>
      <c r="G1503" s="68"/>
    </row>
    <row r="1504" spans="5:7" ht="16.5" customHeight="1" x14ac:dyDescent="0.25">
      <c r="E1504" s="14"/>
      <c r="F1504" s="68"/>
      <c r="G1504" s="68"/>
    </row>
    <row r="1505" spans="5:7" ht="16.5" customHeight="1" x14ac:dyDescent="0.25">
      <c r="E1505" s="14"/>
      <c r="F1505" s="68"/>
      <c r="G1505" s="68"/>
    </row>
    <row r="1506" spans="5:7" ht="16.5" customHeight="1" x14ac:dyDescent="0.25">
      <c r="E1506" s="14"/>
      <c r="F1506" s="68"/>
      <c r="G1506" s="68"/>
    </row>
    <row r="1507" spans="5:7" ht="16.5" customHeight="1" x14ac:dyDescent="0.25">
      <c r="E1507" s="14"/>
      <c r="F1507" s="68"/>
      <c r="G1507" s="68"/>
    </row>
    <row r="1508" spans="5:7" ht="16.5" customHeight="1" x14ac:dyDescent="0.25">
      <c r="E1508" s="14"/>
      <c r="F1508" s="68"/>
      <c r="G1508" s="68"/>
    </row>
    <row r="1509" spans="5:7" ht="16.5" customHeight="1" x14ac:dyDescent="0.25">
      <c r="E1509" s="14"/>
      <c r="F1509" s="68"/>
      <c r="G1509" s="68"/>
    </row>
    <row r="1510" spans="5:7" ht="16.5" customHeight="1" x14ac:dyDescent="0.25">
      <c r="E1510" s="14"/>
      <c r="F1510" s="68"/>
      <c r="G1510" s="68"/>
    </row>
    <row r="1511" spans="5:7" ht="16.5" customHeight="1" x14ac:dyDescent="0.25">
      <c r="E1511" s="14"/>
      <c r="F1511" s="68"/>
      <c r="G1511" s="68"/>
    </row>
    <row r="1512" spans="5:7" ht="16.5" customHeight="1" x14ac:dyDescent="0.25">
      <c r="E1512" s="14"/>
      <c r="F1512" s="68"/>
      <c r="G1512" s="68"/>
    </row>
    <row r="1513" spans="5:7" ht="16.5" customHeight="1" x14ac:dyDescent="0.25">
      <c r="E1513" s="14"/>
      <c r="F1513" s="68"/>
      <c r="G1513" s="68"/>
    </row>
    <row r="1514" spans="5:7" ht="16.5" customHeight="1" x14ac:dyDescent="0.25">
      <c r="E1514" s="14"/>
      <c r="F1514" s="68"/>
      <c r="G1514" s="68"/>
    </row>
    <row r="1515" spans="5:7" ht="16.5" customHeight="1" x14ac:dyDescent="0.25">
      <c r="E1515" s="14"/>
      <c r="F1515" s="68"/>
      <c r="G1515" s="68"/>
    </row>
    <row r="1516" spans="5:7" ht="16.5" customHeight="1" x14ac:dyDescent="0.25">
      <c r="E1516" s="14"/>
      <c r="F1516" s="68"/>
      <c r="G1516" s="68"/>
    </row>
    <row r="1517" spans="5:7" ht="16.5" customHeight="1" x14ac:dyDescent="0.25">
      <c r="E1517" s="14"/>
      <c r="F1517" s="68"/>
      <c r="G1517" s="68"/>
    </row>
    <row r="1518" spans="5:7" ht="16.5" customHeight="1" x14ac:dyDescent="0.25">
      <c r="E1518" s="14"/>
      <c r="F1518" s="68"/>
      <c r="G1518" s="68"/>
    </row>
    <row r="1519" spans="5:7" ht="16.5" customHeight="1" x14ac:dyDescent="0.25">
      <c r="E1519" s="14"/>
      <c r="F1519" s="68"/>
      <c r="G1519" s="68"/>
    </row>
    <row r="1520" spans="5:7" ht="16.5" customHeight="1" x14ac:dyDescent="0.25">
      <c r="E1520" s="14"/>
      <c r="F1520" s="68"/>
      <c r="G1520" s="68"/>
    </row>
    <row r="1521" spans="5:7" ht="16.5" customHeight="1" x14ac:dyDescent="0.25">
      <c r="E1521" s="14"/>
      <c r="F1521" s="68"/>
      <c r="G1521" s="68"/>
    </row>
    <row r="1522" spans="5:7" ht="16.5" customHeight="1" x14ac:dyDescent="0.25">
      <c r="E1522" s="14"/>
      <c r="F1522" s="68"/>
      <c r="G1522" s="68"/>
    </row>
    <row r="1523" spans="5:7" ht="16.5" customHeight="1" x14ac:dyDescent="0.25">
      <c r="E1523" s="14"/>
      <c r="F1523" s="68"/>
      <c r="G1523" s="68"/>
    </row>
    <row r="1524" spans="5:7" ht="16.5" customHeight="1" x14ac:dyDescent="0.25">
      <c r="E1524" s="14"/>
      <c r="F1524" s="68"/>
      <c r="G1524" s="68"/>
    </row>
    <row r="1525" spans="5:7" ht="16.5" customHeight="1" x14ac:dyDescent="0.25">
      <c r="E1525" s="14"/>
      <c r="F1525" s="68"/>
      <c r="G1525" s="68"/>
    </row>
    <row r="1526" spans="5:7" ht="16.5" customHeight="1" x14ac:dyDescent="0.25">
      <c r="E1526" s="14"/>
      <c r="F1526" s="68"/>
      <c r="G1526" s="68"/>
    </row>
    <row r="1527" spans="5:7" ht="16.5" customHeight="1" x14ac:dyDescent="0.25">
      <c r="E1527" s="14"/>
      <c r="F1527" s="68"/>
      <c r="G1527" s="68"/>
    </row>
    <row r="1528" spans="5:7" ht="16.5" customHeight="1" x14ac:dyDescent="0.25">
      <c r="E1528" s="14"/>
      <c r="F1528" s="68"/>
      <c r="G1528" s="68"/>
    </row>
    <row r="1529" spans="5:7" ht="16.5" customHeight="1" x14ac:dyDescent="0.25">
      <c r="E1529" s="14"/>
      <c r="F1529" s="68"/>
      <c r="G1529" s="68"/>
    </row>
    <row r="1530" spans="5:7" ht="16.5" customHeight="1" x14ac:dyDescent="0.25">
      <c r="E1530" s="14"/>
      <c r="F1530" s="68"/>
      <c r="G1530" s="68"/>
    </row>
    <row r="1531" spans="5:7" ht="16.5" customHeight="1" x14ac:dyDescent="0.25">
      <c r="E1531" s="14"/>
      <c r="F1531" s="68"/>
      <c r="G1531" s="68"/>
    </row>
    <row r="1532" spans="5:7" ht="16.5" customHeight="1" x14ac:dyDescent="0.25">
      <c r="E1532" s="14"/>
      <c r="F1532" s="68"/>
      <c r="G1532" s="68"/>
    </row>
    <row r="1533" spans="5:7" ht="16.5" customHeight="1" x14ac:dyDescent="0.25">
      <c r="E1533" s="14"/>
      <c r="F1533" s="68"/>
      <c r="G1533" s="68"/>
    </row>
    <row r="1534" spans="5:7" ht="16.5" customHeight="1" x14ac:dyDescent="0.25">
      <c r="E1534" s="14"/>
      <c r="F1534" s="68"/>
      <c r="G1534" s="68"/>
    </row>
    <row r="1535" spans="5:7" ht="16.5" customHeight="1" x14ac:dyDescent="0.25">
      <c r="E1535" s="14"/>
      <c r="F1535" s="68"/>
      <c r="G1535" s="68"/>
    </row>
    <row r="1536" spans="5:7" ht="16.5" customHeight="1" x14ac:dyDescent="0.25">
      <c r="E1536" s="14"/>
      <c r="F1536" s="68"/>
      <c r="G1536" s="68"/>
    </row>
    <row r="1537" spans="5:7" ht="16.5" customHeight="1" x14ac:dyDescent="0.25">
      <c r="E1537" s="14"/>
      <c r="F1537" s="68"/>
      <c r="G1537" s="68"/>
    </row>
    <row r="1538" spans="5:7" ht="16.5" customHeight="1" x14ac:dyDescent="0.25">
      <c r="E1538" s="14"/>
      <c r="F1538" s="68"/>
      <c r="G1538" s="68"/>
    </row>
    <row r="1539" spans="5:7" ht="16.5" customHeight="1" x14ac:dyDescent="0.25">
      <c r="E1539" s="14"/>
      <c r="F1539" s="68"/>
      <c r="G1539" s="68"/>
    </row>
    <row r="1540" spans="5:7" ht="16.5" customHeight="1" x14ac:dyDescent="0.25">
      <c r="E1540" s="14"/>
      <c r="F1540" s="68"/>
      <c r="G1540" s="68"/>
    </row>
    <row r="1541" spans="5:7" ht="16.5" customHeight="1" x14ac:dyDescent="0.25">
      <c r="E1541" s="14"/>
      <c r="F1541" s="68"/>
      <c r="G1541" s="68"/>
    </row>
    <row r="1542" spans="5:7" ht="16.5" customHeight="1" x14ac:dyDescent="0.25">
      <c r="E1542" s="14"/>
      <c r="F1542" s="68"/>
      <c r="G1542" s="68"/>
    </row>
    <row r="1543" spans="5:7" ht="16.5" customHeight="1" x14ac:dyDescent="0.25">
      <c r="E1543" s="14"/>
      <c r="F1543" s="68"/>
      <c r="G1543" s="68"/>
    </row>
    <row r="1544" spans="5:7" ht="16.5" customHeight="1" x14ac:dyDescent="0.25">
      <c r="E1544" s="14"/>
      <c r="F1544" s="68"/>
      <c r="G1544" s="68"/>
    </row>
    <row r="1545" spans="5:7" ht="16.5" customHeight="1" x14ac:dyDescent="0.25">
      <c r="E1545" s="14"/>
      <c r="F1545" s="68"/>
      <c r="G1545" s="68"/>
    </row>
    <row r="1546" spans="5:7" ht="16.5" customHeight="1" x14ac:dyDescent="0.25">
      <c r="E1546" s="14"/>
      <c r="F1546" s="68"/>
      <c r="G1546" s="68"/>
    </row>
    <row r="1547" spans="5:7" ht="16.5" customHeight="1" x14ac:dyDescent="0.25">
      <c r="E1547" s="14"/>
      <c r="F1547" s="68"/>
      <c r="G1547" s="68"/>
    </row>
    <row r="1548" spans="5:7" ht="16.5" customHeight="1" x14ac:dyDescent="0.25">
      <c r="E1548" s="14"/>
      <c r="F1548" s="68"/>
      <c r="G1548" s="68"/>
    </row>
    <row r="1549" spans="5:7" ht="16.5" customHeight="1" x14ac:dyDescent="0.25">
      <c r="E1549" s="14"/>
      <c r="F1549" s="68"/>
      <c r="G1549" s="68"/>
    </row>
    <row r="1550" spans="5:7" ht="16.5" customHeight="1" x14ac:dyDescent="0.25">
      <c r="E1550" s="14"/>
      <c r="F1550" s="68"/>
      <c r="G1550" s="68"/>
    </row>
    <row r="1551" spans="5:7" ht="16.5" customHeight="1" x14ac:dyDescent="0.25">
      <c r="E1551" s="14"/>
      <c r="F1551" s="68"/>
      <c r="G1551" s="68"/>
    </row>
    <row r="1552" spans="5:7" ht="16.5" customHeight="1" x14ac:dyDescent="0.25">
      <c r="E1552" s="14"/>
      <c r="F1552" s="68"/>
      <c r="G1552" s="68"/>
    </row>
    <row r="1553" spans="5:7" ht="16.5" customHeight="1" x14ac:dyDescent="0.25">
      <c r="E1553" s="14"/>
      <c r="F1553" s="68"/>
      <c r="G1553" s="68"/>
    </row>
    <row r="1554" spans="5:7" ht="16.5" customHeight="1" x14ac:dyDescent="0.25">
      <c r="E1554" s="14"/>
      <c r="F1554" s="68"/>
      <c r="G1554" s="68"/>
    </row>
    <row r="1555" spans="5:7" ht="16.5" customHeight="1" x14ac:dyDescent="0.25">
      <c r="E1555" s="14"/>
      <c r="F1555" s="68"/>
      <c r="G1555" s="68"/>
    </row>
    <row r="1556" spans="5:7" ht="16.5" customHeight="1" x14ac:dyDescent="0.25">
      <c r="E1556" s="14"/>
      <c r="F1556" s="68"/>
      <c r="G1556" s="68"/>
    </row>
    <row r="1557" spans="5:7" ht="16.5" customHeight="1" x14ac:dyDescent="0.25">
      <c r="E1557" s="14"/>
      <c r="F1557" s="68"/>
      <c r="G1557" s="68"/>
    </row>
    <row r="1558" spans="5:7" ht="16.5" customHeight="1" x14ac:dyDescent="0.25">
      <c r="E1558" s="14"/>
      <c r="F1558" s="68"/>
      <c r="G1558" s="68"/>
    </row>
  </sheetData>
  <mergeCells count="1">
    <mergeCell ref="D2:J2"/>
  </mergeCells>
  <conditionalFormatting sqref="G4:G61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"/>
  <sheetViews>
    <sheetView zoomScale="55" zoomScaleNormal="55" workbookViewId="0">
      <selection activeCell="AB47" sqref="AB47"/>
    </sheetView>
  </sheetViews>
  <sheetFormatPr baseColWidth="10" defaultColWidth="9.140625" defaultRowHeight="15" x14ac:dyDescent="0.25"/>
  <sheetData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2:AH39"/>
  <sheetViews>
    <sheetView showGridLines="0" zoomScale="70" zoomScaleNormal="70" workbookViewId="0">
      <selection activeCell="C3" sqref="C3"/>
    </sheetView>
  </sheetViews>
  <sheetFormatPr baseColWidth="10" defaultColWidth="9.140625" defaultRowHeight="17.25" customHeight="1" x14ac:dyDescent="0.25"/>
  <cols>
    <col min="1" max="1" width="9.140625" style="3" customWidth="1"/>
    <col min="2" max="2" width="32.140625" style="3" customWidth="1"/>
    <col min="3" max="3" width="16" style="3" customWidth="1"/>
    <col min="4" max="34" width="7" style="3" customWidth="1"/>
    <col min="35" max="40" width="9.140625" style="3" customWidth="1"/>
    <col min="41" max="16384" width="9.140625" style="3"/>
  </cols>
  <sheetData>
    <row r="2" spans="2:34" s="8" customFormat="1" ht="100.5" customHeight="1" x14ac:dyDescent="0.25">
      <c r="B2" s="123" t="s">
        <v>471</v>
      </c>
      <c r="C2" s="124"/>
      <c r="D2" s="13" t="str">
        <f>VLOOKUP(tblMatrizDeAdyacencia[[#Headers],[O1]],tblNodos[],2,FALSE)</f>
        <v>Recursos personales lícitos</v>
      </c>
      <c r="E2" s="13" t="str">
        <f>VLOOKUP(tblMatrizDeAdyacencia[[#Headers],[O2]],tblNodos[],2,FALSE)</f>
        <v>Donaciones y apoyo individual / comunitario</v>
      </c>
      <c r="F2" s="13" t="str">
        <f>VLOOKUP(tblMatrizDeAdyacencia[[#Headers],[O3]],tblNodos[],2,FALSE)</f>
        <v>Actividad comercial y empresarial</v>
      </c>
      <c r="G2" s="13" t="str">
        <f>VLOOKUP(tblMatrizDeAdyacencia[[#Headers],[O4]],tblNodos[],2,FALSE)</f>
        <v>Financiación mediante coerción y exacción</v>
      </c>
      <c r="H2" s="13" t="str">
        <f>VLOOKUP(tblMatrizDeAdyacencia[[#Headers],[O5]],tblNodos[],2,FALSE)</f>
        <v>Explotación de personas y movilidad forzada</v>
      </c>
      <c r="I2" s="13" t="str">
        <f>VLOOKUP(tblMatrizDeAdyacencia[[#Headers],[O6]],tblNodos[],2,FALSE)</f>
        <v>Actividades criminales y mercados ilícitos</v>
      </c>
      <c r="J2" s="13" t="str">
        <f>VLOOKUP(tblMatrizDeAdyacencia[[#Headers],[O7]],tblNodos[],2,FALSE)</f>
        <v>Explotación de recursos naturales</v>
      </c>
      <c r="K2" s="13" t="str">
        <f>VLOOKUP(tblMatrizDeAdyacencia[[#Headers],[O8]],tblNodos[],2,FALSE)</f>
        <v>Valor digital</v>
      </c>
      <c r="L2" s="13" t="str">
        <f>VLOOKUP(tblMatrizDeAdyacencia[[#Headers],[C1]],tblNodos[],2,FALSE)</f>
        <v>Recaudación directa</v>
      </c>
      <c r="M2" s="13" t="str">
        <f>VLOOKUP(tblMatrizDeAdyacencia[[#Headers],[C2]],tblNodos[],2,FALSE)</f>
        <v>Agregadores de fondos</v>
      </c>
      <c r="N2" s="13" t="str">
        <f>VLOOKUP(tblMatrizDeAdyacencia[[#Headers],[C3]],tblNodos[],2,FALSE)</f>
        <v>Estructuras organizadas de captación</v>
      </c>
      <c r="O2" s="13" t="str">
        <f>VLOOKUP(tblMatrizDeAdyacencia[[#Headers],[C4]],tblNodos[],2,FALSE)</f>
        <v>Colectores digitales instrumentales</v>
      </c>
      <c r="P2" s="13" t="str">
        <f>VLOOKUP(tblMatrizDeAdyacencia[[#Headers],[C5]],tblNodos[],2,FALSE)</f>
        <v>Colectores empresariales y vehiculares</v>
      </c>
      <c r="Q2" s="13" t="str">
        <f>VLOOKUP(tblMatrizDeAdyacencia[[#Headers],[C6]],tblNodos[],2,FALSE)</f>
        <v>Colectores instrumentales / de ocultación</v>
      </c>
      <c r="R2" s="13" t="str">
        <f>VLOOKUP(tblMatrizDeAdyacencia[[#Headers],[I1]],tblNodos[],2,FALSE)</f>
        <v>Intermediarios físicos de transporte de valor</v>
      </c>
      <c r="S2" s="13" t="str">
        <f>VLOOKUP(tblMatrizDeAdyacencia[[#Headers],[I2]],tblNodos[],2,FALSE)</f>
        <v>Intermediarios informales y paralelos</v>
      </c>
      <c r="T2" s="13" t="str">
        <f>VLOOKUP(tblMatrizDeAdyacencia[[#Headers],[I3]],tblNodos[],2,FALSE)</f>
        <v>Intermediarios MVTS y remesas</v>
      </c>
      <c r="U2" s="13" t="str">
        <f>VLOOKUP(tblMatrizDeAdyacencia[[#Headers],[I4]],tblNodos[],2,FALSE)</f>
        <v>Intermediarios de dinero móvil</v>
      </c>
      <c r="V2" s="13" t="str">
        <f>VLOOKUP(tblMatrizDeAdyacencia[[#Headers],[I5]],tblNodos[],2,FALSE)</f>
        <v>Intermediarios bancarios formales</v>
      </c>
      <c r="W2" s="13" t="str">
        <f>VLOOKUP(tblMatrizDeAdyacencia[[#Headers],[I6]],tblNodos[],2,FALSE)</f>
        <v>Intermediarios de pago digital (PSP /FinTech)</v>
      </c>
      <c r="X2" s="13" t="str">
        <f>VLOOKUP(tblMatrizDeAdyacencia[[#Headers],[I7]],tblNodos[],2,FALSE)</f>
        <v>Intermediarios de activos virtuales y conversión</v>
      </c>
      <c r="Y2" s="13" t="str">
        <f>VLOOKUP(tblMatrizDeAdyacencia[[#Headers],[I8]],tblNodos[],2,FALSE)</f>
        <v>Intermediarios comerciales y transaccionales</v>
      </c>
      <c r="Z2" s="13" t="str">
        <f>VLOOKUP(tblMatrizDeAdyacencia[[#Headers],[I9]],tblNodos[],2,FALSE)</f>
        <v>Intermediarios logísticos del contrabando</v>
      </c>
      <c r="AA2" s="13" t="str">
        <f>VLOOKUP(tblMatrizDeAdyacencia[[#Headers],[I10]],tblNodos[],2,FALSE)</f>
        <v>Intermediarios financeros especializados</v>
      </c>
      <c r="AB2" s="13" t="str">
        <f>VLOOKUP(tblMatrizDeAdyacencia[[#Headers],[I11]],tblNodos[],2,FALSE)</f>
        <v>Intermediarios operativos y de cobertura</v>
      </c>
      <c r="AC2" s="13" t="str">
        <f>VLOOKUP(tblMatrizDeAdyacencia[[#Headers],[I12]],tblNodos[],2,FALSE)</f>
        <v>Intermediarios de negociación y rescate</v>
      </c>
      <c r="AD2" s="13" t="str">
        <f>VLOOKUP(tblMatrizDeAdyacencia[[#Headers],[G1]],tblNodos[],2,FALSE)</f>
        <v>Dirección financiera</v>
      </c>
      <c r="AE2" s="13" t="str">
        <f>VLOOKUP(tblMatrizDeAdyacencia[[#Headers],[G2]],tblNodos[],2,FALSE)</f>
        <v>Gestión operativa descentralizada</v>
      </c>
      <c r="AF2" s="13" t="str">
        <f>VLOOKUP(tblMatrizDeAdyacencia[[#Headers],[G3]],tblNodos[],2,FALSE)</f>
        <v>Custodia y conversión</v>
      </c>
      <c r="AG2" s="13" t="str">
        <f>VLOOKUP(tblMatrizDeAdyacencia[[#Headers],[G4]],tblNodos[],2,FALSE)</f>
        <v>Coordinación de la red y soporte estratégico</v>
      </c>
      <c r="AH2" s="13" t="str">
        <f>VLOOKUP(tblMatrizDeAdyacencia[[#Headers],[D1]],tblNodos[],2,FALSE)</f>
        <v>Destino operativo final</v>
      </c>
    </row>
    <row r="3" spans="2:34" ht="35.25" customHeight="1" x14ac:dyDescent="0.25">
      <c r="B3" s="5" t="s">
        <v>472</v>
      </c>
      <c r="C3" s="5" t="s">
        <v>486</v>
      </c>
      <c r="D3" s="4" t="s">
        <v>25</v>
      </c>
      <c r="E3" s="4" t="s">
        <v>27</v>
      </c>
      <c r="F3" s="4" t="s">
        <v>29</v>
      </c>
      <c r="G3" s="4" t="s">
        <v>31</v>
      </c>
      <c r="H3" s="4" t="s">
        <v>33</v>
      </c>
      <c r="I3" s="4" t="s">
        <v>35</v>
      </c>
      <c r="J3" s="4" t="s">
        <v>37</v>
      </c>
      <c r="K3" s="4" t="s">
        <v>39</v>
      </c>
      <c r="L3" s="4" t="s">
        <v>41</v>
      </c>
      <c r="M3" s="4" t="s">
        <v>43</v>
      </c>
      <c r="N3" s="4" t="s">
        <v>45</v>
      </c>
      <c r="O3" s="4" t="s">
        <v>47</v>
      </c>
      <c r="P3" s="4" t="s">
        <v>49</v>
      </c>
      <c r="Q3" s="4" t="s">
        <v>51</v>
      </c>
      <c r="R3" s="4" t="s">
        <v>53</v>
      </c>
      <c r="S3" s="4" t="s">
        <v>55</v>
      </c>
      <c r="T3" s="4" t="s">
        <v>57</v>
      </c>
      <c r="U3" s="4" t="s">
        <v>59</v>
      </c>
      <c r="V3" s="6" t="s">
        <v>61</v>
      </c>
      <c r="W3" s="21" t="s">
        <v>63</v>
      </c>
      <c r="X3" s="21" t="s">
        <v>65</v>
      </c>
      <c r="Y3" s="21" t="s">
        <v>67</v>
      </c>
      <c r="Z3" s="21" t="s">
        <v>69</v>
      </c>
      <c r="AA3" s="21" t="s">
        <v>71</v>
      </c>
      <c r="AB3" s="21" t="s">
        <v>73</v>
      </c>
      <c r="AC3" s="21" t="s">
        <v>75</v>
      </c>
      <c r="AD3" s="21" t="s">
        <v>77</v>
      </c>
      <c r="AE3" s="21" t="s">
        <v>79</v>
      </c>
      <c r="AF3" s="21" t="s">
        <v>81</v>
      </c>
      <c r="AG3" s="21" t="s">
        <v>83</v>
      </c>
      <c r="AH3" s="21" t="s">
        <v>85</v>
      </c>
    </row>
    <row r="4" spans="2:34" ht="17.25" customHeight="1" x14ac:dyDescent="0.25">
      <c r="B4" s="69" t="str">
        <f>VLOOKUP(tblMatrizDeAdyacencia[[#This Row],[Nodo Orig.\Dest.]],tblNodos[],2,FALSE)</f>
        <v>Recursos personales lícitos</v>
      </c>
      <c r="C4" s="4" t="s">
        <v>25</v>
      </c>
      <c r="D4" s="72">
        <f>IF(COUNTIFS(tblRed[Nodo Inicial],tblMatrizDeAdyacencia[[#This Row],[Nodo Orig.\Dest.]],tblRed[Nodo Final],tblMatrizDeAdyacencia[[#Headers],[O1]],tblRed[Activo],1)&gt;0,1,0)</f>
        <v>0</v>
      </c>
      <c r="E4" s="16">
        <f>IF(COUNTIFS(tblRed[Nodo Inicial],tblMatrizDeAdyacencia[[#This Row],[Nodo Orig.\Dest.]],tblRed[Nodo Final],tblMatrizDeAdyacencia[[#Headers],[O2]],tblRed[Activo],1)&gt;0,1,0)</f>
        <v>0</v>
      </c>
      <c r="F4" s="16">
        <f>IF(COUNTIFS(tblRed[Nodo Inicial],tblMatrizDeAdyacencia[[#This Row],[Nodo Orig.\Dest.]],tblRed[Nodo Final],tblMatrizDeAdyacencia[[#Headers],[O3]],tblRed[Activo],1)&gt;0,1,0)</f>
        <v>0</v>
      </c>
      <c r="G4" s="16">
        <f>IF(COUNTIFS(tblRed[Nodo Inicial],tblMatrizDeAdyacencia[[#This Row],[Nodo Orig.\Dest.]],tblRed[Nodo Final],tblMatrizDeAdyacencia[[#Headers],[O4]],tblRed[Activo],1)&gt;0,1,0)</f>
        <v>0</v>
      </c>
      <c r="H4" s="16">
        <f>IF(COUNTIFS(tblRed[Nodo Inicial],tblMatrizDeAdyacencia[[#This Row],[Nodo Orig.\Dest.]],tblRed[Nodo Final],tblMatrizDeAdyacencia[[#Headers],[O5]],tblRed[Activo],1)&gt;0,1,0)</f>
        <v>0</v>
      </c>
      <c r="I4" s="16">
        <f>IF(COUNTIFS(tblRed[Nodo Inicial],tblMatrizDeAdyacencia[[#This Row],[Nodo Orig.\Dest.]],tblRed[Nodo Final],tblMatrizDeAdyacencia[[#Headers],[O6]],tblRed[Activo],1)&gt;0,1,0)</f>
        <v>0</v>
      </c>
      <c r="J4" s="16">
        <f>IF(COUNTIFS(tblRed[Nodo Inicial],tblMatrizDeAdyacencia[[#This Row],[Nodo Orig.\Dest.]],tblRed[Nodo Final],tblMatrizDeAdyacencia[[#Headers],[O7]],tblRed[Activo],1)&gt;0,1,0)</f>
        <v>0</v>
      </c>
      <c r="K4" s="16">
        <f>IF(COUNTIFS(tblRed[Nodo Inicial],tblMatrizDeAdyacencia[[#This Row],[Nodo Orig.\Dest.]],tblRed[Nodo Final],tblMatrizDeAdyacencia[[#Headers],[O8]],tblRed[Activo],1)&gt;0,1,0)</f>
        <v>0</v>
      </c>
      <c r="L4" s="16">
        <f>IF(COUNTIFS(tblRed[Nodo Inicial],tblMatrizDeAdyacencia[[#This Row],[Nodo Orig.\Dest.]],tblRed[Nodo Final],tblMatrizDeAdyacencia[[#Headers],[C1]],tblRed[Activo],1)&gt;0,1,0)</f>
        <v>0</v>
      </c>
      <c r="M4" s="16">
        <f>IF(COUNTIFS(tblRed[Nodo Inicial],tblMatrizDeAdyacencia[[#This Row],[Nodo Orig.\Dest.]],tblRed[Nodo Final],tblMatrizDeAdyacencia[[#Headers],[C2]],tblRed[Activo],1)&gt;0,1,0)</f>
        <v>0</v>
      </c>
      <c r="N4" s="16">
        <f>IF(COUNTIFS(tblRed[Nodo Inicial],tblMatrizDeAdyacencia[[#This Row],[Nodo Orig.\Dest.]],tblRed[Nodo Final],tblMatrizDeAdyacencia[[#Headers],[C3]],tblRed[Activo],1)&gt;0,1,0)</f>
        <v>0</v>
      </c>
      <c r="O4" s="16">
        <f>IF(COUNTIFS(tblRed[Nodo Inicial],tblMatrizDeAdyacencia[[#This Row],[Nodo Orig.\Dest.]],tblRed[Nodo Final],tblMatrizDeAdyacencia[[#Headers],[C4]],tblRed[Activo],1)&gt;0,1,0)</f>
        <v>1</v>
      </c>
      <c r="P4" s="16">
        <f>IF(COUNTIFS(tblRed[Nodo Inicial],tblMatrizDeAdyacencia[[#This Row],[Nodo Orig.\Dest.]],tblRed[Nodo Final],tblMatrizDeAdyacencia[[#Headers],[C5]],tblRed[Activo],1)&gt;0,1,0)</f>
        <v>0</v>
      </c>
      <c r="Q4" s="16">
        <f>IF(COUNTIFS(tblRed[Nodo Inicial],tblMatrizDeAdyacencia[[#This Row],[Nodo Orig.\Dest.]],tblRed[Nodo Final],tblMatrizDeAdyacencia[[#Headers],[C6]],tblRed[Activo],1)&gt;0,1,0)</f>
        <v>0</v>
      </c>
      <c r="R4" s="16">
        <f>IF(COUNTIFS(tblRed[Nodo Inicial],tblMatrizDeAdyacencia[[#This Row],[Nodo Orig.\Dest.]],tblRed[Nodo Final],tblMatrizDeAdyacencia[[#Headers],[I1]],tblRed[Activo],1)&gt;0,1,0)</f>
        <v>0</v>
      </c>
      <c r="S4" s="16">
        <f>IF(COUNTIFS(tblRed[Nodo Inicial],tblMatrizDeAdyacencia[[#This Row],[Nodo Orig.\Dest.]],tblRed[Nodo Final],tblMatrizDeAdyacencia[[#Headers],[I2]],tblRed[Activo],1)&gt;0,1,0)</f>
        <v>0</v>
      </c>
      <c r="T4" s="16">
        <f>IF(COUNTIFS(tblRed[Nodo Inicial],tblMatrizDeAdyacencia[[#This Row],[Nodo Orig.\Dest.]],tblRed[Nodo Final],tblMatrizDeAdyacencia[[#Headers],[I3]],tblRed[Activo],1)&gt;0,1,0)</f>
        <v>0</v>
      </c>
      <c r="U4" s="16">
        <f>IF(COUNTIFS(tblRed[Nodo Inicial],tblMatrizDeAdyacencia[[#This Row],[Nodo Orig.\Dest.]],tblRed[Nodo Final],tblMatrizDeAdyacencia[[#Headers],[I4]],tblRed[Activo],1)&gt;0,1,0)</f>
        <v>0</v>
      </c>
      <c r="V4" s="17">
        <f>IF(COUNTIFS(tblRed[Nodo Inicial],tblMatrizDeAdyacencia[[#This Row],[Nodo Orig.\Dest.]],tblRed[Nodo Final],tblMatrizDeAdyacencia[[#Headers],[I5]],tblRed[Activo],1)&gt;0,1,0)</f>
        <v>1</v>
      </c>
      <c r="W4" s="20">
        <f>IF(COUNTIFS(tblRed[Nodo Inicial],tblMatrizDeAdyacencia[[#This Row],[Nodo Orig.\Dest.]],tblRed[Nodo Final],tblMatrizDeAdyacencia[[#Headers],[I6]],tblRed[Activo],1)&gt;0,1,0)</f>
        <v>0</v>
      </c>
      <c r="X4" s="20">
        <f>IF(COUNTIFS(tblRed[Nodo Inicial],tblMatrizDeAdyacencia[[#This Row],[Nodo Orig.\Dest.]],tblRed[Nodo Final],tblMatrizDeAdyacencia[[#Headers],[I7]],tblRed[Activo],1)&gt;0,1,0)</f>
        <v>0</v>
      </c>
      <c r="Y4" s="20">
        <f>IF(COUNTIFS(tblRed[Nodo Inicial],tblMatrizDeAdyacencia[[#This Row],[Nodo Orig.\Dest.]],tblRed[Nodo Final],tblMatrizDeAdyacencia[[#Headers],[I8]],tblRed[Activo],1)&gt;0,1,0)</f>
        <v>0</v>
      </c>
      <c r="Z4" s="20">
        <f>IF(COUNTIFS(tblRed[Nodo Inicial],tblMatrizDeAdyacencia[[#This Row],[Nodo Orig.\Dest.]],tblRed[Nodo Final],tblMatrizDeAdyacencia[[#Headers],[I9]],tblRed[Activo],1)&gt;0,1,0)</f>
        <v>0</v>
      </c>
      <c r="AA4" s="20">
        <f>IF(COUNTIFS(tblRed[Nodo Inicial],tblMatrizDeAdyacencia[[#This Row],[Nodo Orig.\Dest.]],tblRed[Nodo Final],tblMatrizDeAdyacencia[[#Headers],[I10]],tblRed[Activo],1)&gt;0,1,0)</f>
        <v>0</v>
      </c>
      <c r="AB4" s="20">
        <f>IF(COUNTIFS(tblRed[Nodo Inicial],tblMatrizDeAdyacencia[[#This Row],[Nodo Orig.\Dest.]],tblRed[Nodo Final],tblMatrizDeAdyacencia[[#Headers],[I11]],tblRed[Activo],1)&gt;0,1,0)</f>
        <v>0</v>
      </c>
      <c r="AC4" s="20">
        <f>IF(COUNTIFS(tblRed[Nodo Inicial],tblMatrizDeAdyacencia[[#This Row],[Nodo Orig.\Dest.]],tblRed[Nodo Final],tblMatrizDeAdyacencia[[#Headers],[I12]],tblRed[Activo],1)&gt;0,1,0)</f>
        <v>0</v>
      </c>
      <c r="AD4" s="20">
        <f>IF(COUNTIFS(tblRed[Nodo Inicial],tblMatrizDeAdyacencia[[#This Row],[Nodo Orig.\Dest.]],tblRed[Nodo Final],tblMatrizDeAdyacencia[[#Headers],[G1]],tblRed[Activo],1)&gt;0,1,0)</f>
        <v>0</v>
      </c>
      <c r="AE4" s="20">
        <f>IF(COUNTIFS(tblRed[Nodo Inicial],tblMatrizDeAdyacencia[[#This Row],[Nodo Orig.\Dest.]],tblRed[Nodo Final],tblMatrizDeAdyacencia[[#Headers],[G2]],tblRed[Activo],1)&gt;0,1,0)</f>
        <v>0</v>
      </c>
      <c r="AF4" s="20">
        <f>IF(COUNTIFS(tblRed[Nodo Inicial],tblMatrizDeAdyacencia[[#This Row],[Nodo Orig.\Dest.]],tblRed[Nodo Final],tblMatrizDeAdyacencia[[#Headers],[G3]],tblRed[Activo],1)&gt;0,1,0)</f>
        <v>0</v>
      </c>
      <c r="AG4" s="20">
        <f>IF(COUNTIFS(tblRed[Nodo Inicial],tblMatrizDeAdyacencia[[#This Row],[Nodo Orig.\Dest.]],tblRed[Nodo Final],tblMatrizDeAdyacencia[[#Headers],[G4]],tblRed[Activo],1)&gt;0,1,0)</f>
        <v>0</v>
      </c>
      <c r="AH4" s="20">
        <f>IF(COUNTIFS(tblRed[Nodo Inicial],tblMatrizDeAdyacencia[[#This Row],[Nodo Orig.\Dest.]],tblRed[Nodo Final],tblMatrizDeAdyacencia[[#Headers],[D1]],tblRed[Activo],1)&gt;0,1,0)</f>
        <v>0</v>
      </c>
    </row>
    <row r="5" spans="2:34" ht="17.25" customHeight="1" x14ac:dyDescent="0.25">
      <c r="B5" s="12" t="str">
        <f>VLOOKUP(tblMatrizDeAdyacencia[[#This Row],[Nodo Orig.\Dest.]],tblNodos[],2,FALSE)</f>
        <v>Donaciones y apoyo individual / comunitario</v>
      </c>
      <c r="C5" s="4" t="s">
        <v>27</v>
      </c>
      <c r="D5" s="16">
        <f>IF(COUNTIFS(tblRed[Nodo Inicial],tblMatrizDeAdyacencia[[#This Row],[Nodo Orig.\Dest.]],tblRed[Nodo Final],tblMatrizDeAdyacencia[[#Headers],[O1]],tblRed[Activo],1)&gt;0,1,0)</f>
        <v>0</v>
      </c>
      <c r="E5" s="72">
        <f>IF(COUNTIFS(tblRed[Nodo Inicial],tblMatrizDeAdyacencia[[#This Row],[Nodo Orig.\Dest.]],tblRed[Nodo Final],tblMatrizDeAdyacencia[[#Headers],[O2]],tblRed[Activo],1)&gt;0,1,0)</f>
        <v>0</v>
      </c>
      <c r="F5" s="16">
        <f>IF(COUNTIFS(tblRed[Nodo Inicial],tblMatrizDeAdyacencia[[#This Row],[Nodo Orig.\Dest.]],tblRed[Nodo Final],tblMatrizDeAdyacencia[[#Headers],[O3]],tblRed[Activo],1)&gt;0,1,0)</f>
        <v>0</v>
      </c>
      <c r="G5" s="16">
        <f>IF(COUNTIFS(tblRed[Nodo Inicial],tblMatrizDeAdyacencia[[#This Row],[Nodo Orig.\Dest.]],tblRed[Nodo Final],tblMatrizDeAdyacencia[[#Headers],[O4]],tblRed[Activo],1)&gt;0,1,0)</f>
        <v>0</v>
      </c>
      <c r="H5" s="16">
        <f>IF(COUNTIFS(tblRed[Nodo Inicial],tblMatrizDeAdyacencia[[#This Row],[Nodo Orig.\Dest.]],tblRed[Nodo Final],tblMatrizDeAdyacencia[[#Headers],[O5]],tblRed[Activo],1)&gt;0,1,0)</f>
        <v>0</v>
      </c>
      <c r="I5" s="16">
        <f>IF(COUNTIFS(tblRed[Nodo Inicial],tblMatrizDeAdyacencia[[#This Row],[Nodo Orig.\Dest.]],tblRed[Nodo Final],tblMatrizDeAdyacencia[[#Headers],[O6]],tblRed[Activo],1)&gt;0,1,0)</f>
        <v>0</v>
      </c>
      <c r="J5" s="16">
        <f>IF(COUNTIFS(tblRed[Nodo Inicial],tblMatrizDeAdyacencia[[#This Row],[Nodo Orig.\Dest.]],tblRed[Nodo Final],tblMatrizDeAdyacencia[[#Headers],[O7]],tblRed[Activo],1)&gt;0,1,0)</f>
        <v>0</v>
      </c>
      <c r="K5" s="16">
        <f>IF(COUNTIFS(tblRed[Nodo Inicial],tblMatrizDeAdyacencia[[#This Row],[Nodo Orig.\Dest.]],tblRed[Nodo Final],tblMatrizDeAdyacencia[[#Headers],[O8]],tblRed[Activo],1)&gt;0,1,0)</f>
        <v>0</v>
      </c>
      <c r="L5" s="16">
        <f>IF(COUNTIFS(tblRed[Nodo Inicial],tblMatrizDeAdyacencia[[#This Row],[Nodo Orig.\Dest.]],tblRed[Nodo Final],tblMatrizDeAdyacencia[[#Headers],[C1]],tblRed[Activo],1)&gt;0,1,0)</f>
        <v>1</v>
      </c>
      <c r="M5" s="16">
        <f>IF(COUNTIFS(tblRed[Nodo Inicial],tblMatrizDeAdyacencia[[#This Row],[Nodo Orig.\Dest.]],tblRed[Nodo Final],tblMatrizDeAdyacencia[[#Headers],[C2]],tblRed[Activo],1)&gt;0,1,0)</f>
        <v>0</v>
      </c>
      <c r="N5" s="16">
        <f>IF(COUNTIFS(tblRed[Nodo Inicial],tblMatrizDeAdyacencia[[#This Row],[Nodo Orig.\Dest.]],tblRed[Nodo Final],tblMatrizDeAdyacencia[[#Headers],[C3]],tblRed[Activo],1)&gt;0,1,0)</f>
        <v>1</v>
      </c>
      <c r="O5" s="16">
        <f>IF(COUNTIFS(tblRed[Nodo Inicial],tblMatrizDeAdyacencia[[#This Row],[Nodo Orig.\Dest.]],tblRed[Nodo Final],tblMatrizDeAdyacencia[[#Headers],[C4]],tblRed[Activo],1)&gt;0,1,0)</f>
        <v>1</v>
      </c>
      <c r="P5" s="16">
        <f>IF(COUNTIFS(tblRed[Nodo Inicial],tblMatrizDeAdyacencia[[#This Row],[Nodo Orig.\Dest.]],tblRed[Nodo Final],tblMatrizDeAdyacencia[[#Headers],[C5]],tblRed[Activo],1)&gt;0,1,0)</f>
        <v>0</v>
      </c>
      <c r="Q5" s="16">
        <f>IF(COUNTIFS(tblRed[Nodo Inicial],tblMatrizDeAdyacencia[[#This Row],[Nodo Orig.\Dest.]],tblRed[Nodo Final],tblMatrizDeAdyacencia[[#Headers],[C6]],tblRed[Activo],1)&gt;0,1,0)</f>
        <v>0</v>
      </c>
      <c r="R5" s="16">
        <f>IF(COUNTIFS(tblRed[Nodo Inicial],tblMatrizDeAdyacencia[[#This Row],[Nodo Orig.\Dest.]],tblRed[Nodo Final],tblMatrizDeAdyacencia[[#Headers],[I1]],tblRed[Activo],1)&gt;0,1,0)</f>
        <v>0</v>
      </c>
      <c r="S5" s="16">
        <f>IF(COUNTIFS(tblRed[Nodo Inicial],tblMatrizDeAdyacencia[[#This Row],[Nodo Orig.\Dest.]],tblRed[Nodo Final],tblMatrizDeAdyacencia[[#Headers],[I2]],tblRed[Activo],1)&gt;0,1,0)</f>
        <v>0</v>
      </c>
      <c r="T5" s="16">
        <f>IF(COUNTIFS(tblRed[Nodo Inicial],tblMatrizDeAdyacencia[[#This Row],[Nodo Orig.\Dest.]],tblRed[Nodo Final],tblMatrizDeAdyacencia[[#Headers],[I3]],tblRed[Activo],1)&gt;0,1,0)</f>
        <v>0</v>
      </c>
      <c r="U5" s="16">
        <f>IF(COUNTIFS(tblRed[Nodo Inicial],tblMatrizDeAdyacencia[[#This Row],[Nodo Orig.\Dest.]],tblRed[Nodo Final],tblMatrizDeAdyacencia[[#Headers],[I4]],tblRed[Activo],1)&gt;0,1,0)</f>
        <v>0</v>
      </c>
      <c r="V5" s="17">
        <f>IF(COUNTIFS(tblRed[Nodo Inicial],tblMatrizDeAdyacencia[[#This Row],[Nodo Orig.\Dest.]],tblRed[Nodo Final],tblMatrizDeAdyacencia[[#Headers],[I5]],tblRed[Activo],1)&gt;0,1,0)</f>
        <v>0</v>
      </c>
      <c r="W5" s="16">
        <f>IF(COUNTIFS(tblRed[Nodo Inicial],tblMatrizDeAdyacencia[[#This Row],[Nodo Orig.\Dest.]],tblRed[Nodo Final],tblMatrizDeAdyacencia[[#Headers],[I6]],tblRed[Activo],1)&gt;0,1,0)</f>
        <v>0</v>
      </c>
      <c r="X5" s="16">
        <f>IF(COUNTIFS(tblRed[Nodo Inicial],tblMatrizDeAdyacencia[[#This Row],[Nodo Orig.\Dest.]],tblRed[Nodo Final],tblMatrizDeAdyacencia[[#Headers],[I7]],tblRed[Activo],1)&gt;0,1,0)</f>
        <v>0</v>
      </c>
      <c r="Y5" s="16">
        <f>IF(COUNTIFS(tblRed[Nodo Inicial],tblMatrizDeAdyacencia[[#This Row],[Nodo Orig.\Dest.]],tblRed[Nodo Final],tblMatrizDeAdyacencia[[#Headers],[I8]],tblRed[Activo],1)&gt;0,1,0)</f>
        <v>0</v>
      </c>
      <c r="Z5" s="16">
        <f>IF(COUNTIFS(tblRed[Nodo Inicial],tblMatrizDeAdyacencia[[#This Row],[Nodo Orig.\Dest.]],tblRed[Nodo Final],tblMatrizDeAdyacencia[[#Headers],[I9]],tblRed[Activo],1)&gt;0,1,0)</f>
        <v>0</v>
      </c>
      <c r="AA5" s="16">
        <f>IF(COUNTIFS(tblRed[Nodo Inicial],tblMatrizDeAdyacencia[[#This Row],[Nodo Orig.\Dest.]],tblRed[Nodo Final],tblMatrizDeAdyacencia[[#Headers],[I10]],tblRed[Activo],1)&gt;0,1,0)</f>
        <v>0</v>
      </c>
      <c r="AB5" s="16">
        <f>IF(COUNTIFS(tblRed[Nodo Inicial],tblMatrizDeAdyacencia[[#This Row],[Nodo Orig.\Dest.]],tblRed[Nodo Final],tblMatrizDeAdyacencia[[#Headers],[I11]],tblRed[Activo],1)&gt;0,1,0)</f>
        <v>0</v>
      </c>
      <c r="AC5" s="16">
        <f>IF(COUNTIFS(tblRed[Nodo Inicial],tblMatrizDeAdyacencia[[#This Row],[Nodo Orig.\Dest.]],tblRed[Nodo Final],tblMatrizDeAdyacencia[[#Headers],[I12]],tblRed[Activo],1)&gt;0,1,0)</f>
        <v>1</v>
      </c>
      <c r="AD5" s="16">
        <f>IF(COUNTIFS(tblRed[Nodo Inicial],tblMatrizDeAdyacencia[[#This Row],[Nodo Orig.\Dest.]],tblRed[Nodo Final],tblMatrizDeAdyacencia[[#Headers],[G1]],tblRed[Activo],1)&gt;0,1,0)</f>
        <v>0</v>
      </c>
      <c r="AE5" s="16">
        <f>IF(COUNTIFS(tblRed[Nodo Inicial],tblMatrizDeAdyacencia[[#This Row],[Nodo Orig.\Dest.]],tblRed[Nodo Final],tblMatrizDeAdyacencia[[#Headers],[G2]],tblRed[Activo],1)&gt;0,1,0)</f>
        <v>0</v>
      </c>
      <c r="AF5" s="16">
        <f>IF(COUNTIFS(tblRed[Nodo Inicial],tblMatrizDeAdyacencia[[#This Row],[Nodo Orig.\Dest.]],tblRed[Nodo Final],tblMatrizDeAdyacencia[[#Headers],[G3]],tblRed[Activo],1)&gt;0,1,0)</f>
        <v>0</v>
      </c>
      <c r="AG5" s="16">
        <f>IF(COUNTIFS(tblRed[Nodo Inicial],tblMatrizDeAdyacencia[[#This Row],[Nodo Orig.\Dest.]],tblRed[Nodo Final],tblMatrizDeAdyacencia[[#Headers],[G4]],tblRed[Activo],1)&gt;0,1,0)</f>
        <v>0</v>
      </c>
      <c r="AH5" s="16">
        <f>IF(COUNTIFS(tblRed[Nodo Inicial],tblMatrizDeAdyacencia[[#This Row],[Nodo Orig.\Dest.]],tblRed[Nodo Final],tblMatrizDeAdyacencia[[#Headers],[D1]],tblRed[Activo],1)&gt;0,1,0)</f>
        <v>0</v>
      </c>
    </row>
    <row r="6" spans="2:34" ht="17.25" customHeight="1" x14ac:dyDescent="0.25">
      <c r="B6" s="12" t="str">
        <f>VLOOKUP(tblMatrizDeAdyacencia[[#This Row],[Nodo Orig.\Dest.]],tblNodos[],2,FALSE)</f>
        <v>Actividad comercial y empresarial</v>
      </c>
      <c r="C6" s="4" t="s">
        <v>29</v>
      </c>
      <c r="D6" s="16">
        <f>IF(COUNTIFS(tblRed[Nodo Inicial],tblMatrizDeAdyacencia[[#This Row],[Nodo Orig.\Dest.]],tblRed[Nodo Final],tblMatrizDeAdyacencia[[#Headers],[O1]],tblRed[Activo],1)&gt;0,1,0)</f>
        <v>0</v>
      </c>
      <c r="E6" s="16">
        <f>IF(COUNTIFS(tblRed[Nodo Inicial],tblMatrizDeAdyacencia[[#This Row],[Nodo Orig.\Dest.]],tblRed[Nodo Final],tblMatrizDeAdyacencia[[#Headers],[O2]],tblRed[Activo],1)&gt;0,1,0)</f>
        <v>0</v>
      </c>
      <c r="F6" s="72">
        <f>IF(COUNTIFS(tblRed[Nodo Inicial],tblMatrizDeAdyacencia[[#This Row],[Nodo Orig.\Dest.]],tblRed[Nodo Final],tblMatrizDeAdyacencia[[#Headers],[O3]],tblRed[Activo],1)&gt;0,1,0)</f>
        <v>0</v>
      </c>
      <c r="G6" s="16">
        <f>IF(COUNTIFS(tblRed[Nodo Inicial],tblMatrizDeAdyacencia[[#This Row],[Nodo Orig.\Dest.]],tblRed[Nodo Final],tblMatrizDeAdyacencia[[#Headers],[O4]],tblRed[Activo],1)&gt;0,1,0)</f>
        <v>0</v>
      </c>
      <c r="H6" s="16">
        <f>IF(COUNTIFS(tblRed[Nodo Inicial],tblMatrizDeAdyacencia[[#This Row],[Nodo Orig.\Dest.]],tblRed[Nodo Final],tblMatrizDeAdyacencia[[#Headers],[O5]],tblRed[Activo],1)&gt;0,1,0)</f>
        <v>0</v>
      </c>
      <c r="I6" s="16">
        <f>IF(COUNTIFS(tblRed[Nodo Inicial],tblMatrizDeAdyacencia[[#This Row],[Nodo Orig.\Dest.]],tblRed[Nodo Final],tblMatrizDeAdyacencia[[#Headers],[O6]],tblRed[Activo],1)&gt;0,1,0)</f>
        <v>0</v>
      </c>
      <c r="J6" s="16">
        <f>IF(COUNTIFS(tblRed[Nodo Inicial],tblMatrizDeAdyacencia[[#This Row],[Nodo Orig.\Dest.]],tblRed[Nodo Final],tblMatrizDeAdyacencia[[#Headers],[O7]],tblRed[Activo],1)&gt;0,1,0)</f>
        <v>0</v>
      </c>
      <c r="K6" s="16">
        <f>IF(COUNTIFS(tblRed[Nodo Inicial],tblMatrizDeAdyacencia[[#This Row],[Nodo Orig.\Dest.]],tblRed[Nodo Final],tblMatrizDeAdyacencia[[#Headers],[O8]],tblRed[Activo],1)&gt;0,1,0)</f>
        <v>0</v>
      </c>
      <c r="L6" s="16">
        <f>IF(COUNTIFS(tblRed[Nodo Inicial],tblMatrizDeAdyacencia[[#This Row],[Nodo Orig.\Dest.]],tblRed[Nodo Final],tblMatrizDeAdyacencia[[#Headers],[C1]],tblRed[Activo],1)&gt;0,1,0)</f>
        <v>0</v>
      </c>
      <c r="M6" s="16">
        <f>IF(COUNTIFS(tblRed[Nodo Inicial],tblMatrizDeAdyacencia[[#This Row],[Nodo Orig.\Dest.]],tblRed[Nodo Final],tblMatrizDeAdyacencia[[#Headers],[C2]],tblRed[Activo],1)&gt;0,1,0)</f>
        <v>0</v>
      </c>
      <c r="N6" s="16">
        <f>IF(COUNTIFS(tblRed[Nodo Inicial],tblMatrizDeAdyacencia[[#This Row],[Nodo Orig.\Dest.]],tblRed[Nodo Final],tblMatrizDeAdyacencia[[#Headers],[C3]],tblRed[Activo],1)&gt;0,1,0)</f>
        <v>0</v>
      </c>
      <c r="O6" s="16">
        <f>IF(COUNTIFS(tblRed[Nodo Inicial],tblMatrizDeAdyacencia[[#This Row],[Nodo Orig.\Dest.]],tblRed[Nodo Final],tblMatrizDeAdyacencia[[#Headers],[C4]],tblRed[Activo],1)&gt;0,1,0)</f>
        <v>0</v>
      </c>
      <c r="P6" s="16">
        <f>IF(COUNTIFS(tblRed[Nodo Inicial],tblMatrizDeAdyacencia[[#This Row],[Nodo Orig.\Dest.]],tblRed[Nodo Final],tblMatrizDeAdyacencia[[#Headers],[C5]],tblRed[Activo],1)&gt;0,1,0)</f>
        <v>1</v>
      </c>
      <c r="Q6" s="16">
        <f>IF(COUNTIFS(tblRed[Nodo Inicial],tblMatrizDeAdyacencia[[#This Row],[Nodo Orig.\Dest.]],tblRed[Nodo Final],tblMatrizDeAdyacencia[[#Headers],[C6]],tblRed[Activo],1)&gt;0,1,0)</f>
        <v>0</v>
      </c>
      <c r="R6" s="16">
        <f>IF(COUNTIFS(tblRed[Nodo Inicial],tblMatrizDeAdyacencia[[#This Row],[Nodo Orig.\Dest.]],tblRed[Nodo Final],tblMatrizDeAdyacencia[[#Headers],[I1]],tblRed[Activo],1)&gt;0,1,0)</f>
        <v>0</v>
      </c>
      <c r="S6" s="16">
        <f>IF(COUNTIFS(tblRed[Nodo Inicial],tblMatrizDeAdyacencia[[#This Row],[Nodo Orig.\Dest.]],tblRed[Nodo Final],tblMatrizDeAdyacencia[[#Headers],[I2]],tblRed[Activo],1)&gt;0,1,0)</f>
        <v>0</v>
      </c>
      <c r="T6" s="16">
        <f>IF(COUNTIFS(tblRed[Nodo Inicial],tblMatrizDeAdyacencia[[#This Row],[Nodo Orig.\Dest.]],tblRed[Nodo Final],tblMatrizDeAdyacencia[[#Headers],[I3]],tblRed[Activo],1)&gt;0,1,0)</f>
        <v>0</v>
      </c>
      <c r="U6" s="16">
        <f>IF(COUNTIFS(tblRed[Nodo Inicial],tblMatrizDeAdyacencia[[#This Row],[Nodo Orig.\Dest.]],tblRed[Nodo Final],tblMatrizDeAdyacencia[[#Headers],[I4]],tblRed[Activo],1)&gt;0,1,0)</f>
        <v>0</v>
      </c>
      <c r="V6" s="17">
        <f>IF(COUNTIFS(tblRed[Nodo Inicial],tblMatrizDeAdyacencia[[#This Row],[Nodo Orig.\Dest.]],tblRed[Nodo Final],tblMatrizDeAdyacencia[[#Headers],[I5]],tblRed[Activo],1)&gt;0,1,0)</f>
        <v>0</v>
      </c>
      <c r="W6" s="16">
        <f>IF(COUNTIFS(tblRed[Nodo Inicial],tblMatrizDeAdyacencia[[#This Row],[Nodo Orig.\Dest.]],tblRed[Nodo Final],tblMatrizDeAdyacencia[[#Headers],[I6]],tblRed[Activo],1)&gt;0,1,0)</f>
        <v>0</v>
      </c>
      <c r="X6" s="16">
        <f>IF(COUNTIFS(tblRed[Nodo Inicial],tblMatrizDeAdyacencia[[#This Row],[Nodo Orig.\Dest.]],tblRed[Nodo Final],tblMatrizDeAdyacencia[[#Headers],[I7]],tblRed[Activo],1)&gt;0,1,0)</f>
        <v>0</v>
      </c>
      <c r="Y6" s="16">
        <f>IF(COUNTIFS(tblRed[Nodo Inicial],tblMatrizDeAdyacencia[[#This Row],[Nodo Orig.\Dest.]],tblRed[Nodo Final],tblMatrizDeAdyacencia[[#Headers],[I8]],tblRed[Activo],1)&gt;0,1,0)</f>
        <v>0</v>
      </c>
      <c r="Z6" s="16">
        <f>IF(COUNTIFS(tblRed[Nodo Inicial],tblMatrizDeAdyacencia[[#This Row],[Nodo Orig.\Dest.]],tblRed[Nodo Final],tblMatrizDeAdyacencia[[#Headers],[I9]],tblRed[Activo],1)&gt;0,1,0)</f>
        <v>0</v>
      </c>
      <c r="AA6" s="16">
        <f>IF(COUNTIFS(tblRed[Nodo Inicial],tblMatrizDeAdyacencia[[#This Row],[Nodo Orig.\Dest.]],tblRed[Nodo Final],tblMatrizDeAdyacencia[[#Headers],[I10]],tblRed[Activo],1)&gt;0,1,0)</f>
        <v>0</v>
      </c>
      <c r="AB6" s="16">
        <f>IF(COUNTIFS(tblRed[Nodo Inicial],tblMatrizDeAdyacencia[[#This Row],[Nodo Orig.\Dest.]],tblRed[Nodo Final],tblMatrizDeAdyacencia[[#Headers],[I11]],tblRed[Activo],1)&gt;0,1,0)</f>
        <v>0</v>
      </c>
      <c r="AC6" s="16">
        <f>IF(COUNTIFS(tblRed[Nodo Inicial],tblMatrizDeAdyacencia[[#This Row],[Nodo Orig.\Dest.]],tblRed[Nodo Final],tblMatrizDeAdyacencia[[#Headers],[I12]],tblRed[Activo],1)&gt;0,1,0)</f>
        <v>0</v>
      </c>
      <c r="AD6" s="16">
        <f>IF(COUNTIFS(tblRed[Nodo Inicial],tblMatrizDeAdyacencia[[#This Row],[Nodo Orig.\Dest.]],tblRed[Nodo Final],tblMatrizDeAdyacencia[[#Headers],[G1]],tblRed[Activo],1)&gt;0,1,0)</f>
        <v>0</v>
      </c>
      <c r="AE6" s="16">
        <f>IF(COUNTIFS(tblRed[Nodo Inicial],tblMatrizDeAdyacencia[[#This Row],[Nodo Orig.\Dest.]],tblRed[Nodo Final],tblMatrizDeAdyacencia[[#Headers],[G2]],tblRed[Activo],1)&gt;0,1,0)</f>
        <v>0</v>
      </c>
      <c r="AF6" s="16">
        <f>IF(COUNTIFS(tblRed[Nodo Inicial],tblMatrizDeAdyacencia[[#This Row],[Nodo Orig.\Dest.]],tblRed[Nodo Final],tblMatrizDeAdyacencia[[#Headers],[G3]],tblRed[Activo],1)&gt;0,1,0)</f>
        <v>0</v>
      </c>
      <c r="AG6" s="16">
        <f>IF(COUNTIFS(tblRed[Nodo Inicial],tblMatrizDeAdyacencia[[#This Row],[Nodo Orig.\Dest.]],tblRed[Nodo Final],tblMatrizDeAdyacencia[[#Headers],[G4]],tblRed[Activo],1)&gt;0,1,0)</f>
        <v>0</v>
      </c>
      <c r="AH6" s="16">
        <f>IF(COUNTIFS(tblRed[Nodo Inicial],tblMatrizDeAdyacencia[[#This Row],[Nodo Orig.\Dest.]],tblRed[Nodo Final],tblMatrizDeAdyacencia[[#Headers],[D1]],tblRed[Activo],1)&gt;0,1,0)</f>
        <v>0</v>
      </c>
    </row>
    <row r="7" spans="2:34" ht="17.25" customHeight="1" x14ac:dyDescent="0.25">
      <c r="B7" s="12" t="str">
        <f>VLOOKUP(tblMatrizDeAdyacencia[[#This Row],[Nodo Orig.\Dest.]],tblNodos[],2,FALSE)</f>
        <v>Financiación mediante coerción y exacción</v>
      </c>
      <c r="C7" s="4" t="s">
        <v>31</v>
      </c>
      <c r="D7" s="16">
        <f>IF(COUNTIFS(tblRed[Nodo Inicial],tblMatrizDeAdyacencia[[#This Row],[Nodo Orig.\Dest.]],tblRed[Nodo Final],tblMatrizDeAdyacencia[[#Headers],[O1]],tblRed[Activo],1)&gt;0,1,0)</f>
        <v>0</v>
      </c>
      <c r="E7" s="16">
        <f>IF(COUNTIFS(tblRed[Nodo Inicial],tblMatrizDeAdyacencia[[#This Row],[Nodo Orig.\Dest.]],tblRed[Nodo Final],tblMatrizDeAdyacencia[[#Headers],[O2]],tblRed[Activo],1)&gt;0,1,0)</f>
        <v>0</v>
      </c>
      <c r="F7" s="16">
        <f>IF(COUNTIFS(tblRed[Nodo Inicial],tblMatrizDeAdyacencia[[#This Row],[Nodo Orig.\Dest.]],tblRed[Nodo Final],tblMatrizDeAdyacencia[[#Headers],[O3]],tblRed[Activo],1)&gt;0,1,0)</f>
        <v>0</v>
      </c>
      <c r="G7" s="72">
        <f>IF(COUNTIFS(tblRed[Nodo Inicial],tblMatrizDeAdyacencia[[#This Row],[Nodo Orig.\Dest.]],tblRed[Nodo Final],tblMatrizDeAdyacencia[[#Headers],[O4]],tblRed[Activo],1)&gt;0,1,0)</f>
        <v>0</v>
      </c>
      <c r="H7" s="16">
        <f>IF(COUNTIFS(tblRed[Nodo Inicial],tblMatrizDeAdyacencia[[#This Row],[Nodo Orig.\Dest.]],tblRed[Nodo Final],tblMatrizDeAdyacencia[[#Headers],[O5]],tblRed[Activo],1)&gt;0,1,0)</f>
        <v>0</v>
      </c>
      <c r="I7" s="16">
        <f>IF(COUNTIFS(tblRed[Nodo Inicial],tblMatrizDeAdyacencia[[#This Row],[Nodo Orig.\Dest.]],tblRed[Nodo Final],tblMatrizDeAdyacencia[[#Headers],[O6]],tblRed[Activo],1)&gt;0,1,0)</f>
        <v>0</v>
      </c>
      <c r="J7" s="16">
        <f>IF(COUNTIFS(tblRed[Nodo Inicial],tblMatrizDeAdyacencia[[#This Row],[Nodo Orig.\Dest.]],tblRed[Nodo Final],tblMatrizDeAdyacencia[[#Headers],[O7]],tblRed[Activo],1)&gt;0,1,0)</f>
        <v>0</v>
      </c>
      <c r="K7" s="16">
        <f>IF(COUNTIFS(tblRed[Nodo Inicial],tblMatrizDeAdyacencia[[#This Row],[Nodo Orig.\Dest.]],tblRed[Nodo Final],tblMatrizDeAdyacencia[[#Headers],[O8]],tblRed[Activo],1)&gt;0,1,0)</f>
        <v>0</v>
      </c>
      <c r="L7" s="16">
        <f>IF(COUNTIFS(tblRed[Nodo Inicial],tblMatrizDeAdyacencia[[#This Row],[Nodo Orig.\Dest.]],tblRed[Nodo Final],tblMatrizDeAdyacencia[[#Headers],[C1]],tblRed[Activo],1)&gt;0,1,0)</f>
        <v>1</v>
      </c>
      <c r="M7" s="16">
        <f>IF(COUNTIFS(tblRed[Nodo Inicial],tblMatrizDeAdyacencia[[#This Row],[Nodo Orig.\Dest.]],tblRed[Nodo Final],tblMatrizDeAdyacencia[[#Headers],[C2]],tblRed[Activo],1)&gt;0,1,0)</f>
        <v>0</v>
      </c>
      <c r="N7" s="16">
        <f>IF(COUNTIFS(tblRed[Nodo Inicial],tblMatrizDeAdyacencia[[#This Row],[Nodo Orig.\Dest.]],tblRed[Nodo Final],tblMatrizDeAdyacencia[[#Headers],[C3]],tblRed[Activo],1)&gt;0,1,0)</f>
        <v>0</v>
      </c>
      <c r="O7" s="16">
        <f>IF(COUNTIFS(tblRed[Nodo Inicial],tblMatrizDeAdyacencia[[#This Row],[Nodo Orig.\Dest.]],tblRed[Nodo Final],tblMatrizDeAdyacencia[[#Headers],[C4]],tblRed[Activo],1)&gt;0,1,0)</f>
        <v>0</v>
      </c>
      <c r="P7" s="16">
        <f>IF(COUNTIFS(tblRed[Nodo Inicial],tblMatrizDeAdyacencia[[#This Row],[Nodo Orig.\Dest.]],tblRed[Nodo Final],tblMatrizDeAdyacencia[[#Headers],[C5]],tblRed[Activo],1)&gt;0,1,0)</f>
        <v>0</v>
      </c>
      <c r="Q7" s="16">
        <f>IF(COUNTIFS(tblRed[Nodo Inicial],tblMatrizDeAdyacencia[[#This Row],[Nodo Orig.\Dest.]],tblRed[Nodo Final],tblMatrizDeAdyacencia[[#Headers],[C6]],tblRed[Activo],1)&gt;0,1,0)</f>
        <v>0</v>
      </c>
      <c r="R7" s="16">
        <f>IF(COUNTIFS(tblRed[Nodo Inicial],tblMatrizDeAdyacencia[[#This Row],[Nodo Orig.\Dest.]],tblRed[Nodo Final],tblMatrizDeAdyacencia[[#Headers],[I1]],tblRed[Activo],1)&gt;0,1,0)</f>
        <v>0</v>
      </c>
      <c r="S7" s="16">
        <f>IF(COUNTIFS(tblRed[Nodo Inicial],tblMatrizDeAdyacencia[[#This Row],[Nodo Orig.\Dest.]],tblRed[Nodo Final],tblMatrizDeAdyacencia[[#Headers],[I2]],tblRed[Activo],1)&gt;0,1,0)</f>
        <v>0</v>
      </c>
      <c r="T7" s="16">
        <f>IF(COUNTIFS(tblRed[Nodo Inicial],tblMatrizDeAdyacencia[[#This Row],[Nodo Orig.\Dest.]],tblRed[Nodo Final],tblMatrizDeAdyacencia[[#Headers],[I3]],tblRed[Activo],1)&gt;0,1,0)</f>
        <v>0</v>
      </c>
      <c r="U7" s="16">
        <f>IF(COUNTIFS(tblRed[Nodo Inicial],tblMatrizDeAdyacencia[[#This Row],[Nodo Orig.\Dest.]],tblRed[Nodo Final],tblMatrizDeAdyacencia[[#Headers],[I4]],tblRed[Activo],1)&gt;0,1,0)</f>
        <v>0</v>
      </c>
      <c r="V7" s="17">
        <f>IF(COUNTIFS(tblRed[Nodo Inicial],tblMatrizDeAdyacencia[[#This Row],[Nodo Orig.\Dest.]],tblRed[Nodo Final],tblMatrizDeAdyacencia[[#Headers],[I5]],tblRed[Activo],1)&gt;0,1,0)</f>
        <v>0</v>
      </c>
      <c r="W7" s="16">
        <f>IF(COUNTIFS(tblRed[Nodo Inicial],tblMatrizDeAdyacencia[[#This Row],[Nodo Orig.\Dest.]],tblRed[Nodo Final],tblMatrizDeAdyacencia[[#Headers],[I6]],tblRed[Activo],1)&gt;0,1,0)</f>
        <v>0</v>
      </c>
      <c r="X7" s="16">
        <f>IF(COUNTIFS(tblRed[Nodo Inicial],tblMatrizDeAdyacencia[[#This Row],[Nodo Orig.\Dest.]],tblRed[Nodo Final],tblMatrizDeAdyacencia[[#Headers],[I7]],tblRed[Activo],1)&gt;0,1,0)</f>
        <v>0</v>
      </c>
      <c r="Y7" s="16">
        <f>IF(COUNTIFS(tblRed[Nodo Inicial],tblMatrizDeAdyacencia[[#This Row],[Nodo Orig.\Dest.]],tblRed[Nodo Final],tblMatrizDeAdyacencia[[#Headers],[I8]],tblRed[Activo],1)&gt;0,1,0)</f>
        <v>0</v>
      </c>
      <c r="Z7" s="16">
        <f>IF(COUNTIFS(tblRed[Nodo Inicial],tblMatrizDeAdyacencia[[#This Row],[Nodo Orig.\Dest.]],tblRed[Nodo Final],tblMatrizDeAdyacencia[[#Headers],[I9]],tblRed[Activo],1)&gt;0,1,0)</f>
        <v>0</v>
      </c>
      <c r="AA7" s="16">
        <f>IF(COUNTIFS(tblRed[Nodo Inicial],tblMatrizDeAdyacencia[[#This Row],[Nodo Orig.\Dest.]],tblRed[Nodo Final],tblMatrizDeAdyacencia[[#Headers],[I10]],tblRed[Activo],1)&gt;0,1,0)</f>
        <v>0</v>
      </c>
      <c r="AB7" s="16">
        <f>IF(COUNTIFS(tblRed[Nodo Inicial],tblMatrizDeAdyacencia[[#This Row],[Nodo Orig.\Dest.]],tblRed[Nodo Final],tblMatrizDeAdyacencia[[#Headers],[I11]],tblRed[Activo],1)&gt;0,1,0)</f>
        <v>0</v>
      </c>
      <c r="AC7" s="16">
        <f>IF(COUNTIFS(tblRed[Nodo Inicial],tblMatrizDeAdyacencia[[#This Row],[Nodo Orig.\Dest.]],tblRed[Nodo Final],tblMatrizDeAdyacencia[[#Headers],[I12]],tblRed[Activo],1)&gt;0,1,0)</f>
        <v>0</v>
      </c>
      <c r="AD7" s="16">
        <f>IF(COUNTIFS(tblRed[Nodo Inicial],tblMatrizDeAdyacencia[[#This Row],[Nodo Orig.\Dest.]],tblRed[Nodo Final],tblMatrizDeAdyacencia[[#Headers],[G1]],tblRed[Activo],1)&gt;0,1,0)</f>
        <v>0</v>
      </c>
      <c r="AE7" s="16">
        <f>IF(COUNTIFS(tblRed[Nodo Inicial],tblMatrizDeAdyacencia[[#This Row],[Nodo Orig.\Dest.]],tblRed[Nodo Final],tblMatrizDeAdyacencia[[#Headers],[G2]],tblRed[Activo],1)&gt;0,1,0)</f>
        <v>0</v>
      </c>
      <c r="AF7" s="16">
        <f>IF(COUNTIFS(tblRed[Nodo Inicial],tblMatrizDeAdyacencia[[#This Row],[Nodo Orig.\Dest.]],tblRed[Nodo Final],tblMatrizDeAdyacencia[[#Headers],[G3]],tblRed[Activo],1)&gt;0,1,0)</f>
        <v>0</v>
      </c>
      <c r="AG7" s="16">
        <f>IF(COUNTIFS(tblRed[Nodo Inicial],tblMatrizDeAdyacencia[[#This Row],[Nodo Orig.\Dest.]],tblRed[Nodo Final],tblMatrizDeAdyacencia[[#Headers],[G4]],tblRed[Activo],1)&gt;0,1,0)</f>
        <v>0</v>
      </c>
      <c r="AH7" s="16">
        <f>IF(COUNTIFS(tblRed[Nodo Inicial],tblMatrizDeAdyacencia[[#This Row],[Nodo Orig.\Dest.]],tblRed[Nodo Final],tblMatrizDeAdyacencia[[#Headers],[D1]],tblRed[Activo],1)&gt;0,1,0)</f>
        <v>0</v>
      </c>
    </row>
    <row r="8" spans="2:34" ht="17.25" customHeight="1" x14ac:dyDescent="0.25">
      <c r="B8" s="12" t="str">
        <f>VLOOKUP(tblMatrizDeAdyacencia[[#This Row],[Nodo Orig.\Dest.]],tblNodos[],2,FALSE)</f>
        <v>Explotación de personas y movilidad forzada</v>
      </c>
      <c r="C8" s="4" t="s">
        <v>33</v>
      </c>
      <c r="D8" s="16">
        <f>IF(COUNTIFS(tblRed[Nodo Inicial],tblMatrizDeAdyacencia[[#This Row],[Nodo Orig.\Dest.]],tblRed[Nodo Final],tblMatrizDeAdyacencia[[#Headers],[O1]],tblRed[Activo],1)&gt;0,1,0)</f>
        <v>0</v>
      </c>
      <c r="E8" s="16">
        <f>IF(COUNTIFS(tblRed[Nodo Inicial],tblMatrizDeAdyacencia[[#This Row],[Nodo Orig.\Dest.]],tblRed[Nodo Final],tblMatrizDeAdyacencia[[#Headers],[O2]],tblRed[Activo],1)&gt;0,1,0)</f>
        <v>0</v>
      </c>
      <c r="F8" s="16">
        <f>IF(COUNTIFS(tblRed[Nodo Inicial],tblMatrizDeAdyacencia[[#This Row],[Nodo Orig.\Dest.]],tblRed[Nodo Final],tblMatrizDeAdyacencia[[#Headers],[O3]],tblRed[Activo],1)&gt;0,1,0)</f>
        <v>0</v>
      </c>
      <c r="G8" s="16">
        <f>IF(COUNTIFS(tblRed[Nodo Inicial],tblMatrizDeAdyacencia[[#This Row],[Nodo Orig.\Dest.]],tblRed[Nodo Final],tblMatrizDeAdyacencia[[#Headers],[O4]],tblRed[Activo],1)&gt;0,1,0)</f>
        <v>0</v>
      </c>
      <c r="H8" s="72">
        <f>IF(COUNTIFS(tblRed[Nodo Inicial],tblMatrizDeAdyacencia[[#This Row],[Nodo Orig.\Dest.]],tblRed[Nodo Final],tblMatrizDeAdyacencia[[#Headers],[O5]],tblRed[Activo],1)&gt;0,1,0)</f>
        <v>0</v>
      </c>
      <c r="I8" s="16">
        <f>IF(COUNTIFS(tblRed[Nodo Inicial],tblMatrizDeAdyacencia[[#This Row],[Nodo Orig.\Dest.]],tblRed[Nodo Final],tblMatrizDeAdyacencia[[#Headers],[O6]],tblRed[Activo],1)&gt;0,1,0)</f>
        <v>0</v>
      </c>
      <c r="J8" s="16">
        <f>IF(COUNTIFS(tblRed[Nodo Inicial],tblMatrizDeAdyacencia[[#This Row],[Nodo Orig.\Dest.]],tblRed[Nodo Final],tblMatrizDeAdyacencia[[#Headers],[O7]],tblRed[Activo],1)&gt;0,1,0)</f>
        <v>0</v>
      </c>
      <c r="K8" s="16">
        <f>IF(COUNTIFS(tblRed[Nodo Inicial],tblMatrizDeAdyacencia[[#This Row],[Nodo Orig.\Dest.]],tblRed[Nodo Final],tblMatrizDeAdyacencia[[#Headers],[O8]],tblRed[Activo],1)&gt;0,1,0)</f>
        <v>0</v>
      </c>
      <c r="L8" s="16">
        <f>IF(COUNTIFS(tblRed[Nodo Inicial],tblMatrizDeAdyacencia[[#This Row],[Nodo Orig.\Dest.]],tblRed[Nodo Final],tblMatrizDeAdyacencia[[#Headers],[C1]],tblRed[Activo],1)&gt;0,1,0)</f>
        <v>1</v>
      </c>
      <c r="M8" s="16">
        <f>IF(COUNTIFS(tblRed[Nodo Inicial],tblMatrizDeAdyacencia[[#This Row],[Nodo Orig.\Dest.]],tblRed[Nodo Final],tblMatrizDeAdyacencia[[#Headers],[C2]],tblRed[Activo],1)&gt;0,1,0)</f>
        <v>0</v>
      </c>
      <c r="N8" s="16">
        <f>IF(COUNTIFS(tblRed[Nodo Inicial],tblMatrizDeAdyacencia[[#This Row],[Nodo Orig.\Dest.]],tblRed[Nodo Final],tblMatrizDeAdyacencia[[#Headers],[C3]],tblRed[Activo],1)&gt;0,1,0)</f>
        <v>0</v>
      </c>
      <c r="O8" s="16">
        <f>IF(COUNTIFS(tblRed[Nodo Inicial],tblMatrizDeAdyacencia[[#This Row],[Nodo Orig.\Dest.]],tblRed[Nodo Final],tblMatrizDeAdyacencia[[#Headers],[C4]],tblRed[Activo],1)&gt;0,1,0)</f>
        <v>0</v>
      </c>
      <c r="P8" s="16">
        <f>IF(COUNTIFS(tblRed[Nodo Inicial],tblMatrizDeAdyacencia[[#This Row],[Nodo Orig.\Dest.]],tblRed[Nodo Final],tblMatrizDeAdyacencia[[#Headers],[C5]],tblRed[Activo],1)&gt;0,1,0)</f>
        <v>0</v>
      </c>
      <c r="Q8" s="16">
        <f>IF(COUNTIFS(tblRed[Nodo Inicial],tblMatrizDeAdyacencia[[#This Row],[Nodo Orig.\Dest.]],tblRed[Nodo Final],tblMatrizDeAdyacencia[[#Headers],[C6]],tblRed[Activo],1)&gt;0,1,0)</f>
        <v>0</v>
      </c>
      <c r="R8" s="16">
        <f>IF(COUNTIFS(tblRed[Nodo Inicial],tblMatrizDeAdyacencia[[#This Row],[Nodo Orig.\Dest.]],tblRed[Nodo Final],tblMatrizDeAdyacencia[[#Headers],[I1]],tblRed[Activo],1)&gt;0,1,0)</f>
        <v>0</v>
      </c>
      <c r="S8" s="16">
        <f>IF(COUNTIFS(tblRed[Nodo Inicial],tblMatrizDeAdyacencia[[#This Row],[Nodo Orig.\Dest.]],tblRed[Nodo Final],tblMatrizDeAdyacencia[[#Headers],[I2]],tblRed[Activo],1)&gt;0,1,0)</f>
        <v>0</v>
      </c>
      <c r="T8" s="16">
        <f>IF(COUNTIFS(tblRed[Nodo Inicial],tblMatrizDeAdyacencia[[#This Row],[Nodo Orig.\Dest.]],tblRed[Nodo Final],tblMatrizDeAdyacencia[[#Headers],[I3]],tblRed[Activo],1)&gt;0,1,0)</f>
        <v>0</v>
      </c>
      <c r="U8" s="16">
        <f>IF(COUNTIFS(tblRed[Nodo Inicial],tblMatrizDeAdyacencia[[#This Row],[Nodo Orig.\Dest.]],tblRed[Nodo Final],tblMatrizDeAdyacencia[[#Headers],[I4]],tblRed[Activo],1)&gt;0,1,0)</f>
        <v>0</v>
      </c>
      <c r="V8" s="17">
        <f>IF(COUNTIFS(tblRed[Nodo Inicial],tblMatrizDeAdyacencia[[#This Row],[Nodo Orig.\Dest.]],tblRed[Nodo Final],tblMatrizDeAdyacencia[[#Headers],[I5]],tblRed[Activo],1)&gt;0,1,0)</f>
        <v>0</v>
      </c>
      <c r="W8" s="16">
        <f>IF(COUNTIFS(tblRed[Nodo Inicial],tblMatrizDeAdyacencia[[#This Row],[Nodo Orig.\Dest.]],tblRed[Nodo Final],tblMatrizDeAdyacencia[[#Headers],[I6]],tblRed[Activo],1)&gt;0,1,0)</f>
        <v>0</v>
      </c>
      <c r="X8" s="16">
        <f>IF(COUNTIFS(tblRed[Nodo Inicial],tblMatrizDeAdyacencia[[#This Row],[Nodo Orig.\Dest.]],tblRed[Nodo Final],tblMatrizDeAdyacencia[[#Headers],[I7]],tblRed[Activo],1)&gt;0,1,0)</f>
        <v>0</v>
      </c>
      <c r="Y8" s="16">
        <f>IF(COUNTIFS(tblRed[Nodo Inicial],tblMatrizDeAdyacencia[[#This Row],[Nodo Orig.\Dest.]],tblRed[Nodo Final],tblMatrizDeAdyacencia[[#Headers],[I8]],tblRed[Activo],1)&gt;0,1,0)</f>
        <v>0</v>
      </c>
      <c r="Z8" s="16">
        <f>IF(COUNTIFS(tblRed[Nodo Inicial],tblMatrizDeAdyacencia[[#This Row],[Nodo Orig.\Dest.]],tblRed[Nodo Final],tblMatrizDeAdyacencia[[#Headers],[I9]],tblRed[Activo],1)&gt;0,1,0)</f>
        <v>0</v>
      </c>
      <c r="AA8" s="16">
        <f>IF(COUNTIFS(tblRed[Nodo Inicial],tblMatrizDeAdyacencia[[#This Row],[Nodo Orig.\Dest.]],tblRed[Nodo Final],tblMatrizDeAdyacencia[[#Headers],[I10]],tblRed[Activo],1)&gt;0,1,0)</f>
        <v>0</v>
      </c>
      <c r="AB8" s="16">
        <f>IF(COUNTIFS(tblRed[Nodo Inicial],tblMatrizDeAdyacencia[[#This Row],[Nodo Orig.\Dest.]],tblRed[Nodo Final],tblMatrizDeAdyacencia[[#Headers],[I11]],tblRed[Activo],1)&gt;0,1,0)</f>
        <v>0</v>
      </c>
      <c r="AC8" s="16">
        <f>IF(COUNTIFS(tblRed[Nodo Inicial],tblMatrizDeAdyacencia[[#This Row],[Nodo Orig.\Dest.]],tblRed[Nodo Final],tblMatrizDeAdyacencia[[#Headers],[I12]],tblRed[Activo],1)&gt;0,1,0)</f>
        <v>1</v>
      </c>
      <c r="AD8" s="16">
        <f>IF(COUNTIFS(tblRed[Nodo Inicial],tblMatrizDeAdyacencia[[#This Row],[Nodo Orig.\Dest.]],tblRed[Nodo Final],tblMatrizDeAdyacencia[[#Headers],[G1]],tblRed[Activo],1)&gt;0,1,0)</f>
        <v>0</v>
      </c>
      <c r="AE8" s="16">
        <f>IF(COUNTIFS(tblRed[Nodo Inicial],tblMatrizDeAdyacencia[[#This Row],[Nodo Orig.\Dest.]],tblRed[Nodo Final],tblMatrizDeAdyacencia[[#Headers],[G2]],tblRed[Activo],1)&gt;0,1,0)</f>
        <v>0</v>
      </c>
      <c r="AF8" s="16">
        <f>IF(COUNTIFS(tblRed[Nodo Inicial],tblMatrizDeAdyacencia[[#This Row],[Nodo Orig.\Dest.]],tblRed[Nodo Final],tblMatrizDeAdyacencia[[#Headers],[G3]],tblRed[Activo],1)&gt;0,1,0)</f>
        <v>0</v>
      </c>
      <c r="AG8" s="16">
        <f>IF(COUNTIFS(tblRed[Nodo Inicial],tblMatrizDeAdyacencia[[#This Row],[Nodo Orig.\Dest.]],tblRed[Nodo Final],tblMatrizDeAdyacencia[[#Headers],[G4]],tblRed[Activo],1)&gt;0,1,0)</f>
        <v>0</v>
      </c>
      <c r="AH8" s="16">
        <f>IF(COUNTIFS(tblRed[Nodo Inicial],tblMatrizDeAdyacencia[[#This Row],[Nodo Orig.\Dest.]],tblRed[Nodo Final],tblMatrizDeAdyacencia[[#Headers],[D1]],tblRed[Activo],1)&gt;0,1,0)</f>
        <v>0</v>
      </c>
    </row>
    <row r="9" spans="2:34" ht="17.25" customHeight="1" x14ac:dyDescent="0.25">
      <c r="B9" s="12" t="str">
        <f>VLOOKUP(tblMatrizDeAdyacencia[[#This Row],[Nodo Orig.\Dest.]],tblNodos[],2,FALSE)</f>
        <v>Actividades criminales y mercados ilícitos</v>
      </c>
      <c r="C9" s="4" t="s">
        <v>35</v>
      </c>
      <c r="D9" s="16">
        <f>IF(COUNTIFS(tblRed[Nodo Inicial],tblMatrizDeAdyacencia[[#This Row],[Nodo Orig.\Dest.]],tblRed[Nodo Final],tblMatrizDeAdyacencia[[#Headers],[O1]],tblRed[Activo],1)&gt;0,1,0)</f>
        <v>0</v>
      </c>
      <c r="E9" s="16">
        <f>IF(COUNTIFS(tblRed[Nodo Inicial],tblMatrizDeAdyacencia[[#This Row],[Nodo Orig.\Dest.]],tblRed[Nodo Final],tblMatrizDeAdyacencia[[#Headers],[O2]],tblRed[Activo],1)&gt;0,1,0)</f>
        <v>0</v>
      </c>
      <c r="F9" s="16">
        <f>IF(COUNTIFS(tblRed[Nodo Inicial],tblMatrizDeAdyacencia[[#This Row],[Nodo Orig.\Dest.]],tblRed[Nodo Final],tblMatrizDeAdyacencia[[#Headers],[O3]],tblRed[Activo],1)&gt;0,1,0)</f>
        <v>0</v>
      </c>
      <c r="G9" s="16">
        <f>IF(COUNTIFS(tblRed[Nodo Inicial],tblMatrizDeAdyacencia[[#This Row],[Nodo Orig.\Dest.]],tblRed[Nodo Final],tblMatrizDeAdyacencia[[#Headers],[O4]],tblRed[Activo],1)&gt;0,1,0)</f>
        <v>0</v>
      </c>
      <c r="H9" s="16">
        <f>IF(COUNTIFS(tblRed[Nodo Inicial],tblMatrizDeAdyacencia[[#This Row],[Nodo Orig.\Dest.]],tblRed[Nodo Final],tblMatrizDeAdyacencia[[#Headers],[O5]],tblRed[Activo],1)&gt;0,1,0)</f>
        <v>0</v>
      </c>
      <c r="I9" s="72">
        <f>IF(COUNTIFS(tblRed[Nodo Inicial],tblMatrizDeAdyacencia[[#This Row],[Nodo Orig.\Dest.]],tblRed[Nodo Final],tblMatrizDeAdyacencia[[#Headers],[O6]],tblRed[Activo],1)&gt;0,1,0)</f>
        <v>0</v>
      </c>
      <c r="J9" s="16">
        <f>IF(COUNTIFS(tblRed[Nodo Inicial],tblMatrizDeAdyacencia[[#This Row],[Nodo Orig.\Dest.]],tblRed[Nodo Final],tblMatrizDeAdyacencia[[#Headers],[O7]],tblRed[Activo],1)&gt;0,1,0)</f>
        <v>0</v>
      </c>
      <c r="K9" s="16">
        <f>IF(COUNTIFS(tblRed[Nodo Inicial],tblMatrizDeAdyacencia[[#This Row],[Nodo Orig.\Dest.]],tblRed[Nodo Final],tblMatrizDeAdyacencia[[#Headers],[O8]],tblRed[Activo],1)&gt;0,1,0)</f>
        <v>0</v>
      </c>
      <c r="L9" s="16">
        <f>IF(COUNTIFS(tblRed[Nodo Inicial],tblMatrizDeAdyacencia[[#This Row],[Nodo Orig.\Dest.]],tblRed[Nodo Final],tblMatrizDeAdyacencia[[#Headers],[C1]],tblRed[Activo],1)&gt;0,1,0)</f>
        <v>0</v>
      </c>
      <c r="M9" s="16">
        <f>IF(COUNTIFS(tblRed[Nodo Inicial],tblMatrizDeAdyacencia[[#This Row],[Nodo Orig.\Dest.]],tblRed[Nodo Final],tblMatrizDeAdyacencia[[#Headers],[C2]],tblRed[Activo],1)&gt;0,1,0)</f>
        <v>0</v>
      </c>
      <c r="N9" s="16">
        <f>IF(COUNTIFS(tblRed[Nodo Inicial],tblMatrizDeAdyacencia[[#This Row],[Nodo Orig.\Dest.]],tblRed[Nodo Final],tblMatrizDeAdyacencia[[#Headers],[C3]],tblRed[Activo],1)&gt;0,1,0)</f>
        <v>0</v>
      </c>
      <c r="O9" s="16">
        <f>IF(COUNTIFS(tblRed[Nodo Inicial],tblMatrizDeAdyacencia[[#This Row],[Nodo Orig.\Dest.]],tblRed[Nodo Final],tblMatrizDeAdyacencia[[#Headers],[C4]],tblRed[Activo],1)&gt;0,1,0)</f>
        <v>0</v>
      </c>
      <c r="P9" s="16">
        <f>IF(COUNTIFS(tblRed[Nodo Inicial],tblMatrizDeAdyacencia[[#This Row],[Nodo Orig.\Dest.]],tblRed[Nodo Final],tblMatrizDeAdyacencia[[#Headers],[C5]],tblRed[Activo],1)&gt;0,1,0)</f>
        <v>0</v>
      </c>
      <c r="Q9" s="16">
        <f>IF(COUNTIFS(tblRed[Nodo Inicial],tblMatrizDeAdyacencia[[#This Row],[Nodo Orig.\Dest.]],tblRed[Nodo Final],tblMatrizDeAdyacencia[[#Headers],[C6]],tblRed[Activo],1)&gt;0,1,0)</f>
        <v>0</v>
      </c>
      <c r="R9" s="16">
        <f>IF(COUNTIFS(tblRed[Nodo Inicial],tblMatrizDeAdyacencia[[#This Row],[Nodo Orig.\Dest.]],tblRed[Nodo Final],tblMatrizDeAdyacencia[[#Headers],[I1]],tblRed[Activo],1)&gt;0,1,0)</f>
        <v>0</v>
      </c>
      <c r="S9" s="16">
        <f>IF(COUNTIFS(tblRed[Nodo Inicial],tblMatrizDeAdyacencia[[#This Row],[Nodo Orig.\Dest.]],tblRed[Nodo Final],tblMatrizDeAdyacencia[[#Headers],[I2]],tblRed[Activo],1)&gt;0,1,0)</f>
        <v>0</v>
      </c>
      <c r="T9" s="16">
        <f>IF(COUNTIFS(tblRed[Nodo Inicial],tblMatrizDeAdyacencia[[#This Row],[Nodo Orig.\Dest.]],tblRed[Nodo Final],tblMatrizDeAdyacencia[[#Headers],[I3]],tblRed[Activo],1)&gt;0,1,0)</f>
        <v>0</v>
      </c>
      <c r="U9" s="16">
        <f>IF(COUNTIFS(tblRed[Nodo Inicial],tblMatrizDeAdyacencia[[#This Row],[Nodo Orig.\Dest.]],tblRed[Nodo Final],tblMatrizDeAdyacencia[[#Headers],[I4]],tblRed[Activo],1)&gt;0,1,0)</f>
        <v>0</v>
      </c>
      <c r="V9" s="17">
        <f>IF(COUNTIFS(tblRed[Nodo Inicial],tblMatrizDeAdyacencia[[#This Row],[Nodo Orig.\Dest.]],tblRed[Nodo Final],tblMatrizDeAdyacencia[[#Headers],[I5]],tblRed[Activo],1)&gt;0,1,0)</f>
        <v>0</v>
      </c>
      <c r="W9" s="16">
        <f>IF(COUNTIFS(tblRed[Nodo Inicial],tblMatrizDeAdyacencia[[#This Row],[Nodo Orig.\Dest.]],tblRed[Nodo Final],tblMatrizDeAdyacencia[[#Headers],[I6]],tblRed[Activo],1)&gt;0,1,0)</f>
        <v>0</v>
      </c>
      <c r="X9" s="16">
        <f>IF(COUNTIFS(tblRed[Nodo Inicial],tblMatrizDeAdyacencia[[#This Row],[Nodo Orig.\Dest.]],tblRed[Nodo Final],tblMatrizDeAdyacencia[[#Headers],[I7]],tblRed[Activo],1)&gt;0,1,0)</f>
        <v>0</v>
      </c>
      <c r="Y9" s="16">
        <f>IF(COUNTIFS(tblRed[Nodo Inicial],tblMatrizDeAdyacencia[[#This Row],[Nodo Orig.\Dest.]],tblRed[Nodo Final],tblMatrizDeAdyacencia[[#Headers],[I8]],tblRed[Activo],1)&gt;0,1,0)</f>
        <v>0</v>
      </c>
      <c r="Z9" s="16">
        <f>IF(COUNTIFS(tblRed[Nodo Inicial],tblMatrizDeAdyacencia[[#This Row],[Nodo Orig.\Dest.]],tblRed[Nodo Final],tblMatrizDeAdyacencia[[#Headers],[I9]],tblRed[Activo],1)&gt;0,1,0)</f>
        <v>1</v>
      </c>
      <c r="AA9" s="16">
        <f>IF(COUNTIFS(tblRed[Nodo Inicial],tblMatrizDeAdyacencia[[#This Row],[Nodo Orig.\Dest.]],tblRed[Nodo Final],tblMatrizDeAdyacencia[[#Headers],[I10]],tblRed[Activo],1)&gt;0,1,0)</f>
        <v>0</v>
      </c>
      <c r="AB9" s="16">
        <f>IF(COUNTIFS(tblRed[Nodo Inicial],tblMatrizDeAdyacencia[[#This Row],[Nodo Orig.\Dest.]],tblRed[Nodo Final],tblMatrizDeAdyacencia[[#Headers],[I11]],tblRed[Activo],1)&gt;0,1,0)</f>
        <v>0</v>
      </c>
      <c r="AC9" s="16">
        <f>IF(COUNTIFS(tblRed[Nodo Inicial],tblMatrizDeAdyacencia[[#This Row],[Nodo Orig.\Dest.]],tblRed[Nodo Final],tblMatrizDeAdyacencia[[#Headers],[I12]],tblRed[Activo],1)&gt;0,1,0)</f>
        <v>0</v>
      </c>
      <c r="AD9" s="16">
        <f>IF(COUNTIFS(tblRed[Nodo Inicial],tblMatrizDeAdyacencia[[#This Row],[Nodo Orig.\Dest.]],tblRed[Nodo Final],tblMatrizDeAdyacencia[[#Headers],[G1]],tblRed[Activo],1)&gt;0,1,0)</f>
        <v>0</v>
      </c>
      <c r="AE9" s="16">
        <f>IF(COUNTIFS(tblRed[Nodo Inicial],tblMatrizDeAdyacencia[[#This Row],[Nodo Orig.\Dest.]],tblRed[Nodo Final],tblMatrizDeAdyacencia[[#Headers],[G2]],tblRed[Activo],1)&gt;0,1,0)</f>
        <v>0</v>
      </c>
      <c r="AF9" s="16">
        <f>IF(COUNTIFS(tblRed[Nodo Inicial],tblMatrizDeAdyacencia[[#This Row],[Nodo Orig.\Dest.]],tblRed[Nodo Final],tblMatrizDeAdyacencia[[#Headers],[G3]],tblRed[Activo],1)&gt;0,1,0)</f>
        <v>0</v>
      </c>
      <c r="AG9" s="16">
        <f>IF(COUNTIFS(tblRed[Nodo Inicial],tblMatrizDeAdyacencia[[#This Row],[Nodo Orig.\Dest.]],tblRed[Nodo Final],tblMatrizDeAdyacencia[[#Headers],[G4]],tblRed[Activo],1)&gt;0,1,0)</f>
        <v>0</v>
      </c>
      <c r="AH9" s="16">
        <f>IF(COUNTIFS(tblRed[Nodo Inicial],tblMatrizDeAdyacencia[[#This Row],[Nodo Orig.\Dest.]],tblRed[Nodo Final],tblMatrizDeAdyacencia[[#Headers],[D1]],tblRed[Activo],1)&gt;0,1,0)</f>
        <v>0</v>
      </c>
    </row>
    <row r="10" spans="2:34" ht="17.25" customHeight="1" x14ac:dyDescent="0.25">
      <c r="B10" s="12" t="str">
        <f>VLOOKUP(tblMatrizDeAdyacencia[[#This Row],[Nodo Orig.\Dest.]],tblNodos[],2,FALSE)</f>
        <v>Explotación de recursos naturales</v>
      </c>
      <c r="C10" s="4" t="s">
        <v>37</v>
      </c>
      <c r="D10" s="16">
        <f>IF(COUNTIFS(tblRed[Nodo Inicial],tblMatrizDeAdyacencia[[#This Row],[Nodo Orig.\Dest.]],tblRed[Nodo Final],tblMatrizDeAdyacencia[[#Headers],[O1]],tblRed[Activo],1)&gt;0,1,0)</f>
        <v>0</v>
      </c>
      <c r="E10" s="16">
        <f>IF(COUNTIFS(tblRed[Nodo Inicial],tblMatrizDeAdyacencia[[#This Row],[Nodo Orig.\Dest.]],tblRed[Nodo Final],tblMatrizDeAdyacencia[[#Headers],[O2]],tblRed[Activo],1)&gt;0,1,0)</f>
        <v>0</v>
      </c>
      <c r="F10" s="16">
        <f>IF(COUNTIFS(tblRed[Nodo Inicial],tblMatrizDeAdyacencia[[#This Row],[Nodo Orig.\Dest.]],tblRed[Nodo Final],tblMatrizDeAdyacencia[[#Headers],[O3]],tblRed[Activo],1)&gt;0,1,0)</f>
        <v>0</v>
      </c>
      <c r="G10" s="16">
        <f>IF(COUNTIFS(tblRed[Nodo Inicial],tblMatrizDeAdyacencia[[#This Row],[Nodo Orig.\Dest.]],tblRed[Nodo Final],tblMatrizDeAdyacencia[[#Headers],[O4]],tblRed[Activo],1)&gt;0,1,0)</f>
        <v>0</v>
      </c>
      <c r="H10" s="16">
        <f>IF(COUNTIFS(tblRed[Nodo Inicial],tblMatrizDeAdyacencia[[#This Row],[Nodo Orig.\Dest.]],tblRed[Nodo Final],tblMatrizDeAdyacencia[[#Headers],[O5]],tblRed[Activo],1)&gt;0,1,0)</f>
        <v>0</v>
      </c>
      <c r="I10" s="16">
        <f>IF(COUNTIFS(tblRed[Nodo Inicial],tblMatrizDeAdyacencia[[#This Row],[Nodo Orig.\Dest.]],tblRed[Nodo Final],tblMatrizDeAdyacencia[[#Headers],[O6]],tblRed[Activo],1)&gt;0,1,0)</f>
        <v>0</v>
      </c>
      <c r="J10" s="72">
        <f>IF(COUNTIFS(tblRed[Nodo Inicial],tblMatrizDeAdyacencia[[#This Row],[Nodo Orig.\Dest.]],tblRed[Nodo Final],tblMatrizDeAdyacencia[[#Headers],[O7]],tblRed[Activo],1)&gt;0,1,0)</f>
        <v>0</v>
      </c>
      <c r="K10" s="16">
        <f>IF(COUNTIFS(tblRed[Nodo Inicial],tblMatrizDeAdyacencia[[#This Row],[Nodo Orig.\Dest.]],tblRed[Nodo Final],tblMatrizDeAdyacencia[[#Headers],[O8]],tblRed[Activo],1)&gt;0,1,0)</f>
        <v>0</v>
      </c>
      <c r="L10" s="16">
        <f>IF(COUNTIFS(tblRed[Nodo Inicial],tblMatrizDeAdyacencia[[#This Row],[Nodo Orig.\Dest.]],tblRed[Nodo Final],tblMatrizDeAdyacencia[[#Headers],[C1]],tblRed[Activo],1)&gt;0,1,0)</f>
        <v>1</v>
      </c>
      <c r="M10" s="16">
        <f>IF(COUNTIFS(tblRed[Nodo Inicial],tblMatrizDeAdyacencia[[#This Row],[Nodo Orig.\Dest.]],tblRed[Nodo Final],tblMatrizDeAdyacencia[[#Headers],[C2]],tblRed[Activo],1)&gt;0,1,0)</f>
        <v>0</v>
      </c>
      <c r="N10" s="16">
        <f>IF(COUNTIFS(tblRed[Nodo Inicial],tblMatrizDeAdyacencia[[#This Row],[Nodo Orig.\Dest.]],tblRed[Nodo Final],tblMatrizDeAdyacencia[[#Headers],[C3]],tblRed[Activo],1)&gt;0,1,0)</f>
        <v>0</v>
      </c>
      <c r="O10" s="16">
        <f>IF(COUNTIFS(tblRed[Nodo Inicial],tblMatrizDeAdyacencia[[#This Row],[Nodo Orig.\Dest.]],tblRed[Nodo Final],tblMatrizDeAdyacencia[[#Headers],[C4]],tblRed[Activo],1)&gt;0,1,0)</f>
        <v>0</v>
      </c>
      <c r="P10" s="16">
        <f>IF(COUNTIFS(tblRed[Nodo Inicial],tblMatrizDeAdyacencia[[#This Row],[Nodo Orig.\Dest.]],tblRed[Nodo Final],tblMatrizDeAdyacencia[[#Headers],[C5]],tblRed[Activo],1)&gt;0,1,0)</f>
        <v>0</v>
      </c>
      <c r="Q10" s="16">
        <f>IF(COUNTIFS(tblRed[Nodo Inicial],tblMatrizDeAdyacencia[[#This Row],[Nodo Orig.\Dest.]],tblRed[Nodo Final],tblMatrizDeAdyacencia[[#Headers],[C6]],tblRed[Activo],1)&gt;0,1,0)</f>
        <v>0</v>
      </c>
      <c r="R10" s="16">
        <f>IF(COUNTIFS(tblRed[Nodo Inicial],tblMatrizDeAdyacencia[[#This Row],[Nodo Orig.\Dest.]],tblRed[Nodo Final],tblMatrizDeAdyacencia[[#Headers],[I1]],tblRed[Activo],1)&gt;0,1,0)</f>
        <v>0</v>
      </c>
      <c r="S10" s="16">
        <f>IF(COUNTIFS(tblRed[Nodo Inicial],tblMatrizDeAdyacencia[[#This Row],[Nodo Orig.\Dest.]],tblRed[Nodo Final],tblMatrizDeAdyacencia[[#Headers],[I2]],tblRed[Activo],1)&gt;0,1,0)</f>
        <v>0</v>
      </c>
      <c r="T10" s="16">
        <f>IF(COUNTIFS(tblRed[Nodo Inicial],tblMatrizDeAdyacencia[[#This Row],[Nodo Orig.\Dest.]],tblRed[Nodo Final],tblMatrizDeAdyacencia[[#Headers],[I3]],tblRed[Activo],1)&gt;0,1,0)</f>
        <v>0</v>
      </c>
      <c r="U10" s="16">
        <f>IF(COUNTIFS(tblRed[Nodo Inicial],tblMatrizDeAdyacencia[[#This Row],[Nodo Orig.\Dest.]],tblRed[Nodo Final],tblMatrizDeAdyacencia[[#Headers],[I4]],tblRed[Activo],1)&gt;0,1,0)</f>
        <v>0</v>
      </c>
      <c r="V10" s="17">
        <f>IF(COUNTIFS(tblRed[Nodo Inicial],tblMatrizDeAdyacencia[[#This Row],[Nodo Orig.\Dest.]],tblRed[Nodo Final],tblMatrizDeAdyacencia[[#Headers],[I5]],tblRed[Activo],1)&gt;0,1,0)</f>
        <v>0</v>
      </c>
      <c r="W10" s="16">
        <f>IF(COUNTIFS(tblRed[Nodo Inicial],tblMatrizDeAdyacencia[[#This Row],[Nodo Orig.\Dest.]],tblRed[Nodo Final],tblMatrizDeAdyacencia[[#Headers],[I6]],tblRed[Activo],1)&gt;0,1,0)</f>
        <v>0</v>
      </c>
      <c r="X10" s="16">
        <f>IF(COUNTIFS(tblRed[Nodo Inicial],tblMatrizDeAdyacencia[[#This Row],[Nodo Orig.\Dest.]],tblRed[Nodo Final],tblMatrizDeAdyacencia[[#Headers],[I7]],tblRed[Activo],1)&gt;0,1,0)</f>
        <v>0</v>
      </c>
      <c r="Y10" s="16">
        <f>IF(COUNTIFS(tblRed[Nodo Inicial],tblMatrizDeAdyacencia[[#This Row],[Nodo Orig.\Dest.]],tblRed[Nodo Final],tblMatrizDeAdyacencia[[#Headers],[I8]],tblRed[Activo],1)&gt;0,1,0)</f>
        <v>0</v>
      </c>
      <c r="Z10" s="16">
        <f>IF(COUNTIFS(tblRed[Nodo Inicial],tblMatrizDeAdyacencia[[#This Row],[Nodo Orig.\Dest.]],tblRed[Nodo Final],tblMatrizDeAdyacencia[[#Headers],[I9]],tblRed[Activo],1)&gt;0,1,0)</f>
        <v>1</v>
      </c>
      <c r="AA10" s="16">
        <f>IF(COUNTIFS(tblRed[Nodo Inicial],tblMatrizDeAdyacencia[[#This Row],[Nodo Orig.\Dest.]],tblRed[Nodo Final],tblMatrizDeAdyacencia[[#Headers],[I10]],tblRed[Activo],1)&gt;0,1,0)</f>
        <v>0</v>
      </c>
      <c r="AB10" s="16">
        <f>IF(COUNTIFS(tblRed[Nodo Inicial],tblMatrizDeAdyacencia[[#This Row],[Nodo Orig.\Dest.]],tblRed[Nodo Final],tblMatrizDeAdyacencia[[#Headers],[I11]],tblRed[Activo],1)&gt;0,1,0)</f>
        <v>0</v>
      </c>
      <c r="AC10" s="16">
        <f>IF(COUNTIFS(tblRed[Nodo Inicial],tblMatrizDeAdyacencia[[#This Row],[Nodo Orig.\Dest.]],tblRed[Nodo Final],tblMatrizDeAdyacencia[[#Headers],[I12]],tblRed[Activo],1)&gt;0,1,0)</f>
        <v>0</v>
      </c>
      <c r="AD10" s="16">
        <f>IF(COUNTIFS(tblRed[Nodo Inicial],tblMatrizDeAdyacencia[[#This Row],[Nodo Orig.\Dest.]],tblRed[Nodo Final],tblMatrizDeAdyacencia[[#Headers],[G1]],tblRed[Activo],1)&gt;0,1,0)</f>
        <v>0</v>
      </c>
      <c r="AE10" s="16">
        <f>IF(COUNTIFS(tblRed[Nodo Inicial],tblMatrizDeAdyacencia[[#This Row],[Nodo Orig.\Dest.]],tblRed[Nodo Final],tblMatrizDeAdyacencia[[#Headers],[G2]],tblRed[Activo],1)&gt;0,1,0)</f>
        <v>0</v>
      </c>
      <c r="AF10" s="16">
        <f>IF(COUNTIFS(tblRed[Nodo Inicial],tblMatrizDeAdyacencia[[#This Row],[Nodo Orig.\Dest.]],tblRed[Nodo Final],tblMatrizDeAdyacencia[[#Headers],[G3]],tblRed[Activo],1)&gt;0,1,0)</f>
        <v>0</v>
      </c>
      <c r="AG10" s="16">
        <f>IF(COUNTIFS(tblRed[Nodo Inicial],tblMatrizDeAdyacencia[[#This Row],[Nodo Orig.\Dest.]],tblRed[Nodo Final],tblMatrizDeAdyacencia[[#Headers],[G4]],tblRed[Activo],1)&gt;0,1,0)</f>
        <v>0</v>
      </c>
      <c r="AH10" s="16">
        <f>IF(COUNTIFS(tblRed[Nodo Inicial],tblMatrizDeAdyacencia[[#This Row],[Nodo Orig.\Dest.]],tblRed[Nodo Final],tblMatrizDeAdyacencia[[#Headers],[D1]],tblRed[Activo],1)&gt;0,1,0)</f>
        <v>0</v>
      </c>
    </row>
    <row r="11" spans="2:34" ht="17.25" customHeight="1" x14ac:dyDescent="0.25">
      <c r="B11" s="12" t="str">
        <f>VLOOKUP(tblMatrizDeAdyacencia[[#This Row],[Nodo Orig.\Dest.]],tblNodos[],2,FALSE)</f>
        <v>Valor digital</v>
      </c>
      <c r="C11" s="4" t="s">
        <v>39</v>
      </c>
      <c r="D11" s="16">
        <f>IF(COUNTIFS(tblRed[Nodo Inicial],tblMatrizDeAdyacencia[[#This Row],[Nodo Orig.\Dest.]],tblRed[Nodo Final],tblMatrizDeAdyacencia[[#Headers],[O1]],tblRed[Activo],1)&gt;0,1,0)</f>
        <v>0</v>
      </c>
      <c r="E11" s="16">
        <f>IF(COUNTIFS(tblRed[Nodo Inicial],tblMatrizDeAdyacencia[[#This Row],[Nodo Orig.\Dest.]],tblRed[Nodo Final],tblMatrizDeAdyacencia[[#Headers],[O2]],tblRed[Activo],1)&gt;0,1,0)</f>
        <v>0</v>
      </c>
      <c r="F11" s="16">
        <f>IF(COUNTIFS(tblRed[Nodo Inicial],tblMatrizDeAdyacencia[[#This Row],[Nodo Orig.\Dest.]],tblRed[Nodo Final],tblMatrizDeAdyacencia[[#Headers],[O3]],tblRed[Activo],1)&gt;0,1,0)</f>
        <v>0</v>
      </c>
      <c r="G11" s="16">
        <f>IF(COUNTIFS(tblRed[Nodo Inicial],tblMatrizDeAdyacencia[[#This Row],[Nodo Orig.\Dest.]],tblRed[Nodo Final],tblMatrizDeAdyacencia[[#Headers],[O4]],tblRed[Activo],1)&gt;0,1,0)</f>
        <v>0</v>
      </c>
      <c r="H11" s="16">
        <f>IF(COUNTIFS(tblRed[Nodo Inicial],tblMatrizDeAdyacencia[[#This Row],[Nodo Orig.\Dest.]],tblRed[Nodo Final],tblMatrizDeAdyacencia[[#Headers],[O5]],tblRed[Activo],1)&gt;0,1,0)</f>
        <v>0</v>
      </c>
      <c r="I11" s="16">
        <f>IF(COUNTIFS(tblRed[Nodo Inicial],tblMatrizDeAdyacencia[[#This Row],[Nodo Orig.\Dest.]],tblRed[Nodo Final],tblMatrizDeAdyacencia[[#Headers],[O6]],tblRed[Activo],1)&gt;0,1,0)</f>
        <v>0</v>
      </c>
      <c r="J11" s="16">
        <f>IF(COUNTIFS(tblRed[Nodo Inicial],tblMatrizDeAdyacencia[[#This Row],[Nodo Orig.\Dest.]],tblRed[Nodo Final],tblMatrizDeAdyacencia[[#Headers],[O7]],tblRed[Activo],1)&gt;0,1,0)</f>
        <v>0</v>
      </c>
      <c r="K11" s="72">
        <f>IF(COUNTIFS(tblRed[Nodo Inicial],tblMatrizDeAdyacencia[[#This Row],[Nodo Orig.\Dest.]],tblRed[Nodo Final],tblMatrizDeAdyacencia[[#Headers],[O8]],tblRed[Activo],1)&gt;0,1,0)</f>
        <v>0</v>
      </c>
      <c r="L11" s="16">
        <f>IF(COUNTIFS(tblRed[Nodo Inicial],tblMatrizDeAdyacencia[[#This Row],[Nodo Orig.\Dest.]],tblRed[Nodo Final],tblMatrizDeAdyacencia[[#Headers],[C1]],tblRed[Activo],1)&gt;0,1,0)</f>
        <v>0</v>
      </c>
      <c r="M11" s="16">
        <f>IF(COUNTIFS(tblRed[Nodo Inicial],tblMatrizDeAdyacencia[[#This Row],[Nodo Orig.\Dest.]],tblRed[Nodo Final],tblMatrizDeAdyacencia[[#Headers],[C2]],tblRed[Activo],1)&gt;0,1,0)</f>
        <v>0</v>
      </c>
      <c r="N11" s="16">
        <f>IF(COUNTIFS(tblRed[Nodo Inicial],tblMatrizDeAdyacencia[[#This Row],[Nodo Orig.\Dest.]],tblRed[Nodo Final],tblMatrizDeAdyacencia[[#Headers],[C3]],tblRed[Activo],1)&gt;0,1,0)</f>
        <v>0</v>
      </c>
      <c r="O11" s="16">
        <f>IF(COUNTIFS(tblRed[Nodo Inicial],tblMatrizDeAdyacencia[[#This Row],[Nodo Orig.\Dest.]],tblRed[Nodo Final],tblMatrizDeAdyacencia[[#Headers],[C4]],tblRed[Activo],1)&gt;0,1,0)</f>
        <v>1</v>
      </c>
      <c r="P11" s="16">
        <f>IF(COUNTIFS(tblRed[Nodo Inicial],tblMatrizDeAdyacencia[[#This Row],[Nodo Orig.\Dest.]],tblRed[Nodo Final],tblMatrizDeAdyacencia[[#Headers],[C5]],tblRed[Activo],1)&gt;0,1,0)</f>
        <v>0</v>
      </c>
      <c r="Q11" s="16">
        <f>IF(COUNTIFS(tblRed[Nodo Inicial],tblMatrizDeAdyacencia[[#This Row],[Nodo Orig.\Dest.]],tblRed[Nodo Final],tblMatrizDeAdyacencia[[#Headers],[C6]],tblRed[Activo],1)&gt;0,1,0)</f>
        <v>0</v>
      </c>
      <c r="R11" s="16">
        <f>IF(COUNTIFS(tblRed[Nodo Inicial],tblMatrizDeAdyacencia[[#This Row],[Nodo Orig.\Dest.]],tblRed[Nodo Final],tblMatrizDeAdyacencia[[#Headers],[I1]],tblRed[Activo],1)&gt;0,1,0)</f>
        <v>0</v>
      </c>
      <c r="S11" s="16">
        <f>IF(COUNTIFS(tblRed[Nodo Inicial],tblMatrizDeAdyacencia[[#This Row],[Nodo Orig.\Dest.]],tblRed[Nodo Final],tblMatrizDeAdyacencia[[#Headers],[I2]],tblRed[Activo],1)&gt;0,1,0)</f>
        <v>0</v>
      </c>
      <c r="T11" s="16">
        <f>IF(COUNTIFS(tblRed[Nodo Inicial],tblMatrizDeAdyacencia[[#This Row],[Nodo Orig.\Dest.]],tblRed[Nodo Final],tblMatrizDeAdyacencia[[#Headers],[I3]],tblRed[Activo],1)&gt;0,1,0)</f>
        <v>0</v>
      </c>
      <c r="U11" s="16">
        <f>IF(COUNTIFS(tblRed[Nodo Inicial],tblMatrizDeAdyacencia[[#This Row],[Nodo Orig.\Dest.]],tblRed[Nodo Final],tblMatrizDeAdyacencia[[#Headers],[I4]],tblRed[Activo],1)&gt;0,1,0)</f>
        <v>0</v>
      </c>
      <c r="V11" s="17">
        <f>IF(COUNTIFS(tblRed[Nodo Inicial],tblMatrizDeAdyacencia[[#This Row],[Nodo Orig.\Dest.]],tblRed[Nodo Final],tblMatrizDeAdyacencia[[#Headers],[I5]],tblRed[Activo],1)&gt;0,1,0)</f>
        <v>0</v>
      </c>
      <c r="W11" s="16">
        <f>IF(COUNTIFS(tblRed[Nodo Inicial],tblMatrizDeAdyacencia[[#This Row],[Nodo Orig.\Dest.]],tblRed[Nodo Final],tblMatrizDeAdyacencia[[#Headers],[I6]],tblRed[Activo],1)&gt;0,1,0)</f>
        <v>0</v>
      </c>
      <c r="X11" s="16">
        <f>IF(COUNTIFS(tblRed[Nodo Inicial],tblMatrizDeAdyacencia[[#This Row],[Nodo Orig.\Dest.]],tblRed[Nodo Final],tblMatrizDeAdyacencia[[#Headers],[I7]],tblRed[Activo],1)&gt;0,1,0)</f>
        <v>1</v>
      </c>
      <c r="Y11" s="16">
        <f>IF(COUNTIFS(tblRed[Nodo Inicial],tblMatrizDeAdyacencia[[#This Row],[Nodo Orig.\Dest.]],tblRed[Nodo Final],tblMatrizDeAdyacencia[[#Headers],[I8]],tblRed[Activo],1)&gt;0,1,0)</f>
        <v>0</v>
      </c>
      <c r="Z11" s="16">
        <f>IF(COUNTIFS(tblRed[Nodo Inicial],tblMatrizDeAdyacencia[[#This Row],[Nodo Orig.\Dest.]],tblRed[Nodo Final],tblMatrizDeAdyacencia[[#Headers],[I9]],tblRed[Activo],1)&gt;0,1,0)</f>
        <v>0</v>
      </c>
      <c r="AA11" s="16">
        <f>IF(COUNTIFS(tblRed[Nodo Inicial],tblMatrizDeAdyacencia[[#This Row],[Nodo Orig.\Dest.]],tblRed[Nodo Final],tblMatrizDeAdyacencia[[#Headers],[I10]],tblRed[Activo],1)&gt;0,1,0)</f>
        <v>0</v>
      </c>
      <c r="AB11" s="16">
        <f>IF(COUNTIFS(tblRed[Nodo Inicial],tblMatrizDeAdyacencia[[#This Row],[Nodo Orig.\Dest.]],tblRed[Nodo Final],tblMatrizDeAdyacencia[[#Headers],[I11]],tblRed[Activo],1)&gt;0,1,0)</f>
        <v>0</v>
      </c>
      <c r="AC11" s="16">
        <f>IF(COUNTIFS(tblRed[Nodo Inicial],tblMatrizDeAdyacencia[[#This Row],[Nodo Orig.\Dest.]],tblRed[Nodo Final],tblMatrizDeAdyacencia[[#Headers],[I12]],tblRed[Activo],1)&gt;0,1,0)</f>
        <v>0</v>
      </c>
      <c r="AD11" s="16">
        <f>IF(COUNTIFS(tblRed[Nodo Inicial],tblMatrizDeAdyacencia[[#This Row],[Nodo Orig.\Dest.]],tblRed[Nodo Final],tblMatrizDeAdyacencia[[#Headers],[G1]],tblRed[Activo],1)&gt;0,1,0)</f>
        <v>0</v>
      </c>
      <c r="AE11" s="16">
        <f>IF(COUNTIFS(tblRed[Nodo Inicial],tblMatrizDeAdyacencia[[#This Row],[Nodo Orig.\Dest.]],tblRed[Nodo Final],tblMatrizDeAdyacencia[[#Headers],[G2]],tblRed[Activo],1)&gt;0,1,0)</f>
        <v>0</v>
      </c>
      <c r="AF11" s="16">
        <f>IF(COUNTIFS(tblRed[Nodo Inicial],tblMatrizDeAdyacencia[[#This Row],[Nodo Orig.\Dest.]],tblRed[Nodo Final],tblMatrizDeAdyacencia[[#Headers],[G3]],tblRed[Activo],1)&gt;0,1,0)</f>
        <v>0</v>
      </c>
      <c r="AG11" s="16">
        <f>IF(COUNTIFS(tblRed[Nodo Inicial],tblMatrizDeAdyacencia[[#This Row],[Nodo Orig.\Dest.]],tblRed[Nodo Final],tblMatrizDeAdyacencia[[#Headers],[G4]],tblRed[Activo],1)&gt;0,1,0)</f>
        <v>0</v>
      </c>
      <c r="AH11" s="16">
        <f>IF(COUNTIFS(tblRed[Nodo Inicial],tblMatrizDeAdyacencia[[#This Row],[Nodo Orig.\Dest.]],tblRed[Nodo Final],tblMatrizDeAdyacencia[[#Headers],[D1]],tblRed[Activo],1)&gt;0,1,0)</f>
        <v>0</v>
      </c>
    </row>
    <row r="12" spans="2:34" ht="17.25" customHeight="1" x14ac:dyDescent="0.25">
      <c r="B12" s="12" t="str">
        <f>VLOOKUP(tblMatrizDeAdyacencia[[#This Row],[Nodo Orig.\Dest.]],tblNodos[],2,FALSE)</f>
        <v>Recaudación directa</v>
      </c>
      <c r="C12" s="4" t="s">
        <v>41</v>
      </c>
      <c r="D12" s="16">
        <f>IF(COUNTIFS(tblRed[Nodo Inicial],tblMatrizDeAdyacencia[[#This Row],[Nodo Orig.\Dest.]],tblRed[Nodo Final],tblMatrizDeAdyacencia[[#Headers],[O1]],tblRed[Activo],1)&gt;0,1,0)</f>
        <v>0</v>
      </c>
      <c r="E12" s="16">
        <f>IF(COUNTIFS(tblRed[Nodo Inicial],tblMatrizDeAdyacencia[[#This Row],[Nodo Orig.\Dest.]],tblRed[Nodo Final],tblMatrizDeAdyacencia[[#Headers],[O2]],tblRed[Activo],1)&gt;0,1,0)</f>
        <v>0</v>
      </c>
      <c r="F12" s="16">
        <f>IF(COUNTIFS(tblRed[Nodo Inicial],tblMatrizDeAdyacencia[[#This Row],[Nodo Orig.\Dest.]],tblRed[Nodo Final],tblMatrizDeAdyacencia[[#Headers],[O3]],tblRed[Activo],1)&gt;0,1,0)</f>
        <v>0</v>
      </c>
      <c r="G12" s="16">
        <f>IF(COUNTIFS(tblRed[Nodo Inicial],tblMatrizDeAdyacencia[[#This Row],[Nodo Orig.\Dest.]],tblRed[Nodo Final],tblMatrizDeAdyacencia[[#Headers],[O4]],tblRed[Activo],1)&gt;0,1,0)</f>
        <v>0</v>
      </c>
      <c r="H12" s="16">
        <f>IF(COUNTIFS(tblRed[Nodo Inicial],tblMatrizDeAdyacencia[[#This Row],[Nodo Orig.\Dest.]],tblRed[Nodo Final],tblMatrizDeAdyacencia[[#Headers],[O5]],tblRed[Activo],1)&gt;0,1,0)</f>
        <v>0</v>
      </c>
      <c r="I12" s="16">
        <f>IF(COUNTIFS(tblRed[Nodo Inicial],tblMatrizDeAdyacencia[[#This Row],[Nodo Orig.\Dest.]],tblRed[Nodo Final],tblMatrizDeAdyacencia[[#Headers],[O6]],tblRed[Activo],1)&gt;0,1,0)</f>
        <v>0</v>
      </c>
      <c r="J12" s="16">
        <f>IF(COUNTIFS(tblRed[Nodo Inicial],tblMatrizDeAdyacencia[[#This Row],[Nodo Orig.\Dest.]],tblRed[Nodo Final],tblMatrizDeAdyacencia[[#Headers],[O7]],tblRed[Activo],1)&gt;0,1,0)</f>
        <v>0</v>
      </c>
      <c r="K12" s="16">
        <f>IF(COUNTIFS(tblRed[Nodo Inicial],tblMatrizDeAdyacencia[[#This Row],[Nodo Orig.\Dest.]],tblRed[Nodo Final],tblMatrizDeAdyacencia[[#Headers],[O8]],tblRed[Activo],1)&gt;0,1,0)</f>
        <v>0</v>
      </c>
      <c r="L12" s="72">
        <f>IF(COUNTIFS(tblRed[Nodo Inicial],tblMatrizDeAdyacencia[[#This Row],[Nodo Orig.\Dest.]],tblRed[Nodo Final],tblMatrizDeAdyacencia[[#Headers],[C1]],tblRed[Activo],1)&gt;0,1,0)</f>
        <v>0</v>
      </c>
      <c r="M12" s="16">
        <f>IF(COUNTIFS(tblRed[Nodo Inicial],tblMatrizDeAdyacencia[[#This Row],[Nodo Orig.\Dest.]],tblRed[Nodo Final],tblMatrizDeAdyacencia[[#Headers],[C2]],tblRed[Activo],1)&gt;0,1,0)</f>
        <v>0</v>
      </c>
      <c r="N12" s="16">
        <f>IF(COUNTIFS(tblRed[Nodo Inicial],tblMatrizDeAdyacencia[[#This Row],[Nodo Orig.\Dest.]],tblRed[Nodo Final],tblMatrizDeAdyacencia[[#Headers],[C3]],tblRed[Activo],1)&gt;0,1,0)</f>
        <v>0</v>
      </c>
      <c r="O12" s="16">
        <f>IF(COUNTIFS(tblRed[Nodo Inicial],tblMatrizDeAdyacencia[[#This Row],[Nodo Orig.\Dest.]],tblRed[Nodo Final],tblMatrizDeAdyacencia[[#Headers],[C4]],tblRed[Activo],1)&gt;0,1,0)</f>
        <v>0</v>
      </c>
      <c r="P12" s="16">
        <f>IF(COUNTIFS(tblRed[Nodo Inicial],tblMatrizDeAdyacencia[[#This Row],[Nodo Orig.\Dest.]],tblRed[Nodo Final],tblMatrizDeAdyacencia[[#Headers],[C5]],tblRed[Activo],1)&gt;0,1,0)</f>
        <v>0</v>
      </c>
      <c r="Q12" s="16">
        <f>IF(COUNTIFS(tblRed[Nodo Inicial],tblMatrizDeAdyacencia[[#This Row],[Nodo Orig.\Dest.]],tblRed[Nodo Final],tblMatrizDeAdyacencia[[#Headers],[C6]],tblRed[Activo],1)&gt;0,1,0)</f>
        <v>0</v>
      </c>
      <c r="R12" s="16">
        <f>IF(COUNTIFS(tblRed[Nodo Inicial],tblMatrizDeAdyacencia[[#This Row],[Nodo Orig.\Dest.]],tblRed[Nodo Final],tblMatrizDeAdyacencia[[#Headers],[I1]],tblRed[Activo],1)&gt;0,1,0)</f>
        <v>1</v>
      </c>
      <c r="S12" s="16">
        <f>IF(COUNTIFS(tblRed[Nodo Inicial],tblMatrizDeAdyacencia[[#This Row],[Nodo Orig.\Dest.]],tblRed[Nodo Final],tblMatrizDeAdyacencia[[#Headers],[I2]],tblRed[Activo],1)&gt;0,1,0)</f>
        <v>0</v>
      </c>
      <c r="T12" s="16">
        <f>IF(COUNTIFS(tblRed[Nodo Inicial],tblMatrizDeAdyacencia[[#This Row],[Nodo Orig.\Dest.]],tblRed[Nodo Final],tblMatrizDeAdyacencia[[#Headers],[I3]],tblRed[Activo],1)&gt;0,1,0)</f>
        <v>0</v>
      </c>
      <c r="U12" s="16">
        <f>IF(COUNTIFS(tblRed[Nodo Inicial],tblMatrizDeAdyacencia[[#This Row],[Nodo Orig.\Dest.]],tblRed[Nodo Final],tblMatrizDeAdyacencia[[#Headers],[I4]],tblRed[Activo],1)&gt;0,1,0)</f>
        <v>0</v>
      </c>
      <c r="V12" s="17">
        <f>IF(COUNTIFS(tblRed[Nodo Inicial],tblMatrizDeAdyacencia[[#This Row],[Nodo Orig.\Dest.]],tblRed[Nodo Final],tblMatrizDeAdyacencia[[#Headers],[I5]],tblRed[Activo],1)&gt;0,1,0)</f>
        <v>0</v>
      </c>
      <c r="W12" s="16">
        <f>IF(COUNTIFS(tblRed[Nodo Inicial],tblMatrizDeAdyacencia[[#This Row],[Nodo Orig.\Dest.]],tblRed[Nodo Final],tblMatrizDeAdyacencia[[#Headers],[I6]],tblRed[Activo],1)&gt;0,1,0)</f>
        <v>0</v>
      </c>
      <c r="X12" s="16">
        <f>IF(COUNTIFS(tblRed[Nodo Inicial],tblMatrizDeAdyacencia[[#This Row],[Nodo Orig.\Dest.]],tblRed[Nodo Final],tblMatrizDeAdyacencia[[#Headers],[I7]],tblRed[Activo],1)&gt;0,1,0)</f>
        <v>0</v>
      </c>
      <c r="Y12" s="16">
        <f>IF(COUNTIFS(tblRed[Nodo Inicial],tblMatrizDeAdyacencia[[#This Row],[Nodo Orig.\Dest.]],tblRed[Nodo Final],tblMatrizDeAdyacencia[[#Headers],[I8]],tblRed[Activo],1)&gt;0,1,0)</f>
        <v>0</v>
      </c>
      <c r="Z12" s="16">
        <f>IF(COUNTIFS(tblRed[Nodo Inicial],tblMatrizDeAdyacencia[[#This Row],[Nodo Orig.\Dest.]],tblRed[Nodo Final],tblMatrizDeAdyacencia[[#Headers],[I9]],tblRed[Activo],1)&gt;0,1,0)</f>
        <v>0</v>
      </c>
      <c r="AA12" s="16">
        <f>IF(COUNTIFS(tblRed[Nodo Inicial],tblMatrizDeAdyacencia[[#This Row],[Nodo Orig.\Dest.]],tblRed[Nodo Final],tblMatrizDeAdyacencia[[#Headers],[I10]],tblRed[Activo],1)&gt;0,1,0)</f>
        <v>0</v>
      </c>
      <c r="AB12" s="16">
        <f>IF(COUNTIFS(tblRed[Nodo Inicial],tblMatrizDeAdyacencia[[#This Row],[Nodo Orig.\Dest.]],tblRed[Nodo Final],tblMatrizDeAdyacencia[[#Headers],[I11]],tblRed[Activo],1)&gt;0,1,0)</f>
        <v>0</v>
      </c>
      <c r="AC12" s="16">
        <f>IF(COUNTIFS(tblRed[Nodo Inicial],tblMatrizDeAdyacencia[[#This Row],[Nodo Orig.\Dest.]],tblRed[Nodo Final],tblMatrizDeAdyacencia[[#Headers],[I12]],tblRed[Activo],1)&gt;0,1,0)</f>
        <v>0</v>
      </c>
      <c r="AD12" s="16">
        <f>IF(COUNTIFS(tblRed[Nodo Inicial],tblMatrizDeAdyacencia[[#This Row],[Nodo Orig.\Dest.]],tblRed[Nodo Final],tblMatrizDeAdyacencia[[#Headers],[G1]],tblRed[Activo],1)&gt;0,1,0)</f>
        <v>1</v>
      </c>
      <c r="AE12" s="16">
        <f>IF(COUNTIFS(tblRed[Nodo Inicial],tblMatrizDeAdyacencia[[#This Row],[Nodo Orig.\Dest.]],tblRed[Nodo Final],tblMatrizDeAdyacencia[[#Headers],[G2]],tblRed[Activo],1)&gt;0,1,0)</f>
        <v>0</v>
      </c>
      <c r="AF12" s="16">
        <f>IF(COUNTIFS(tblRed[Nodo Inicial],tblMatrizDeAdyacencia[[#This Row],[Nodo Orig.\Dest.]],tblRed[Nodo Final],tblMatrizDeAdyacencia[[#Headers],[G3]],tblRed[Activo],1)&gt;0,1,0)</f>
        <v>0</v>
      </c>
      <c r="AG12" s="16">
        <f>IF(COUNTIFS(tblRed[Nodo Inicial],tblMatrizDeAdyacencia[[#This Row],[Nodo Orig.\Dest.]],tblRed[Nodo Final],tblMatrizDeAdyacencia[[#Headers],[G4]],tblRed[Activo],1)&gt;0,1,0)</f>
        <v>0</v>
      </c>
      <c r="AH12" s="16">
        <f>IF(COUNTIFS(tblRed[Nodo Inicial],tblMatrizDeAdyacencia[[#This Row],[Nodo Orig.\Dest.]],tblRed[Nodo Final],tblMatrizDeAdyacencia[[#Headers],[D1]],tblRed[Activo],1)&gt;0,1,0)</f>
        <v>0</v>
      </c>
    </row>
    <row r="13" spans="2:34" ht="17.25" customHeight="1" x14ac:dyDescent="0.25">
      <c r="B13" s="12" t="str">
        <f>VLOOKUP(tblMatrizDeAdyacencia[[#This Row],[Nodo Orig.\Dest.]],tblNodos[],2,FALSE)</f>
        <v>Agregadores de fondos</v>
      </c>
      <c r="C13" s="4" t="s">
        <v>43</v>
      </c>
      <c r="D13" s="16">
        <f>IF(COUNTIFS(tblRed[Nodo Inicial],tblMatrizDeAdyacencia[[#This Row],[Nodo Orig.\Dest.]],tblRed[Nodo Final],tblMatrizDeAdyacencia[[#Headers],[O1]],tblRed[Activo],1)&gt;0,1,0)</f>
        <v>0</v>
      </c>
      <c r="E13" s="16">
        <f>IF(COUNTIFS(tblRed[Nodo Inicial],tblMatrizDeAdyacencia[[#This Row],[Nodo Orig.\Dest.]],tblRed[Nodo Final],tblMatrizDeAdyacencia[[#Headers],[O2]],tblRed[Activo],1)&gt;0,1,0)</f>
        <v>0</v>
      </c>
      <c r="F13" s="16">
        <f>IF(COUNTIFS(tblRed[Nodo Inicial],tblMatrizDeAdyacencia[[#This Row],[Nodo Orig.\Dest.]],tblRed[Nodo Final],tblMatrizDeAdyacencia[[#Headers],[O3]],tblRed[Activo],1)&gt;0,1,0)</f>
        <v>0</v>
      </c>
      <c r="G13" s="16">
        <f>IF(COUNTIFS(tblRed[Nodo Inicial],tblMatrizDeAdyacencia[[#This Row],[Nodo Orig.\Dest.]],tblRed[Nodo Final],tblMatrizDeAdyacencia[[#Headers],[O4]],tblRed[Activo],1)&gt;0,1,0)</f>
        <v>0</v>
      </c>
      <c r="H13" s="16">
        <f>IF(COUNTIFS(tblRed[Nodo Inicial],tblMatrizDeAdyacencia[[#This Row],[Nodo Orig.\Dest.]],tblRed[Nodo Final],tblMatrizDeAdyacencia[[#Headers],[O5]],tblRed[Activo],1)&gt;0,1,0)</f>
        <v>0</v>
      </c>
      <c r="I13" s="16">
        <f>IF(COUNTIFS(tblRed[Nodo Inicial],tblMatrizDeAdyacencia[[#This Row],[Nodo Orig.\Dest.]],tblRed[Nodo Final],tblMatrizDeAdyacencia[[#Headers],[O6]],tblRed[Activo],1)&gt;0,1,0)</f>
        <v>0</v>
      </c>
      <c r="J13" s="16">
        <f>IF(COUNTIFS(tblRed[Nodo Inicial],tblMatrizDeAdyacencia[[#This Row],[Nodo Orig.\Dest.]],tblRed[Nodo Final],tblMatrizDeAdyacencia[[#Headers],[O7]],tblRed[Activo],1)&gt;0,1,0)</f>
        <v>0</v>
      </c>
      <c r="K13" s="16">
        <f>IF(COUNTIFS(tblRed[Nodo Inicial],tblMatrizDeAdyacencia[[#This Row],[Nodo Orig.\Dest.]],tblRed[Nodo Final],tblMatrizDeAdyacencia[[#Headers],[O8]],tblRed[Activo],1)&gt;0,1,0)</f>
        <v>0</v>
      </c>
      <c r="L13" s="16">
        <f>IF(COUNTIFS(tblRed[Nodo Inicial],tblMatrizDeAdyacencia[[#This Row],[Nodo Orig.\Dest.]],tblRed[Nodo Final],tblMatrizDeAdyacencia[[#Headers],[C1]],tblRed[Activo],1)&gt;0,1,0)</f>
        <v>0</v>
      </c>
      <c r="M13" s="72">
        <f>IF(COUNTIFS(tblRed[Nodo Inicial],tblMatrizDeAdyacencia[[#This Row],[Nodo Orig.\Dest.]],tblRed[Nodo Final],tblMatrizDeAdyacencia[[#Headers],[C2]],tblRed[Activo],1)&gt;0,1,0)</f>
        <v>0</v>
      </c>
      <c r="N13" s="16">
        <f>IF(COUNTIFS(tblRed[Nodo Inicial],tblMatrizDeAdyacencia[[#This Row],[Nodo Orig.\Dest.]],tblRed[Nodo Final],tblMatrizDeAdyacencia[[#Headers],[C3]],tblRed[Activo],1)&gt;0,1,0)</f>
        <v>0</v>
      </c>
      <c r="O13" s="16">
        <f>IF(COUNTIFS(tblRed[Nodo Inicial],tblMatrizDeAdyacencia[[#This Row],[Nodo Orig.\Dest.]],tblRed[Nodo Final],tblMatrizDeAdyacencia[[#Headers],[C4]],tblRed[Activo],1)&gt;0,1,0)</f>
        <v>0</v>
      </c>
      <c r="P13" s="16">
        <f>IF(COUNTIFS(tblRed[Nodo Inicial],tblMatrizDeAdyacencia[[#This Row],[Nodo Orig.\Dest.]],tblRed[Nodo Final],tblMatrizDeAdyacencia[[#Headers],[C5]],tblRed[Activo],1)&gt;0,1,0)</f>
        <v>0</v>
      </c>
      <c r="Q13" s="16">
        <f>IF(COUNTIFS(tblRed[Nodo Inicial],tblMatrizDeAdyacencia[[#This Row],[Nodo Orig.\Dest.]],tblRed[Nodo Final],tblMatrizDeAdyacencia[[#Headers],[C6]],tblRed[Activo],1)&gt;0,1,0)</f>
        <v>0</v>
      </c>
      <c r="R13" s="16">
        <f>IF(COUNTIFS(tblRed[Nodo Inicial],tblMatrizDeAdyacencia[[#This Row],[Nodo Orig.\Dest.]],tblRed[Nodo Final],tblMatrizDeAdyacencia[[#Headers],[I1]],tblRed[Activo],1)&gt;0,1,0)</f>
        <v>0</v>
      </c>
      <c r="S13" s="16">
        <f>IF(COUNTIFS(tblRed[Nodo Inicial],tblMatrizDeAdyacencia[[#This Row],[Nodo Orig.\Dest.]],tblRed[Nodo Final],tblMatrizDeAdyacencia[[#Headers],[I2]],tblRed[Activo],1)&gt;0,1,0)</f>
        <v>1</v>
      </c>
      <c r="T13" s="16">
        <f>IF(COUNTIFS(tblRed[Nodo Inicial],tblMatrizDeAdyacencia[[#This Row],[Nodo Orig.\Dest.]],tblRed[Nodo Final],tblMatrizDeAdyacencia[[#Headers],[I3]],tblRed[Activo],1)&gt;0,1,0)</f>
        <v>1</v>
      </c>
      <c r="U13" s="16">
        <f>IF(COUNTIFS(tblRed[Nodo Inicial],tblMatrizDeAdyacencia[[#This Row],[Nodo Orig.\Dest.]],tblRed[Nodo Final],tblMatrizDeAdyacencia[[#Headers],[I4]],tblRed[Activo],1)&gt;0,1,0)</f>
        <v>0</v>
      </c>
      <c r="V13" s="17">
        <f>IF(COUNTIFS(tblRed[Nodo Inicial],tblMatrizDeAdyacencia[[#This Row],[Nodo Orig.\Dest.]],tblRed[Nodo Final],tblMatrizDeAdyacencia[[#Headers],[I5]],tblRed[Activo],1)&gt;0,1,0)</f>
        <v>0</v>
      </c>
      <c r="W13" s="16">
        <f>IF(COUNTIFS(tblRed[Nodo Inicial],tblMatrizDeAdyacencia[[#This Row],[Nodo Orig.\Dest.]],tblRed[Nodo Final],tblMatrizDeAdyacencia[[#Headers],[I6]],tblRed[Activo],1)&gt;0,1,0)</f>
        <v>0</v>
      </c>
      <c r="X13" s="16">
        <f>IF(COUNTIFS(tblRed[Nodo Inicial],tblMatrizDeAdyacencia[[#This Row],[Nodo Orig.\Dest.]],tblRed[Nodo Final],tblMatrizDeAdyacencia[[#Headers],[I7]],tblRed[Activo],1)&gt;0,1,0)</f>
        <v>1</v>
      </c>
      <c r="Y13" s="16">
        <f>IF(COUNTIFS(tblRed[Nodo Inicial],tblMatrizDeAdyacencia[[#This Row],[Nodo Orig.\Dest.]],tblRed[Nodo Final],tblMatrizDeAdyacencia[[#Headers],[I8]],tblRed[Activo],1)&gt;0,1,0)</f>
        <v>0</v>
      </c>
      <c r="Z13" s="16">
        <f>IF(COUNTIFS(tblRed[Nodo Inicial],tblMatrizDeAdyacencia[[#This Row],[Nodo Orig.\Dest.]],tblRed[Nodo Final],tblMatrizDeAdyacencia[[#Headers],[I9]],tblRed[Activo],1)&gt;0,1,0)</f>
        <v>0</v>
      </c>
      <c r="AA13" s="16">
        <f>IF(COUNTIFS(tblRed[Nodo Inicial],tblMatrizDeAdyacencia[[#This Row],[Nodo Orig.\Dest.]],tblRed[Nodo Final],tblMatrizDeAdyacencia[[#Headers],[I10]],tblRed[Activo],1)&gt;0,1,0)</f>
        <v>0</v>
      </c>
      <c r="AB13" s="16">
        <f>IF(COUNTIFS(tblRed[Nodo Inicial],tblMatrizDeAdyacencia[[#This Row],[Nodo Orig.\Dest.]],tblRed[Nodo Final],tblMatrizDeAdyacencia[[#Headers],[I11]],tblRed[Activo],1)&gt;0,1,0)</f>
        <v>1</v>
      </c>
      <c r="AC13" s="16">
        <f>IF(COUNTIFS(tblRed[Nodo Inicial],tblMatrizDeAdyacencia[[#This Row],[Nodo Orig.\Dest.]],tblRed[Nodo Final],tblMatrizDeAdyacencia[[#Headers],[I12]],tblRed[Activo],1)&gt;0,1,0)</f>
        <v>0</v>
      </c>
      <c r="AD13" s="16">
        <f>IF(COUNTIFS(tblRed[Nodo Inicial],tblMatrizDeAdyacencia[[#This Row],[Nodo Orig.\Dest.]],tblRed[Nodo Final],tblMatrizDeAdyacencia[[#Headers],[G1]],tblRed[Activo],1)&gt;0,1,0)</f>
        <v>0</v>
      </c>
      <c r="AE13" s="16">
        <f>IF(COUNTIFS(tblRed[Nodo Inicial],tblMatrizDeAdyacencia[[#This Row],[Nodo Orig.\Dest.]],tblRed[Nodo Final],tblMatrizDeAdyacencia[[#Headers],[G2]],tblRed[Activo],1)&gt;0,1,0)</f>
        <v>0</v>
      </c>
      <c r="AF13" s="16">
        <f>IF(COUNTIFS(tblRed[Nodo Inicial],tblMatrizDeAdyacencia[[#This Row],[Nodo Orig.\Dest.]],tblRed[Nodo Final],tblMatrizDeAdyacencia[[#Headers],[G3]],tblRed[Activo],1)&gt;0,1,0)</f>
        <v>0</v>
      </c>
      <c r="AG13" s="16">
        <f>IF(COUNTIFS(tblRed[Nodo Inicial],tblMatrizDeAdyacencia[[#This Row],[Nodo Orig.\Dest.]],tblRed[Nodo Final],tblMatrizDeAdyacencia[[#Headers],[G4]],tblRed[Activo],1)&gt;0,1,0)</f>
        <v>0</v>
      </c>
      <c r="AH13" s="16">
        <f>IF(COUNTIFS(tblRed[Nodo Inicial],tblMatrizDeAdyacencia[[#This Row],[Nodo Orig.\Dest.]],tblRed[Nodo Final],tblMatrizDeAdyacencia[[#Headers],[D1]],tblRed[Activo],1)&gt;0,1,0)</f>
        <v>0</v>
      </c>
    </row>
    <row r="14" spans="2:34" ht="17.25" customHeight="1" x14ac:dyDescent="0.25">
      <c r="B14" s="12" t="str">
        <f>VLOOKUP(tblMatrizDeAdyacencia[[#This Row],[Nodo Orig.\Dest.]],tblNodos[],2,FALSE)</f>
        <v>Estructuras organizadas de captación</v>
      </c>
      <c r="C14" s="4" t="s">
        <v>45</v>
      </c>
      <c r="D14" s="16">
        <f>IF(COUNTIFS(tblRed[Nodo Inicial],tblMatrizDeAdyacencia[[#This Row],[Nodo Orig.\Dest.]],tblRed[Nodo Final],tblMatrizDeAdyacencia[[#Headers],[O1]],tblRed[Activo],1)&gt;0,1,0)</f>
        <v>0</v>
      </c>
      <c r="E14" s="16">
        <f>IF(COUNTIFS(tblRed[Nodo Inicial],tblMatrizDeAdyacencia[[#This Row],[Nodo Orig.\Dest.]],tblRed[Nodo Final],tblMatrizDeAdyacencia[[#Headers],[O2]],tblRed[Activo],1)&gt;0,1,0)</f>
        <v>0</v>
      </c>
      <c r="F14" s="16">
        <f>IF(COUNTIFS(tblRed[Nodo Inicial],tblMatrizDeAdyacencia[[#This Row],[Nodo Orig.\Dest.]],tblRed[Nodo Final],tblMatrizDeAdyacencia[[#Headers],[O3]],tblRed[Activo],1)&gt;0,1,0)</f>
        <v>0</v>
      </c>
      <c r="G14" s="16">
        <f>IF(COUNTIFS(tblRed[Nodo Inicial],tblMatrizDeAdyacencia[[#This Row],[Nodo Orig.\Dest.]],tblRed[Nodo Final],tblMatrizDeAdyacencia[[#Headers],[O4]],tblRed[Activo],1)&gt;0,1,0)</f>
        <v>0</v>
      </c>
      <c r="H14" s="16">
        <f>IF(COUNTIFS(tblRed[Nodo Inicial],tblMatrizDeAdyacencia[[#This Row],[Nodo Orig.\Dest.]],tblRed[Nodo Final],tblMatrizDeAdyacencia[[#Headers],[O5]],tblRed[Activo],1)&gt;0,1,0)</f>
        <v>0</v>
      </c>
      <c r="I14" s="16">
        <f>IF(COUNTIFS(tblRed[Nodo Inicial],tblMatrizDeAdyacencia[[#This Row],[Nodo Orig.\Dest.]],tblRed[Nodo Final],tblMatrizDeAdyacencia[[#Headers],[O6]],tblRed[Activo],1)&gt;0,1,0)</f>
        <v>0</v>
      </c>
      <c r="J14" s="16">
        <f>IF(COUNTIFS(tblRed[Nodo Inicial],tblMatrizDeAdyacencia[[#This Row],[Nodo Orig.\Dest.]],tblRed[Nodo Final],tblMatrizDeAdyacencia[[#Headers],[O7]],tblRed[Activo],1)&gt;0,1,0)</f>
        <v>0</v>
      </c>
      <c r="K14" s="16">
        <f>IF(COUNTIFS(tblRed[Nodo Inicial],tblMatrizDeAdyacencia[[#This Row],[Nodo Orig.\Dest.]],tblRed[Nodo Final],tblMatrizDeAdyacencia[[#Headers],[O8]],tblRed[Activo],1)&gt;0,1,0)</f>
        <v>0</v>
      </c>
      <c r="L14" s="16">
        <f>IF(COUNTIFS(tblRed[Nodo Inicial],tblMatrizDeAdyacencia[[#This Row],[Nodo Orig.\Dest.]],tblRed[Nodo Final],tblMatrizDeAdyacencia[[#Headers],[C1]],tblRed[Activo],1)&gt;0,1,0)</f>
        <v>0</v>
      </c>
      <c r="M14" s="16">
        <f>IF(COUNTIFS(tblRed[Nodo Inicial],tblMatrizDeAdyacencia[[#This Row],[Nodo Orig.\Dest.]],tblRed[Nodo Final],tblMatrizDeAdyacencia[[#Headers],[C2]],tblRed[Activo],1)&gt;0,1,0)</f>
        <v>0</v>
      </c>
      <c r="N14" s="72">
        <f>IF(COUNTIFS(tblRed[Nodo Inicial],tblMatrizDeAdyacencia[[#This Row],[Nodo Orig.\Dest.]],tblRed[Nodo Final],tblMatrizDeAdyacencia[[#Headers],[C3]],tblRed[Activo],1)&gt;0,1,0)</f>
        <v>0</v>
      </c>
      <c r="O14" s="16">
        <f>IF(COUNTIFS(tblRed[Nodo Inicial],tblMatrizDeAdyacencia[[#This Row],[Nodo Orig.\Dest.]],tblRed[Nodo Final],tblMatrizDeAdyacencia[[#Headers],[C4]],tblRed[Activo],1)&gt;0,1,0)</f>
        <v>0</v>
      </c>
      <c r="P14" s="16">
        <f>IF(COUNTIFS(tblRed[Nodo Inicial],tblMatrizDeAdyacencia[[#This Row],[Nodo Orig.\Dest.]],tblRed[Nodo Final],tblMatrizDeAdyacencia[[#Headers],[C5]],tblRed[Activo],1)&gt;0,1,0)</f>
        <v>0</v>
      </c>
      <c r="Q14" s="16">
        <f>IF(COUNTIFS(tblRed[Nodo Inicial],tblMatrizDeAdyacencia[[#This Row],[Nodo Orig.\Dest.]],tblRed[Nodo Final],tblMatrizDeAdyacencia[[#Headers],[C6]],tblRed[Activo],1)&gt;0,1,0)</f>
        <v>0</v>
      </c>
      <c r="R14" s="16">
        <f>IF(COUNTIFS(tblRed[Nodo Inicial],tblMatrizDeAdyacencia[[#This Row],[Nodo Orig.\Dest.]],tblRed[Nodo Final],tblMatrizDeAdyacencia[[#Headers],[I1]],tblRed[Activo],1)&gt;0,1,0)</f>
        <v>0</v>
      </c>
      <c r="S14" s="16">
        <f>IF(COUNTIFS(tblRed[Nodo Inicial],tblMatrizDeAdyacencia[[#This Row],[Nodo Orig.\Dest.]],tblRed[Nodo Final],tblMatrizDeAdyacencia[[#Headers],[I2]],tblRed[Activo],1)&gt;0,1,0)</f>
        <v>1</v>
      </c>
      <c r="T14" s="16">
        <f>IF(COUNTIFS(tblRed[Nodo Inicial],tblMatrizDeAdyacencia[[#This Row],[Nodo Orig.\Dest.]],tblRed[Nodo Final],tblMatrizDeAdyacencia[[#Headers],[I3]],tblRed[Activo],1)&gt;0,1,0)</f>
        <v>0</v>
      </c>
      <c r="U14" s="16">
        <f>IF(COUNTIFS(tblRed[Nodo Inicial],tblMatrizDeAdyacencia[[#This Row],[Nodo Orig.\Dest.]],tblRed[Nodo Final],tblMatrizDeAdyacencia[[#Headers],[I4]],tblRed[Activo],1)&gt;0,1,0)</f>
        <v>0</v>
      </c>
      <c r="V14" s="17">
        <f>IF(COUNTIFS(tblRed[Nodo Inicial],tblMatrizDeAdyacencia[[#This Row],[Nodo Orig.\Dest.]],tblRed[Nodo Final],tblMatrizDeAdyacencia[[#Headers],[I5]],tblRed[Activo],1)&gt;0,1,0)</f>
        <v>0</v>
      </c>
      <c r="W14" s="16">
        <f>IF(COUNTIFS(tblRed[Nodo Inicial],tblMatrizDeAdyacencia[[#This Row],[Nodo Orig.\Dest.]],tblRed[Nodo Final],tblMatrizDeAdyacencia[[#Headers],[I6]],tblRed[Activo],1)&gt;0,1,0)</f>
        <v>1</v>
      </c>
      <c r="X14" s="16">
        <f>IF(COUNTIFS(tblRed[Nodo Inicial],tblMatrizDeAdyacencia[[#This Row],[Nodo Orig.\Dest.]],tblRed[Nodo Final],tblMatrizDeAdyacencia[[#Headers],[I7]],tblRed[Activo],1)&gt;0,1,0)</f>
        <v>0</v>
      </c>
      <c r="Y14" s="16">
        <f>IF(COUNTIFS(tblRed[Nodo Inicial],tblMatrizDeAdyacencia[[#This Row],[Nodo Orig.\Dest.]],tblRed[Nodo Final],tblMatrizDeAdyacencia[[#Headers],[I8]],tblRed[Activo],1)&gt;0,1,0)</f>
        <v>0</v>
      </c>
      <c r="Z14" s="16">
        <f>IF(COUNTIFS(tblRed[Nodo Inicial],tblMatrizDeAdyacencia[[#This Row],[Nodo Orig.\Dest.]],tblRed[Nodo Final],tblMatrizDeAdyacencia[[#Headers],[I9]],tblRed[Activo],1)&gt;0,1,0)</f>
        <v>0</v>
      </c>
      <c r="AA14" s="16">
        <f>IF(COUNTIFS(tblRed[Nodo Inicial],tblMatrizDeAdyacencia[[#This Row],[Nodo Orig.\Dest.]],tblRed[Nodo Final],tblMatrizDeAdyacencia[[#Headers],[I10]],tblRed[Activo],1)&gt;0,1,0)</f>
        <v>0</v>
      </c>
      <c r="AB14" s="16">
        <f>IF(COUNTIFS(tblRed[Nodo Inicial],tblMatrizDeAdyacencia[[#This Row],[Nodo Orig.\Dest.]],tblRed[Nodo Final],tblMatrizDeAdyacencia[[#Headers],[I11]],tblRed[Activo],1)&gt;0,1,0)</f>
        <v>0</v>
      </c>
      <c r="AC14" s="16">
        <f>IF(COUNTIFS(tblRed[Nodo Inicial],tblMatrizDeAdyacencia[[#This Row],[Nodo Orig.\Dest.]],tblRed[Nodo Final],tblMatrizDeAdyacencia[[#Headers],[I12]],tblRed[Activo],1)&gt;0,1,0)</f>
        <v>0</v>
      </c>
      <c r="AD14" s="16">
        <f>IF(COUNTIFS(tblRed[Nodo Inicial],tblMatrizDeAdyacencia[[#This Row],[Nodo Orig.\Dest.]],tblRed[Nodo Final],tblMatrizDeAdyacencia[[#Headers],[G1]],tblRed[Activo],1)&gt;0,1,0)</f>
        <v>0</v>
      </c>
      <c r="AE14" s="16">
        <f>IF(COUNTIFS(tblRed[Nodo Inicial],tblMatrizDeAdyacencia[[#This Row],[Nodo Orig.\Dest.]],tblRed[Nodo Final],tblMatrizDeAdyacencia[[#Headers],[G2]],tblRed[Activo],1)&gt;0,1,0)</f>
        <v>0</v>
      </c>
      <c r="AF14" s="16">
        <f>IF(COUNTIFS(tblRed[Nodo Inicial],tblMatrizDeAdyacencia[[#This Row],[Nodo Orig.\Dest.]],tblRed[Nodo Final],tblMatrizDeAdyacencia[[#Headers],[G3]],tblRed[Activo],1)&gt;0,1,0)</f>
        <v>0</v>
      </c>
      <c r="AG14" s="16">
        <f>IF(COUNTIFS(tblRed[Nodo Inicial],tblMatrizDeAdyacencia[[#This Row],[Nodo Orig.\Dest.]],tblRed[Nodo Final],tblMatrizDeAdyacencia[[#Headers],[G4]],tblRed[Activo],1)&gt;0,1,0)</f>
        <v>1</v>
      </c>
      <c r="AH14" s="16">
        <f>IF(COUNTIFS(tblRed[Nodo Inicial],tblMatrizDeAdyacencia[[#This Row],[Nodo Orig.\Dest.]],tblRed[Nodo Final],tblMatrizDeAdyacencia[[#Headers],[D1]],tblRed[Activo],1)&gt;0,1,0)</f>
        <v>0</v>
      </c>
    </row>
    <row r="15" spans="2:34" ht="17.25" customHeight="1" x14ac:dyDescent="0.25">
      <c r="B15" s="12" t="str">
        <f>VLOOKUP(tblMatrizDeAdyacencia[[#This Row],[Nodo Orig.\Dest.]],tblNodos[],2,FALSE)</f>
        <v>Colectores digitales instrumentales</v>
      </c>
      <c r="C15" s="4" t="s">
        <v>47</v>
      </c>
      <c r="D15" s="16">
        <f>IF(COUNTIFS(tblRed[Nodo Inicial],tblMatrizDeAdyacencia[[#This Row],[Nodo Orig.\Dest.]],tblRed[Nodo Final],tblMatrizDeAdyacencia[[#Headers],[O1]],tblRed[Activo],1)&gt;0,1,0)</f>
        <v>0</v>
      </c>
      <c r="E15" s="16">
        <f>IF(COUNTIFS(tblRed[Nodo Inicial],tblMatrizDeAdyacencia[[#This Row],[Nodo Orig.\Dest.]],tblRed[Nodo Final],tblMatrizDeAdyacencia[[#Headers],[O2]],tblRed[Activo],1)&gt;0,1,0)</f>
        <v>0</v>
      </c>
      <c r="F15" s="16">
        <f>IF(COUNTIFS(tblRed[Nodo Inicial],tblMatrizDeAdyacencia[[#This Row],[Nodo Orig.\Dest.]],tblRed[Nodo Final],tblMatrizDeAdyacencia[[#Headers],[O3]],tblRed[Activo],1)&gt;0,1,0)</f>
        <v>0</v>
      </c>
      <c r="G15" s="16">
        <f>IF(COUNTIFS(tblRed[Nodo Inicial],tblMatrizDeAdyacencia[[#This Row],[Nodo Orig.\Dest.]],tblRed[Nodo Final],tblMatrizDeAdyacencia[[#Headers],[O4]],tblRed[Activo],1)&gt;0,1,0)</f>
        <v>0</v>
      </c>
      <c r="H15" s="16">
        <f>IF(COUNTIFS(tblRed[Nodo Inicial],tblMatrizDeAdyacencia[[#This Row],[Nodo Orig.\Dest.]],tblRed[Nodo Final],tblMatrizDeAdyacencia[[#Headers],[O5]],tblRed[Activo],1)&gt;0,1,0)</f>
        <v>0</v>
      </c>
      <c r="I15" s="16">
        <f>IF(COUNTIFS(tblRed[Nodo Inicial],tblMatrizDeAdyacencia[[#This Row],[Nodo Orig.\Dest.]],tblRed[Nodo Final],tblMatrizDeAdyacencia[[#Headers],[O6]],tblRed[Activo],1)&gt;0,1,0)</f>
        <v>0</v>
      </c>
      <c r="J15" s="16">
        <f>IF(COUNTIFS(tblRed[Nodo Inicial],tblMatrizDeAdyacencia[[#This Row],[Nodo Orig.\Dest.]],tblRed[Nodo Final],tblMatrizDeAdyacencia[[#Headers],[O7]],tblRed[Activo],1)&gt;0,1,0)</f>
        <v>0</v>
      </c>
      <c r="K15" s="16">
        <f>IF(COUNTIFS(tblRed[Nodo Inicial],tblMatrizDeAdyacencia[[#This Row],[Nodo Orig.\Dest.]],tblRed[Nodo Final],tblMatrizDeAdyacencia[[#Headers],[O8]],tblRed[Activo],1)&gt;0,1,0)</f>
        <v>0</v>
      </c>
      <c r="L15" s="16">
        <f>IF(COUNTIFS(tblRed[Nodo Inicial],tblMatrizDeAdyacencia[[#This Row],[Nodo Orig.\Dest.]],tblRed[Nodo Final],tblMatrizDeAdyacencia[[#Headers],[C1]],tblRed[Activo],1)&gt;0,1,0)</f>
        <v>0</v>
      </c>
      <c r="M15" s="16">
        <f>IF(COUNTIFS(tblRed[Nodo Inicial],tblMatrizDeAdyacencia[[#This Row],[Nodo Orig.\Dest.]],tblRed[Nodo Final],tblMatrizDeAdyacencia[[#Headers],[C2]],tblRed[Activo],1)&gt;0,1,0)</f>
        <v>0</v>
      </c>
      <c r="N15" s="16">
        <f>IF(COUNTIFS(tblRed[Nodo Inicial],tblMatrizDeAdyacencia[[#This Row],[Nodo Orig.\Dest.]],tblRed[Nodo Final],tblMatrizDeAdyacencia[[#Headers],[C3]],tblRed[Activo],1)&gt;0,1,0)</f>
        <v>0</v>
      </c>
      <c r="O15" s="72">
        <f>IF(COUNTIFS(tblRed[Nodo Inicial],tblMatrizDeAdyacencia[[#This Row],[Nodo Orig.\Dest.]],tblRed[Nodo Final],tblMatrizDeAdyacencia[[#Headers],[C4]],tblRed[Activo],1)&gt;0,1,0)</f>
        <v>0</v>
      </c>
      <c r="P15" s="16">
        <f>IF(COUNTIFS(tblRed[Nodo Inicial],tblMatrizDeAdyacencia[[#This Row],[Nodo Orig.\Dest.]],tblRed[Nodo Final],tblMatrizDeAdyacencia[[#Headers],[C5]],tblRed[Activo],1)&gt;0,1,0)</f>
        <v>0</v>
      </c>
      <c r="Q15" s="16">
        <f>IF(COUNTIFS(tblRed[Nodo Inicial],tblMatrizDeAdyacencia[[#This Row],[Nodo Orig.\Dest.]],tblRed[Nodo Final],tblMatrizDeAdyacencia[[#Headers],[C6]],tblRed[Activo],1)&gt;0,1,0)</f>
        <v>0</v>
      </c>
      <c r="R15" s="16">
        <f>IF(COUNTIFS(tblRed[Nodo Inicial],tblMatrizDeAdyacencia[[#This Row],[Nodo Orig.\Dest.]],tblRed[Nodo Final],tblMatrizDeAdyacencia[[#Headers],[I1]],tblRed[Activo],1)&gt;0,1,0)</f>
        <v>0</v>
      </c>
      <c r="S15" s="16">
        <f>IF(COUNTIFS(tblRed[Nodo Inicial],tblMatrizDeAdyacencia[[#This Row],[Nodo Orig.\Dest.]],tblRed[Nodo Final],tblMatrizDeAdyacencia[[#Headers],[I2]],tblRed[Activo],1)&gt;0,1,0)</f>
        <v>0</v>
      </c>
      <c r="T15" s="16">
        <f>IF(COUNTIFS(tblRed[Nodo Inicial],tblMatrizDeAdyacencia[[#This Row],[Nodo Orig.\Dest.]],tblRed[Nodo Final],tblMatrizDeAdyacencia[[#Headers],[I3]],tblRed[Activo],1)&gt;0,1,0)</f>
        <v>0</v>
      </c>
      <c r="U15" s="16">
        <f>IF(COUNTIFS(tblRed[Nodo Inicial],tblMatrizDeAdyacencia[[#This Row],[Nodo Orig.\Dest.]],tblRed[Nodo Final],tblMatrizDeAdyacencia[[#Headers],[I4]],tblRed[Activo],1)&gt;0,1,0)</f>
        <v>0</v>
      </c>
      <c r="V15" s="17">
        <f>IF(COUNTIFS(tblRed[Nodo Inicial],tblMatrizDeAdyacencia[[#This Row],[Nodo Orig.\Dest.]],tblRed[Nodo Final],tblMatrizDeAdyacencia[[#Headers],[I5]],tblRed[Activo],1)&gt;0,1,0)</f>
        <v>0</v>
      </c>
      <c r="W15" s="16">
        <f>IF(COUNTIFS(tblRed[Nodo Inicial],tblMatrizDeAdyacencia[[#This Row],[Nodo Orig.\Dest.]],tblRed[Nodo Final],tblMatrizDeAdyacencia[[#Headers],[I6]],tblRed[Activo],1)&gt;0,1,0)</f>
        <v>1</v>
      </c>
      <c r="X15" s="16">
        <f>IF(COUNTIFS(tblRed[Nodo Inicial],tblMatrizDeAdyacencia[[#This Row],[Nodo Orig.\Dest.]],tblRed[Nodo Final],tblMatrizDeAdyacencia[[#Headers],[I7]],tblRed[Activo],1)&gt;0,1,0)</f>
        <v>1</v>
      </c>
      <c r="Y15" s="16">
        <f>IF(COUNTIFS(tblRed[Nodo Inicial],tblMatrizDeAdyacencia[[#This Row],[Nodo Orig.\Dest.]],tblRed[Nodo Final],tblMatrizDeAdyacencia[[#Headers],[I8]],tblRed[Activo],1)&gt;0,1,0)</f>
        <v>0</v>
      </c>
      <c r="Z15" s="16">
        <f>IF(COUNTIFS(tblRed[Nodo Inicial],tblMatrizDeAdyacencia[[#This Row],[Nodo Orig.\Dest.]],tblRed[Nodo Final],tblMatrizDeAdyacencia[[#Headers],[I9]],tblRed[Activo],1)&gt;0,1,0)</f>
        <v>0</v>
      </c>
      <c r="AA15" s="16">
        <f>IF(COUNTIFS(tblRed[Nodo Inicial],tblMatrizDeAdyacencia[[#This Row],[Nodo Orig.\Dest.]],tblRed[Nodo Final],tblMatrizDeAdyacencia[[#Headers],[I10]],tblRed[Activo],1)&gt;0,1,0)</f>
        <v>0</v>
      </c>
      <c r="AB15" s="16">
        <f>IF(COUNTIFS(tblRed[Nodo Inicial],tblMatrizDeAdyacencia[[#This Row],[Nodo Orig.\Dest.]],tblRed[Nodo Final],tblMatrizDeAdyacencia[[#Headers],[I11]],tblRed[Activo],1)&gt;0,1,0)</f>
        <v>0</v>
      </c>
      <c r="AC15" s="16">
        <f>IF(COUNTIFS(tblRed[Nodo Inicial],tblMatrizDeAdyacencia[[#This Row],[Nodo Orig.\Dest.]],tblRed[Nodo Final],tblMatrizDeAdyacencia[[#Headers],[I12]],tblRed[Activo],1)&gt;0,1,0)</f>
        <v>0</v>
      </c>
      <c r="AD15" s="16">
        <f>IF(COUNTIFS(tblRed[Nodo Inicial],tblMatrizDeAdyacencia[[#This Row],[Nodo Orig.\Dest.]],tblRed[Nodo Final],tblMatrizDeAdyacencia[[#Headers],[G1]],tblRed[Activo],1)&gt;0,1,0)</f>
        <v>0</v>
      </c>
      <c r="AE15" s="16">
        <f>IF(COUNTIFS(tblRed[Nodo Inicial],tblMatrizDeAdyacencia[[#This Row],[Nodo Orig.\Dest.]],tblRed[Nodo Final],tblMatrizDeAdyacencia[[#Headers],[G2]],tblRed[Activo],1)&gt;0,1,0)</f>
        <v>0</v>
      </c>
      <c r="AF15" s="16">
        <f>IF(COUNTIFS(tblRed[Nodo Inicial],tblMatrizDeAdyacencia[[#This Row],[Nodo Orig.\Dest.]],tblRed[Nodo Final],tblMatrizDeAdyacencia[[#Headers],[G3]],tblRed[Activo],1)&gt;0,1,0)</f>
        <v>0</v>
      </c>
      <c r="AG15" s="16">
        <f>IF(COUNTIFS(tblRed[Nodo Inicial],tblMatrizDeAdyacencia[[#This Row],[Nodo Orig.\Dest.]],tblRed[Nodo Final],tblMatrizDeAdyacencia[[#Headers],[G4]],tblRed[Activo],1)&gt;0,1,0)</f>
        <v>1</v>
      </c>
      <c r="AH15" s="16">
        <f>IF(COUNTIFS(tblRed[Nodo Inicial],tblMatrizDeAdyacencia[[#This Row],[Nodo Orig.\Dest.]],tblRed[Nodo Final],tblMatrizDeAdyacencia[[#Headers],[D1]],tblRed[Activo],1)&gt;0,1,0)</f>
        <v>0</v>
      </c>
    </row>
    <row r="16" spans="2:34" ht="17.25" customHeight="1" x14ac:dyDescent="0.25">
      <c r="B16" s="12" t="str">
        <f>VLOOKUP(tblMatrizDeAdyacencia[[#This Row],[Nodo Orig.\Dest.]],tblNodos[],2,FALSE)</f>
        <v>Colectores empresariales y vehiculares</v>
      </c>
      <c r="C16" s="4" t="s">
        <v>49</v>
      </c>
      <c r="D16" s="16">
        <f>IF(COUNTIFS(tblRed[Nodo Inicial],tblMatrizDeAdyacencia[[#This Row],[Nodo Orig.\Dest.]],tblRed[Nodo Final],tblMatrizDeAdyacencia[[#Headers],[O1]],tblRed[Activo],1)&gt;0,1,0)</f>
        <v>0</v>
      </c>
      <c r="E16" s="16">
        <f>IF(COUNTIFS(tblRed[Nodo Inicial],tblMatrizDeAdyacencia[[#This Row],[Nodo Orig.\Dest.]],tblRed[Nodo Final],tblMatrizDeAdyacencia[[#Headers],[O2]],tblRed[Activo],1)&gt;0,1,0)</f>
        <v>0</v>
      </c>
      <c r="F16" s="16">
        <f>IF(COUNTIFS(tblRed[Nodo Inicial],tblMatrizDeAdyacencia[[#This Row],[Nodo Orig.\Dest.]],tblRed[Nodo Final],tblMatrizDeAdyacencia[[#Headers],[O3]],tblRed[Activo],1)&gt;0,1,0)</f>
        <v>0</v>
      </c>
      <c r="G16" s="16">
        <f>IF(COUNTIFS(tblRed[Nodo Inicial],tblMatrizDeAdyacencia[[#This Row],[Nodo Orig.\Dest.]],tblRed[Nodo Final],tblMatrizDeAdyacencia[[#Headers],[O4]],tblRed[Activo],1)&gt;0,1,0)</f>
        <v>0</v>
      </c>
      <c r="H16" s="16">
        <f>IF(COUNTIFS(tblRed[Nodo Inicial],tblMatrizDeAdyacencia[[#This Row],[Nodo Orig.\Dest.]],tblRed[Nodo Final],tblMatrizDeAdyacencia[[#Headers],[O5]],tblRed[Activo],1)&gt;0,1,0)</f>
        <v>0</v>
      </c>
      <c r="I16" s="16">
        <f>IF(COUNTIFS(tblRed[Nodo Inicial],tblMatrizDeAdyacencia[[#This Row],[Nodo Orig.\Dest.]],tblRed[Nodo Final],tblMatrizDeAdyacencia[[#Headers],[O6]],tblRed[Activo],1)&gt;0,1,0)</f>
        <v>0</v>
      </c>
      <c r="J16" s="16">
        <f>IF(COUNTIFS(tblRed[Nodo Inicial],tblMatrizDeAdyacencia[[#This Row],[Nodo Orig.\Dest.]],tblRed[Nodo Final],tblMatrizDeAdyacencia[[#Headers],[O7]],tblRed[Activo],1)&gt;0,1,0)</f>
        <v>0</v>
      </c>
      <c r="K16" s="16">
        <f>IF(COUNTIFS(tblRed[Nodo Inicial],tblMatrizDeAdyacencia[[#This Row],[Nodo Orig.\Dest.]],tblRed[Nodo Final],tblMatrizDeAdyacencia[[#Headers],[O8]],tblRed[Activo],1)&gt;0,1,0)</f>
        <v>0</v>
      </c>
      <c r="L16" s="16">
        <f>IF(COUNTIFS(tblRed[Nodo Inicial],tblMatrizDeAdyacencia[[#This Row],[Nodo Orig.\Dest.]],tblRed[Nodo Final],tblMatrizDeAdyacencia[[#Headers],[C1]],tblRed[Activo],1)&gt;0,1,0)</f>
        <v>0</v>
      </c>
      <c r="M16" s="16">
        <f>IF(COUNTIFS(tblRed[Nodo Inicial],tblMatrizDeAdyacencia[[#This Row],[Nodo Orig.\Dest.]],tblRed[Nodo Final],tblMatrizDeAdyacencia[[#Headers],[C2]],tblRed[Activo],1)&gt;0,1,0)</f>
        <v>0</v>
      </c>
      <c r="N16" s="16">
        <f>IF(COUNTIFS(tblRed[Nodo Inicial],tblMatrizDeAdyacencia[[#This Row],[Nodo Orig.\Dest.]],tblRed[Nodo Final],tblMatrizDeAdyacencia[[#Headers],[C3]],tblRed[Activo],1)&gt;0,1,0)</f>
        <v>0</v>
      </c>
      <c r="O16" s="16">
        <f>IF(COUNTIFS(tblRed[Nodo Inicial],tblMatrizDeAdyacencia[[#This Row],[Nodo Orig.\Dest.]],tblRed[Nodo Final],tblMatrizDeAdyacencia[[#Headers],[C4]],tblRed[Activo],1)&gt;0,1,0)</f>
        <v>0</v>
      </c>
      <c r="P16" s="72">
        <f>IF(COUNTIFS(tblRed[Nodo Inicial],tblMatrizDeAdyacencia[[#This Row],[Nodo Orig.\Dest.]],tblRed[Nodo Final],tblMatrizDeAdyacencia[[#Headers],[C5]],tblRed[Activo],1)&gt;0,1,0)</f>
        <v>0</v>
      </c>
      <c r="Q16" s="16">
        <f>IF(COUNTIFS(tblRed[Nodo Inicial],tblMatrizDeAdyacencia[[#This Row],[Nodo Orig.\Dest.]],tblRed[Nodo Final],tblMatrizDeAdyacencia[[#Headers],[C6]],tblRed[Activo],1)&gt;0,1,0)</f>
        <v>0</v>
      </c>
      <c r="R16" s="16">
        <f>IF(COUNTIFS(tblRed[Nodo Inicial],tblMatrizDeAdyacencia[[#This Row],[Nodo Orig.\Dest.]],tblRed[Nodo Final],tblMatrizDeAdyacencia[[#Headers],[I1]],tblRed[Activo],1)&gt;0,1,0)</f>
        <v>0</v>
      </c>
      <c r="S16" s="16">
        <f>IF(COUNTIFS(tblRed[Nodo Inicial],tblMatrizDeAdyacencia[[#This Row],[Nodo Orig.\Dest.]],tblRed[Nodo Final],tblMatrizDeAdyacencia[[#Headers],[I2]],tblRed[Activo],1)&gt;0,1,0)</f>
        <v>0</v>
      </c>
      <c r="T16" s="16">
        <f>IF(COUNTIFS(tblRed[Nodo Inicial],tblMatrizDeAdyacencia[[#This Row],[Nodo Orig.\Dest.]],tblRed[Nodo Final],tblMatrizDeAdyacencia[[#Headers],[I3]],tblRed[Activo],1)&gt;0,1,0)</f>
        <v>0</v>
      </c>
      <c r="U16" s="16">
        <f>IF(COUNTIFS(tblRed[Nodo Inicial],tblMatrizDeAdyacencia[[#This Row],[Nodo Orig.\Dest.]],tblRed[Nodo Final],tblMatrizDeAdyacencia[[#Headers],[I4]],tblRed[Activo],1)&gt;0,1,0)</f>
        <v>0</v>
      </c>
      <c r="V16" s="17">
        <f>IF(COUNTIFS(tblRed[Nodo Inicial],tblMatrizDeAdyacencia[[#This Row],[Nodo Orig.\Dest.]],tblRed[Nodo Final],tblMatrizDeAdyacencia[[#Headers],[I5]],tblRed[Activo],1)&gt;0,1,0)</f>
        <v>1</v>
      </c>
      <c r="W16" s="16">
        <f>IF(COUNTIFS(tblRed[Nodo Inicial],tblMatrizDeAdyacencia[[#This Row],[Nodo Orig.\Dest.]],tblRed[Nodo Final],tblMatrizDeAdyacencia[[#Headers],[I6]],tblRed[Activo],1)&gt;0,1,0)</f>
        <v>1</v>
      </c>
      <c r="X16" s="16">
        <f>IF(COUNTIFS(tblRed[Nodo Inicial],tblMatrizDeAdyacencia[[#This Row],[Nodo Orig.\Dest.]],tblRed[Nodo Final],tblMatrizDeAdyacencia[[#Headers],[I7]],tblRed[Activo],1)&gt;0,1,0)</f>
        <v>0</v>
      </c>
      <c r="Y16" s="16">
        <f>IF(COUNTIFS(tblRed[Nodo Inicial],tblMatrizDeAdyacencia[[#This Row],[Nodo Orig.\Dest.]],tblRed[Nodo Final],tblMatrizDeAdyacencia[[#Headers],[I8]],tblRed[Activo],1)&gt;0,1,0)</f>
        <v>1</v>
      </c>
      <c r="Z16" s="16">
        <f>IF(COUNTIFS(tblRed[Nodo Inicial],tblMatrizDeAdyacencia[[#This Row],[Nodo Orig.\Dest.]],tblRed[Nodo Final],tblMatrizDeAdyacencia[[#Headers],[I9]],tblRed[Activo],1)&gt;0,1,0)</f>
        <v>0</v>
      </c>
      <c r="AA16" s="16">
        <f>IF(COUNTIFS(tblRed[Nodo Inicial],tblMatrizDeAdyacencia[[#This Row],[Nodo Orig.\Dest.]],tblRed[Nodo Final],tblMatrizDeAdyacencia[[#Headers],[I10]],tblRed[Activo],1)&gt;0,1,0)</f>
        <v>0</v>
      </c>
      <c r="AB16" s="16">
        <f>IF(COUNTIFS(tblRed[Nodo Inicial],tblMatrizDeAdyacencia[[#This Row],[Nodo Orig.\Dest.]],tblRed[Nodo Final],tblMatrizDeAdyacencia[[#Headers],[I11]],tblRed[Activo],1)&gt;0,1,0)</f>
        <v>1</v>
      </c>
      <c r="AC16" s="16">
        <f>IF(COUNTIFS(tblRed[Nodo Inicial],tblMatrizDeAdyacencia[[#This Row],[Nodo Orig.\Dest.]],tblRed[Nodo Final],tblMatrizDeAdyacencia[[#Headers],[I12]],tblRed[Activo],1)&gt;0,1,0)</f>
        <v>0</v>
      </c>
      <c r="AD16" s="16">
        <f>IF(COUNTIFS(tblRed[Nodo Inicial],tblMatrizDeAdyacencia[[#This Row],[Nodo Orig.\Dest.]],tblRed[Nodo Final],tblMatrizDeAdyacencia[[#Headers],[G1]],tblRed[Activo],1)&gt;0,1,0)</f>
        <v>0</v>
      </c>
      <c r="AE16" s="16">
        <f>IF(COUNTIFS(tblRed[Nodo Inicial],tblMatrizDeAdyacencia[[#This Row],[Nodo Orig.\Dest.]],tblRed[Nodo Final],tblMatrizDeAdyacencia[[#Headers],[G2]],tblRed[Activo],1)&gt;0,1,0)</f>
        <v>0</v>
      </c>
      <c r="AF16" s="16">
        <f>IF(COUNTIFS(tblRed[Nodo Inicial],tblMatrizDeAdyacencia[[#This Row],[Nodo Orig.\Dest.]],tblRed[Nodo Final],tblMatrizDeAdyacencia[[#Headers],[G3]],tblRed[Activo],1)&gt;0,1,0)</f>
        <v>0</v>
      </c>
      <c r="AG16" s="16">
        <f>IF(COUNTIFS(tblRed[Nodo Inicial],tblMatrizDeAdyacencia[[#This Row],[Nodo Orig.\Dest.]],tblRed[Nodo Final],tblMatrizDeAdyacencia[[#Headers],[G4]],tblRed[Activo],1)&gt;0,1,0)</f>
        <v>0</v>
      </c>
      <c r="AH16" s="16">
        <f>IF(COUNTIFS(tblRed[Nodo Inicial],tblMatrizDeAdyacencia[[#This Row],[Nodo Orig.\Dest.]],tblRed[Nodo Final],tblMatrizDeAdyacencia[[#Headers],[D1]],tblRed[Activo],1)&gt;0,1,0)</f>
        <v>0</v>
      </c>
    </row>
    <row r="17" spans="2:34" ht="17.25" customHeight="1" x14ac:dyDescent="0.25">
      <c r="B17" s="12" t="str">
        <f>VLOOKUP(tblMatrizDeAdyacencia[[#This Row],[Nodo Orig.\Dest.]],tblNodos[],2,FALSE)</f>
        <v>Colectores instrumentales / de ocultación</v>
      </c>
      <c r="C17" s="4" t="s">
        <v>51</v>
      </c>
      <c r="D17" s="16">
        <f>IF(COUNTIFS(tblRed[Nodo Inicial],tblMatrizDeAdyacencia[[#This Row],[Nodo Orig.\Dest.]],tblRed[Nodo Final],tblMatrizDeAdyacencia[[#Headers],[O1]],tblRed[Activo],1)&gt;0,1,0)</f>
        <v>0</v>
      </c>
      <c r="E17" s="16">
        <f>IF(COUNTIFS(tblRed[Nodo Inicial],tblMatrizDeAdyacencia[[#This Row],[Nodo Orig.\Dest.]],tblRed[Nodo Final],tblMatrizDeAdyacencia[[#Headers],[O2]],tblRed[Activo],1)&gt;0,1,0)</f>
        <v>0</v>
      </c>
      <c r="F17" s="16">
        <f>IF(COUNTIFS(tblRed[Nodo Inicial],tblMatrizDeAdyacencia[[#This Row],[Nodo Orig.\Dest.]],tblRed[Nodo Final],tblMatrizDeAdyacencia[[#Headers],[O3]],tblRed[Activo],1)&gt;0,1,0)</f>
        <v>0</v>
      </c>
      <c r="G17" s="16">
        <f>IF(COUNTIFS(tblRed[Nodo Inicial],tblMatrizDeAdyacencia[[#This Row],[Nodo Orig.\Dest.]],tblRed[Nodo Final],tblMatrizDeAdyacencia[[#Headers],[O4]],tblRed[Activo],1)&gt;0,1,0)</f>
        <v>0</v>
      </c>
      <c r="H17" s="16">
        <f>IF(COUNTIFS(tblRed[Nodo Inicial],tblMatrizDeAdyacencia[[#This Row],[Nodo Orig.\Dest.]],tblRed[Nodo Final],tblMatrizDeAdyacencia[[#Headers],[O5]],tblRed[Activo],1)&gt;0,1,0)</f>
        <v>0</v>
      </c>
      <c r="I17" s="16">
        <f>IF(COUNTIFS(tblRed[Nodo Inicial],tblMatrizDeAdyacencia[[#This Row],[Nodo Orig.\Dest.]],tblRed[Nodo Final],tblMatrizDeAdyacencia[[#Headers],[O6]],tblRed[Activo],1)&gt;0,1,0)</f>
        <v>0</v>
      </c>
      <c r="J17" s="16">
        <f>IF(COUNTIFS(tblRed[Nodo Inicial],tblMatrizDeAdyacencia[[#This Row],[Nodo Orig.\Dest.]],tblRed[Nodo Final],tblMatrizDeAdyacencia[[#Headers],[O7]],tblRed[Activo],1)&gt;0,1,0)</f>
        <v>0</v>
      </c>
      <c r="K17" s="16">
        <f>IF(COUNTIFS(tblRed[Nodo Inicial],tblMatrizDeAdyacencia[[#This Row],[Nodo Orig.\Dest.]],tblRed[Nodo Final],tblMatrizDeAdyacencia[[#Headers],[O8]],tblRed[Activo],1)&gt;0,1,0)</f>
        <v>0</v>
      </c>
      <c r="L17" s="16">
        <f>IF(COUNTIFS(tblRed[Nodo Inicial],tblMatrizDeAdyacencia[[#This Row],[Nodo Orig.\Dest.]],tblRed[Nodo Final],tblMatrizDeAdyacencia[[#Headers],[C1]],tblRed[Activo],1)&gt;0,1,0)</f>
        <v>0</v>
      </c>
      <c r="M17" s="16">
        <f>IF(COUNTIFS(tblRed[Nodo Inicial],tblMatrizDeAdyacencia[[#This Row],[Nodo Orig.\Dest.]],tblRed[Nodo Final],tblMatrizDeAdyacencia[[#Headers],[C2]],tblRed[Activo],1)&gt;0,1,0)</f>
        <v>0</v>
      </c>
      <c r="N17" s="16">
        <f>IF(COUNTIFS(tblRed[Nodo Inicial],tblMatrizDeAdyacencia[[#This Row],[Nodo Orig.\Dest.]],tblRed[Nodo Final],tblMatrizDeAdyacencia[[#Headers],[C3]],tblRed[Activo],1)&gt;0,1,0)</f>
        <v>0</v>
      </c>
      <c r="O17" s="16">
        <f>IF(COUNTIFS(tblRed[Nodo Inicial],tblMatrizDeAdyacencia[[#This Row],[Nodo Orig.\Dest.]],tblRed[Nodo Final],tblMatrizDeAdyacencia[[#Headers],[C4]],tblRed[Activo],1)&gt;0,1,0)</f>
        <v>0</v>
      </c>
      <c r="P17" s="16">
        <f>IF(COUNTIFS(tblRed[Nodo Inicial],tblMatrizDeAdyacencia[[#This Row],[Nodo Orig.\Dest.]],tblRed[Nodo Final],tblMatrizDeAdyacencia[[#Headers],[C5]],tblRed[Activo],1)&gt;0,1,0)</f>
        <v>0</v>
      </c>
      <c r="Q17" s="72">
        <f>IF(COUNTIFS(tblRed[Nodo Inicial],tblMatrizDeAdyacencia[[#This Row],[Nodo Orig.\Dest.]],tblRed[Nodo Final],tblMatrizDeAdyacencia[[#Headers],[C6]],tblRed[Activo],1)&gt;0,1,0)</f>
        <v>0</v>
      </c>
      <c r="R17" s="16">
        <f>IF(COUNTIFS(tblRed[Nodo Inicial],tblMatrizDeAdyacencia[[#This Row],[Nodo Orig.\Dest.]],tblRed[Nodo Final],tblMatrizDeAdyacencia[[#Headers],[I1]],tblRed[Activo],1)&gt;0,1,0)</f>
        <v>0</v>
      </c>
      <c r="S17" s="16">
        <f>IF(COUNTIFS(tblRed[Nodo Inicial],tblMatrizDeAdyacencia[[#This Row],[Nodo Orig.\Dest.]],tblRed[Nodo Final],tblMatrizDeAdyacencia[[#Headers],[I2]],tblRed[Activo],1)&gt;0,1,0)</f>
        <v>0</v>
      </c>
      <c r="T17" s="16">
        <f>IF(COUNTIFS(tblRed[Nodo Inicial],tblMatrizDeAdyacencia[[#This Row],[Nodo Orig.\Dest.]],tblRed[Nodo Final],tblMatrizDeAdyacencia[[#Headers],[I3]],tblRed[Activo],1)&gt;0,1,0)</f>
        <v>1</v>
      </c>
      <c r="U17" s="16">
        <f>IF(COUNTIFS(tblRed[Nodo Inicial],tblMatrizDeAdyacencia[[#This Row],[Nodo Orig.\Dest.]],tblRed[Nodo Final],tblMatrizDeAdyacencia[[#Headers],[I4]],tblRed[Activo],1)&gt;0,1,0)</f>
        <v>0</v>
      </c>
      <c r="V17" s="17">
        <f>IF(COUNTIFS(tblRed[Nodo Inicial],tblMatrizDeAdyacencia[[#This Row],[Nodo Orig.\Dest.]],tblRed[Nodo Final],tblMatrizDeAdyacencia[[#Headers],[I5]],tblRed[Activo],1)&gt;0,1,0)</f>
        <v>1</v>
      </c>
      <c r="W17" s="16">
        <f>IF(COUNTIFS(tblRed[Nodo Inicial],tblMatrizDeAdyacencia[[#This Row],[Nodo Orig.\Dest.]],tblRed[Nodo Final],tblMatrizDeAdyacencia[[#Headers],[I6]],tblRed[Activo],1)&gt;0,1,0)</f>
        <v>1</v>
      </c>
      <c r="X17" s="16">
        <f>IF(COUNTIFS(tblRed[Nodo Inicial],tblMatrizDeAdyacencia[[#This Row],[Nodo Orig.\Dest.]],tblRed[Nodo Final],tblMatrizDeAdyacencia[[#Headers],[I7]],tblRed[Activo],1)&gt;0,1,0)</f>
        <v>0</v>
      </c>
      <c r="Y17" s="16">
        <f>IF(COUNTIFS(tblRed[Nodo Inicial],tblMatrizDeAdyacencia[[#This Row],[Nodo Orig.\Dest.]],tblRed[Nodo Final],tblMatrizDeAdyacencia[[#Headers],[I8]],tblRed[Activo],1)&gt;0,1,0)</f>
        <v>0</v>
      </c>
      <c r="Z17" s="16">
        <f>IF(COUNTIFS(tblRed[Nodo Inicial],tblMatrizDeAdyacencia[[#This Row],[Nodo Orig.\Dest.]],tblRed[Nodo Final],tblMatrizDeAdyacencia[[#Headers],[I9]],tblRed[Activo],1)&gt;0,1,0)</f>
        <v>0</v>
      </c>
      <c r="AA17" s="16">
        <f>IF(COUNTIFS(tblRed[Nodo Inicial],tblMatrizDeAdyacencia[[#This Row],[Nodo Orig.\Dest.]],tblRed[Nodo Final],tblMatrizDeAdyacencia[[#Headers],[I10]],tblRed[Activo],1)&gt;0,1,0)</f>
        <v>1</v>
      </c>
      <c r="AB17" s="16">
        <f>IF(COUNTIFS(tblRed[Nodo Inicial],tblMatrizDeAdyacencia[[#This Row],[Nodo Orig.\Dest.]],tblRed[Nodo Final],tblMatrizDeAdyacencia[[#Headers],[I11]],tblRed[Activo],1)&gt;0,1,0)</f>
        <v>0</v>
      </c>
      <c r="AC17" s="16">
        <f>IF(COUNTIFS(tblRed[Nodo Inicial],tblMatrizDeAdyacencia[[#This Row],[Nodo Orig.\Dest.]],tblRed[Nodo Final],tblMatrizDeAdyacencia[[#Headers],[I12]],tblRed[Activo],1)&gt;0,1,0)</f>
        <v>0</v>
      </c>
      <c r="AD17" s="16">
        <f>IF(COUNTIFS(tblRed[Nodo Inicial],tblMatrizDeAdyacencia[[#This Row],[Nodo Orig.\Dest.]],tblRed[Nodo Final],tblMatrizDeAdyacencia[[#Headers],[G1]],tblRed[Activo],1)&gt;0,1,0)</f>
        <v>0</v>
      </c>
      <c r="AE17" s="16">
        <f>IF(COUNTIFS(tblRed[Nodo Inicial],tblMatrizDeAdyacencia[[#This Row],[Nodo Orig.\Dest.]],tblRed[Nodo Final],tblMatrizDeAdyacencia[[#Headers],[G2]],tblRed[Activo],1)&gt;0,1,0)</f>
        <v>0</v>
      </c>
      <c r="AF17" s="16">
        <f>IF(COUNTIFS(tblRed[Nodo Inicial],tblMatrizDeAdyacencia[[#This Row],[Nodo Orig.\Dest.]],tblRed[Nodo Final],tblMatrizDeAdyacencia[[#Headers],[G3]],tblRed[Activo],1)&gt;0,1,0)</f>
        <v>0</v>
      </c>
      <c r="AG17" s="16">
        <f>IF(COUNTIFS(tblRed[Nodo Inicial],tblMatrizDeAdyacencia[[#This Row],[Nodo Orig.\Dest.]],tblRed[Nodo Final],tblMatrizDeAdyacencia[[#Headers],[G4]],tblRed[Activo],1)&gt;0,1,0)</f>
        <v>0</v>
      </c>
      <c r="AH17" s="16">
        <f>IF(COUNTIFS(tblRed[Nodo Inicial],tblMatrizDeAdyacencia[[#This Row],[Nodo Orig.\Dest.]],tblRed[Nodo Final],tblMatrizDeAdyacencia[[#Headers],[D1]],tblRed[Activo],1)&gt;0,1,0)</f>
        <v>0</v>
      </c>
    </row>
    <row r="18" spans="2:34" ht="17.25" customHeight="1" x14ac:dyDescent="0.25">
      <c r="B18" s="12" t="str">
        <f>VLOOKUP(tblMatrizDeAdyacencia[[#This Row],[Nodo Orig.\Dest.]],tblNodos[],2,FALSE)</f>
        <v>Intermediarios físicos de transporte de valor</v>
      </c>
      <c r="C18" s="4" t="s">
        <v>53</v>
      </c>
      <c r="D18" s="16">
        <f>IF(COUNTIFS(tblRed[Nodo Inicial],tblMatrizDeAdyacencia[[#This Row],[Nodo Orig.\Dest.]],tblRed[Nodo Final],tblMatrizDeAdyacencia[[#Headers],[O1]],tblRed[Activo],1)&gt;0,1,0)</f>
        <v>0</v>
      </c>
      <c r="E18" s="16">
        <f>IF(COUNTIFS(tblRed[Nodo Inicial],tblMatrizDeAdyacencia[[#This Row],[Nodo Orig.\Dest.]],tblRed[Nodo Final],tblMatrizDeAdyacencia[[#Headers],[O2]],tblRed[Activo],1)&gt;0,1,0)</f>
        <v>0</v>
      </c>
      <c r="F18" s="16">
        <f>IF(COUNTIFS(tblRed[Nodo Inicial],tblMatrizDeAdyacencia[[#This Row],[Nodo Orig.\Dest.]],tblRed[Nodo Final],tblMatrizDeAdyacencia[[#Headers],[O3]],tblRed[Activo],1)&gt;0,1,0)</f>
        <v>0</v>
      </c>
      <c r="G18" s="16">
        <f>IF(COUNTIFS(tblRed[Nodo Inicial],tblMatrizDeAdyacencia[[#This Row],[Nodo Orig.\Dest.]],tblRed[Nodo Final],tblMatrizDeAdyacencia[[#Headers],[O4]],tblRed[Activo],1)&gt;0,1,0)</f>
        <v>0</v>
      </c>
      <c r="H18" s="16">
        <f>IF(COUNTIFS(tblRed[Nodo Inicial],tblMatrizDeAdyacencia[[#This Row],[Nodo Orig.\Dest.]],tblRed[Nodo Final],tblMatrizDeAdyacencia[[#Headers],[O5]],tblRed[Activo],1)&gt;0,1,0)</f>
        <v>0</v>
      </c>
      <c r="I18" s="16">
        <f>IF(COUNTIFS(tblRed[Nodo Inicial],tblMatrizDeAdyacencia[[#This Row],[Nodo Orig.\Dest.]],tblRed[Nodo Final],tblMatrizDeAdyacencia[[#Headers],[O6]],tblRed[Activo],1)&gt;0,1,0)</f>
        <v>0</v>
      </c>
      <c r="J18" s="16">
        <f>IF(COUNTIFS(tblRed[Nodo Inicial],tblMatrizDeAdyacencia[[#This Row],[Nodo Orig.\Dest.]],tblRed[Nodo Final],tblMatrizDeAdyacencia[[#Headers],[O7]],tblRed[Activo],1)&gt;0,1,0)</f>
        <v>0</v>
      </c>
      <c r="K18" s="16">
        <f>IF(COUNTIFS(tblRed[Nodo Inicial],tblMatrizDeAdyacencia[[#This Row],[Nodo Orig.\Dest.]],tblRed[Nodo Final],tblMatrizDeAdyacencia[[#Headers],[O8]],tblRed[Activo],1)&gt;0,1,0)</f>
        <v>0</v>
      </c>
      <c r="L18" s="16">
        <f>IF(COUNTIFS(tblRed[Nodo Inicial],tblMatrizDeAdyacencia[[#This Row],[Nodo Orig.\Dest.]],tblRed[Nodo Final],tblMatrizDeAdyacencia[[#Headers],[C1]],tblRed[Activo],1)&gt;0,1,0)</f>
        <v>0</v>
      </c>
      <c r="M18" s="16">
        <f>IF(COUNTIFS(tblRed[Nodo Inicial],tblMatrizDeAdyacencia[[#This Row],[Nodo Orig.\Dest.]],tblRed[Nodo Final],tblMatrizDeAdyacencia[[#Headers],[C2]],tblRed[Activo],1)&gt;0,1,0)</f>
        <v>0</v>
      </c>
      <c r="N18" s="16">
        <f>IF(COUNTIFS(tblRed[Nodo Inicial],tblMatrizDeAdyacencia[[#This Row],[Nodo Orig.\Dest.]],tblRed[Nodo Final],tblMatrizDeAdyacencia[[#Headers],[C3]],tblRed[Activo],1)&gt;0,1,0)</f>
        <v>0</v>
      </c>
      <c r="O18" s="16">
        <f>IF(COUNTIFS(tblRed[Nodo Inicial],tblMatrizDeAdyacencia[[#This Row],[Nodo Orig.\Dest.]],tblRed[Nodo Final],tblMatrizDeAdyacencia[[#Headers],[C4]],tblRed[Activo],1)&gt;0,1,0)</f>
        <v>0</v>
      </c>
      <c r="P18" s="16">
        <f>IF(COUNTIFS(tblRed[Nodo Inicial],tblMatrizDeAdyacencia[[#This Row],[Nodo Orig.\Dest.]],tblRed[Nodo Final],tblMatrizDeAdyacencia[[#Headers],[C5]],tblRed[Activo],1)&gt;0,1,0)</f>
        <v>0</v>
      </c>
      <c r="Q18" s="16">
        <f>IF(COUNTIFS(tblRed[Nodo Inicial],tblMatrizDeAdyacencia[[#This Row],[Nodo Orig.\Dest.]],tblRed[Nodo Final],tblMatrizDeAdyacencia[[#Headers],[C6]],tblRed[Activo],1)&gt;0,1,0)</f>
        <v>0</v>
      </c>
      <c r="R18" s="72">
        <f>IF(COUNTIFS(tblRed[Nodo Inicial],tblMatrizDeAdyacencia[[#This Row],[Nodo Orig.\Dest.]],tblRed[Nodo Final],tblMatrizDeAdyacencia[[#Headers],[I1]],tblRed[Activo],1)&gt;0,1,0)</f>
        <v>0</v>
      </c>
      <c r="S18" s="16">
        <f>IF(COUNTIFS(tblRed[Nodo Inicial],tblMatrizDeAdyacencia[[#This Row],[Nodo Orig.\Dest.]],tblRed[Nodo Final],tblMatrizDeAdyacencia[[#Headers],[I2]],tblRed[Activo],1)&gt;0,1,0)</f>
        <v>0</v>
      </c>
      <c r="T18" s="16">
        <f>IF(COUNTIFS(tblRed[Nodo Inicial],tblMatrizDeAdyacencia[[#This Row],[Nodo Orig.\Dest.]],tblRed[Nodo Final],tblMatrizDeAdyacencia[[#Headers],[I3]],tblRed[Activo],1)&gt;0,1,0)</f>
        <v>0</v>
      </c>
      <c r="U18" s="16">
        <f>IF(COUNTIFS(tblRed[Nodo Inicial],tblMatrizDeAdyacencia[[#This Row],[Nodo Orig.\Dest.]],tblRed[Nodo Final],tblMatrizDeAdyacencia[[#Headers],[I4]],tblRed[Activo],1)&gt;0,1,0)</f>
        <v>0</v>
      </c>
      <c r="V18" s="17">
        <f>IF(COUNTIFS(tblRed[Nodo Inicial],tblMatrizDeAdyacencia[[#This Row],[Nodo Orig.\Dest.]],tblRed[Nodo Final],tblMatrizDeAdyacencia[[#Headers],[I5]],tblRed[Activo],1)&gt;0,1,0)</f>
        <v>0</v>
      </c>
      <c r="W18" s="16">
        <f>IF(COUNTIFS(tblRed[Nodo Inicial],tblMatrizDeAdyacencia[[#This Row],[Nodo Orig.\Dest.]],tblRed[Nodo Final],tblMatrizDeAdyacencia[[#Headers],[I6]],tblRed[Activo],1)&gt;0,1,0)</f>
        <v>0</v>
      </c>
      <c r="X18" s="16">
        <f>IF(COUNTIFS(tblRed[Nodo Inicial],tblMatrizDeAdyacencia[[#This Row],[Nodo Orig.\Dest.]],tblRed[Nodo Final],tblMatrizDeAdyacencia[[#Headers],[I7]],tblRed[Activo],1)&gt;0,1,0)</f>
        <v>0</v>
      </c>
      <c r="Y18" s="16">
        <f>IF(COUNTIFS(tblRed[Nodo Inicial],tblMatrizDeAdyacencia[[#This Row],[Nodo Orig.\Dest.]],tblRed[Nodo Final],tblMatrizDeAdyacencia[[#Headers],[I8]],tblRed[Activo],1)&gt;0,1,0)</f>
        <v>0</v>
      </c>
      <c r="Z18" s="16">
        <f>IF(COUNTIFS(tblRed[Nodo Inicial],tblMatrizDeAdyacencia[[#This Row],[Nodo Orig.\Dest.]],tblRed[Nodo Final],tblMatrizDeAdyacencia[[#Headers],[I9]],tblRed[Activo],1)&gt;0,1,0)</f>
        <v>0</v>
      </c>
      <c r="AA18" s="16">
        <f>IF(COUNTIFS(tblRed[Nodo Inicial],tblMatrizDeAdyacencia[[#This Row],[Nodo Orig.\Dest.]],tblRed[Nodo Final],tblMatrizDeAdyacencia[[#Headers],[I10]],tblRed[Activo],1)&gt;0,1,0)</f>
        <v>0</v>
      </c>
      <c r="AB18" s="16">
        <f>IF(COUNTIFS(tblRed[Nodo Inicial],tblMatrizDeAdyacencia[[#This Row],[Nodo Orig.\Dest.]],tblRed[Nodo Final],tblMatrizDeAdyacencia[[#Headers],[I11]],tblRed[Activo],1)&gt;0,1,0)</f>
        <v>0</v>
      </c>
      <c r="AC18" s="16">
        <f>IF(COUNTIFS(tblRed[Nodo Inicial],tblMatrizDeAdyacencia[[#This Row],[Nodo Orig.\Dest.]],tblRed[Nodo Final],tblMatrizDeAdyacencia[[#Headers],[I12]],tblRed[Activo],1)&gt;0,1,0)</f>
        <v>0</v>
      </c>
      <c r="AD18" s="16">
        <f>IF(COUNTIFS(tblRed[Nodo Inicial],tblMatrizDeAdyacencia[[#This Row],[Nodo Orig.\Dest.]],tblRed[Nodo Final],tblMatrizDeAdyacencia[[#Headers],[G1]],tblRed[Activo],1)&gt;0,1,0)</f>
        <v>1</v>
      </c>
      <c r="AE18" s="16">
        <f>IF(COUNTIFS(tblRed[Nodo Inicial],tblMatrizDeAdyacencia[[#This Row],[Nodo Orig.\Dest.]],tblRed[Nodo Final],tblMatrizDeAdyacencia[[#Headers],[G2]],tblRed[Activo],1)&gt;0,1,0)</f>
        <v>1</v>
      </c>
      <c r="AF18" s="16">
        <f>IF(COUNTIFS(tblRed[Nodo Inicial],tblMatrizDeAdyacencia[[#This Row],[Nodo Orig.\Dest.]],tblRed[Nodo Final],tblMatrizDeAdyacencia[[#Headers],[G3]],tblRed[Activo],1)&gt;0,1,0)</f>
        <v>0</v>
      </c>
      <c r="AG18" s="16">
        <f>IF(COUNTIFS(tblRed[Nodo Inicial],tblMatrizDeAdyacencia[[#This Row],[Nodo Orig.\Dest.]],tblRed[Nodo Final],tblMatrizDeAdyacencia[[#Headers],[G4]],tblRed[Activo],1)&gt;0,1,0)</f>
        <v>0</v>
      </c>
      <c r="AH18" s="16">
        <f>IF(COUNTIFS(tblRed[Nodo Inicial],tblMatrizDeAdyacencia[[#This Row],[Nodo Orig.\Dest.]],tblRed[Nodo Final],tblMatrizDeAdyacencia[[#Headers],[D1]],tblRed[Activo],1)&gt;0,1,0)</f>
        <v>0</v>
      </c>
    </row>
    <row r="19" spans="2:34" ht="17.25" customHeight="1" x14ac:dyDescent="0.25">
      <c r="B19" s="12" t="str">
        <f>VLOOKUP(tblMatrizDeAdyacencia[[#This Row],[Nodo Orig.\Dest.]],tblNodos[],2,FALSE)</f>
        <v>Intermediarios informales y paralelos</v>
      </c>
      <c r="C19" s="4" t="s">
        <v>55</v>
      </c>
      <c r="D19" s="16">
        <f>IF(COUNTIFS(tblRed[Nodo Inicial],tblMatrizDeAdyacencia[[#This Row],[Nodo Orig.\Dest.]],tblRed[Nodo Final],tblMatrizDeAdyacencia[[#Headers],[O1]],tblRed[Activo],1)&gt;0,1,0)</f>
        <v>0</v>
      </c>
      <c r="E19" s="16">
        <f>IF(COUNTIFS(tblRed[Nodo Inicial],tblMatrizDeAdyacencia[[#This Row],[Nodo Orig.\Dest.]],tblRed[Nodo Final],tblMatrizDeAdyacencia[[#Headers],[O2]],tblRed[Activo],1)&gt;0,1,0)</f>
        <v>0</v>
      </c>
      <c r="F19" s="16">
        <f>IF(COUNTIFS(tblRed[Nodo Inicial],tblMatrizDeAdyacencia[[#This Row],[Nodo Orig.\Dest.]],tblRed[Nodo Final],tblMatrizDeAdyacencia[[#Headers],[O3]],tblRed[Activo],1)&gt;0,1,0)</f>
        <v>0</v>
      </c>
      <c r="G19" s="16">
        <f>IF(COUNTIFS(tblRed[Nodo Inicial],tblMatrizDeAdyacencia[[#This Row],[Nodo Orig.\Dest.]],tblRed[Nodo Final],tblMatrizDeAdyacencia[[#Headers],[O4]],tblRed[Activo],1)&gt;0,1,0)</f>
        <v>0</v>
      </c>
      <c r="H19" s="16">
        <f>IF(COUNTIFS(tblRed[Nodo Inicial],tblMatrizDeAdyacencia[[#This Row],[Nodo Orig.\Dest.]],tblRed[Nodo Final],tblMatrizDeAdyacencia[[#Headers],[O5]],tblRed[Activo],1)&gt;0,1,0)</f>
        <v>0</v>
      </c>
      <c r="I19" s="16">
        <f>IF(COUNTIFS(tblRed[Nodo Inicial],tblMatrizDeAdyacencia[[#This Row],[Nodo Orig.\Dest.]],tblRed[Nodo Final],tblMatrizDeAdyacencia[[#Headers],[O6]],tblRed[Activo],1)&gt;0,1,0)</f>
        <v>0</v>
      </c>
      <c r="J19" s="16">
        <f>IF(COUNTIFS(tblRed[Nodo Inicial],tblMatrizDeAdyacencia[[#This Row],[Nodo Orig.\Dest.]],tblRed[Nodo Final],tblMatrizDeAdyacencia[[#Headers],[O7]],tblRed[Activo],1)&gt;0,1,0)</f>
        <v>0</v>
      </c>
      <c r="K19" s="16">
        <f>IF(COUNTIFS(tblRed[Nodo Inicial],tblMatrizDeAdyacencia[[#This Row],[Nodo Orig.\Dest.]],tblRed[Nodo Final],tblMatrizDeAdyacencia[[#Headers],[O8]],tblRed[Activo],1)&gt;0,1,0)</f>
        <v>0</v>
      </c>
      <c r="L19" s="16">
        <f>IF(COUNTIFS(tblRed[Nodo Inicial],tblMatrizDeAdyacencia[[#This Row],[Nodo Orig.\Dest.]],tblRed[Nodo Final],tblMatrizDeAdyacencia[[#Headers],[C1]],tblRed[Activo],1)&gt;0,1,0)</f>
        <v>0</v>
      </c>
      <c r="M19" s="16">
        <f>IF(COUNTIFS(tblRed[Nodo Inicial],tblMatrizDeAdyacencia[[#This Row],[Nodo Orig.\Dest.]],tblRed[Nodo Final],tblMatrizDeAdyacencia[[#Headers],[C2]],tblRed[Activo],1)&gt;0,1,0)</f>
        <v>0</v>
      </c>
      <c r="N19" s="16">
        <f>IF(COUNTIFS(tblRed[Nodo Inicial],tblMatrizDeAdyacencia[[#This Row],[Nodo Orig.\Dest.]],tblRed[Nodo Final],tblMatrizDeAdyacencia[[#Headers],[C3]],tblRed[Activo],1)&gt;0,1,0)</f>
        <v>0</v>
      </c>
      <c r="O19" s="16">
        <f>IF(COUNTIFS(tblRed[Nodo Inicial],tblMatrizDeAdyacencia[[#This Row],[Nodo Orig.\Dest.]],tblRed[Nodo Final],tblMatrizDeAdyacencia[[#Headers],[C4]],tblRed[Activo],1)&gt;0,1,0)</f>
        <v>0</v>
      </c>
      <c r="P19" s="16">
        <f>IF(COUNTIFS(tblRed[Nodo Inicial],tblMatrizDeAdyacencia[[#This Row],[Nodo Orig.\Dest.]],tblRed[Nodo Final],tblMatrizDeAdyacencia[[#Headers],[C5]],tblRed[Activo],1)&gt;0,1,0)</f>
        <v>0</v>
      </c>
      <c r="Q19" s="16">
        <f>IF(COUNTIFS(tblRed[Nodo Inicial],tblMatrizDeAdyacencia[[#This Row],[Nodo Orig.\Dest.]],tblRed[Nodo Final],tblMatrizDeAdyacencia[[#Headers],[C6]],tblRed[Activo],1)&gt;0,1,0)</f>
        <v>0</v>
      </c>
      <c r="R19" s="16">
        <f>IF(COUNTIFS(tblRed[Nodo Inicial],tblMatrizDeAdyacencia[[#This Row],[Nodo Orig.\Dest.]],tblRed[Nodo Final],tblMatrizDeAdyacencia[[#Headers],[I1]],tblRed[Activo],1)&gt;0,1,0)</f>
        <v>0</v>
      </c>
      <c r="S19" s="72">
        <f>IF(COUNTIFS(tblRed[Nodo Inicial],tblMatrizDeAdyacencia[[#This Row],[Nodo Orig.\Dest.]],tblRed[Nodo Final],tblMatrizDeAdyacencia[[#Headers],[I2]],tblRed[Activo],1)&gt;0,1,0)</f>
        <v>0</v>
      </c>
      <c r="T19" s="16">
        <f>IF(COUNTIFS(tblRed[Nodo Inicial],tblMatrizDeAdyacencia[[#This Row],[Nodo Orig.\Dest.]],tblRed[Nodo Final],tblMatrizDeAdyacencia[[#Headers],[I3]],tblRed[Activo],1)&gt;0,1,0)</f>
        <v>0</v>
      </c>
      <c r="U19" s="16">
        <f>IF(COUNTIFS(tblRed[Nodo Inicial],tblMatrizDeAdyacencia[[#This Row],[Nodo Orig.\Dest.]],tblRed[Nodo Final],tblMatrizDeAdyacencia[[#Headers],[I4]],tblRed[Activo],1)&gt;0,1,0)</f>
        <v>0</v>
      </c>
      <c r="V19" s="17">
        <f>IF(COUNTIFS(tblRed[Nodo Inicial],tblMatrizDeAdyacencia[[#This Row],[Nodo Orig.\Dest.]],tblRed[Nodo Final],tblMatrizDeAdyacencia[[#Headers],[I5]],tblRed[Activo],1)&gt;0,1,0)</f>
        <v>0</v>
      </c>
      <c r="W19" s="16">
        <f>IF(COUNTIFS(tblRed[Nodo Inicial],tblMatrizDeAdyacencia[[#This Row],[Nodo Orig.\Dest.]],tblRed[Nodo Final],tblMatrizDeAdyacencia[[#Headers],[I6]],tblRed[Activo],1)&gt;0,1,0)</f>
        <v>0</v>
      </c>
      <c r="X19" s="16">
        <f>IF(COUNTIFS(tblRed[Nodo Inicial],tblMatrizDeAdyacencia[[#This Row],[Nodo Orig.\Dest.]],tblRed[Nodo Final],tblMatrizDeAdyacencia[[#Headers],[I7]],tblRed[Activo],1)&gt;0,1,0)</f>
        <v>0</v>
      </c>
      <c r="Y19" s="16">
        <f>IF(COUNTIFS(tblRed[Nodo Inicial],tblMatrizDeAdyacencia[[#This Row],[Nodo Orig.\Dest.]],tblRed[Nodo Final],tblMatrizDeAdyacencia[[#Headers],[I8]],tblRed[Activo],1)&gt;0,1,0)</f>
        <v>0</v>
      </c>
      <c r="Z19" s="16">
        <f>IF(COUNTIFS(tblRed[Nodo Inicial],tblMatrizDeAdyacencia[[#This Row],[Nodo Orig.\Dest.]],tblRed[Nodo Final],tblMatrizDeAdyacencia[[#Headers],[I9]],tblRed[Activo],1)&gt;0,1,0)</f>
        <v>0</v>
      </c>
      <c r="AA19" s="16">
        <f>IF(COUNTIFS(tblRed[Nodo Inicial],tblMatrizDeAdyacencia[[#This Row],[Nodo Orig.\Dest.]],tblRed[Nodo Final],tblMatrizDeAdyacencia[[#Headers],[I10]],tblRed[Activo],1)&gt;0,1,0)</f>
        <v>0</v>
      </c>
      <c r="AB19" s="16">
        <f>IF(COUNTIFS(tblRed[Nodo Inicial],tblMatrizDeAdyacencia[[#This Row],[Nodo Orig.\Dest.]],tblRed[Nodo Final],tblMatrizDeAdyacencia[[#Headers],[I11]],tblRed[Activo],1)&gt;0,1,0)</f>
        <v>0</v>
      </c>
      <c r="AC19" s="16">
        <f>IF(COUNTIFS(tblRed[Nodo Inicial],tblMatrizDeAdyacencia[[#This Row],[Nodo Orig.\Dest.]],tblRed[Nodo Final],tblMatrizDeAdyacencia[[#Headers],[I12]],tblRed[Activo],1)&gt;0,1,0)</f>
        <v>0</v>
      </c>
      <c r="AD19" s="16">
        <f>IF(COUNTIFS(tblRed[Nodo Inicial],tblMatrizDeAdyacencia[[#This Row],[Nodo Orig.\Dest.]],tblRed[Nodo Final],tblMatrizDeAdyacencia[[#Headers],[G1]],tblRed[Activo],1)&gt;0,1,0)</f>
        <v>0</v>
      </c>
      <c r="AE19" s="16">
        <f>IF(COUNTIFS(tblRed[Nodo Inicial],tblMatrizDeAdyacencia[[#This Row],[Nodo Orig.\Dest.]],tblRed[Nodo Final],tblMatrizDeAdyacencia[[#Headers],[G2]],tblRed[Activo],1)&gt;0,1,0)</f>
        <v>0</v>
      </c>
      <c r="AF19" s="16">
        <f>IF(COUNTIFS(tblRed[Nodo Inicial],tblMatrizDeAdyacencia[[#This Row],[Nodo Orig.\Dest.]],tblRed[Nodo Final],tblMatrizDeAdyacencia[[#Headers],[G3]],tblRed[Activo],1)&gt;0,1,0)</f>
        <v>1</v>
      </c>
      <c r="AG19" s="16">
        <f>IF(COUNTIFS(tblRed[Nodo Inicial],tblMatrizDeAdyacencia[[#This Row],[Nodo Orig.\Dest.]],tblRed[Nodo Final],tblMatrizDeAdyacencia[[#Headers],[G4]],tblRed[Activo],1)&gt;0,1,0)</f>
        <v>0</v>
      </c>
      <c r="AH19" s="16">
        <f>IF(COUNTIFS(tblRed[Nodo Inicial],tblMatrizDeAdyacencia[[#This Row],[Nodo Orig.\Dest.]],tblRed[Nodo Final],tblMatrizDeAdyacencia[[#Headers],[D1]],tblRed[Activo],1)&gt;0,1,0)</f>
        <v>0</v>
      </c>
    </row>
    <row r="20" spans="2:34" ht="17.25" customHeight="1" x14ac:dyDescent="0.25">
      <c r="B20" s="12" t="str">
        <f>VLOOKUP(tblMatrizDeAdyacencia[[#This Row],[Nodo Orig.\Dest.]],tblNodos[],2,FALSE)</f>
        <v>Intermediarios MVTS y remesas</v>
      </c>
      <c r="C20" s="4" t="s">
        <v>57</v>
      </c>
      <c r="D20" s="16">
        <f>IF(COUNTIFS(tblRed[Nodo Inicial],tblMatrizDeAdyacencia[[#This Row],[Nodo Orig.\Dest.]],tblRed[Nodo Final],tblMatrizDeAdyacencia[[#Headers],[O1]],tblRed[Activo],1)&gt;0,1,0)</f>
        <v>0</v>
      </c>
      <c r="E20" s="16">
        <f>IF(COUNTIFS(tblRed[Nodo Inicial],tblMatrizDeAdyacencia[[#This Row],[Nodo Orig.\Dest.]],tblRed[Nodo Final],tblMatrizDeAdyacencia[[#Headers],[O2]],tblRed[Activo],1)&gt;0,1,0)</f>
        <v>0</v>
      </c>
      <c r="F20" s="16">
        <f>IF(COUNTIFS(tblRed[Nodo Inicial],tblMatrizDeAdyacencia[[#This Row],[Nodo Orig.\Dest.]],tblRed[Nodo Final],tblMatrizDeAdyacencia[[#Headers],[O3]],tblRed[Activo],1)&gt;0,1,0)</f>
        <v>0</v>
      </c>
      <c r="G20" s="16">
        <f>IF(COUNTIFS(tblRed[Nodo Inicial],tblMatrizDeAdyacencia[[#This Row],[Nodo Orig.\Dest.]],tblRed[Nodo Final],tblMatrizDeAdyacencia[[#Headers],[O4]],tblRed[Activo],1)&gt;0,1,0)</f>
        <v>0</v>
      </c>
      <c r="H20" s="16">
        <f>IF(COUNTIFS(tblRed[Nodo Inicial],tblMatrizDeAdyacencia[[#This Row],[Nodo Orig.\Dest.]],tblRed[Nodo Final],tblMatrizDeAdyacencia[[#Headers],[O5]],tblRed[Activo],1)&gt;0,1,0)</f>
        <v>0</v>
      </c>
      <c r="I20" s="16">
        <f>IF(COUNTIFS(tblRed[Nodo Inicial],tblMatrizDeAdyacencia[[#This Row],[Nodo Orig.\Dest.]],tblRed[Nodo Final],tblMatrizDeAdyacencia[[#Headers],[O6]],tblRed[Activo],1)&gt;0,1,0)</f>
        <v>0</v>
      </c>
      <c r="J20" s="16">
        <f>IF(COUNTIFS(tblRed[Nodo Inicial],tblMatrizDeAdyacencia[[#This Row],[Nodo Orig.\Dest.]],tblRed[Nodo Final],tblMatrizDeAdyacencia[[#Headers],[O7]],tblRed[Activo],1)&gt;0,1,0)</f>
        <v>0</v>
      </c>
      <c r="K20" s="16">
        <f>IF(COUNTIFS(tblRed[Nodo Inicial],tblMatrizDeAdyacencia[[#This Row],[Nodo Orig.\Dest.]],tblRed[Nodo Final],tblMatrizDeAdyacencia[[#Headers],[O8]],tblRed[Activo],1)&gt;0,1,0)</f>
        <v>0</v>
      </c>
      <c r="L20" s="16">
        <f>IF(COUNTIFS(tblRed[Nodo Inicial],tblMatrizDeAdyacencia[[#This Row],[Nodo Orig.\Dest.]],tblRed[Nodo Final],tblMatrizDeAdyacencia[[#Headers],[C1]],tblRed[Activo],1)&gt;0,1,0)</f>
        <v>0</v>
      </c>
      <c r="M20" s="16">
        <f>IF(COUNTIFS(tblRed[Nodo Inicial],tblMatrizDeAdyacencia[[#This Row],[Nodo Orig.\Dest.]],tblRed[Nodo Final],tblMatrizDeAdyacencia[[#Headers],[C2]],tblRed[Activo],1)&gt;0,1,0)</f>
        <v>0</v>
      </c>
      <c r="N20" s="16">
        <f>IF(COUNTIFS(tblRed[Nodo Inicial],tblMatrizDeAdyacencia[[#This Row],[Nodo Orig.\Dest.]],tblRed[Nodo Final],tblMatrizDeAdyacencia[[#Headers],[C3]],tblRed[Activo],1)&gt;0,1,0)</f>
        <v>0</v>
      </c>
      <c r="O20" s="16">
        <f>IF(COUNTIFS(tblRed[Nodo Inicial],tblMatrizDeAdyacencia[[#This Row],[Nodo Orig.\Dest.]],tblRed[Nodo Final],tblMatrizDeAdyacencia[[#Headers],[C4]],tblRed[Activo],1)&gt;0,1,0)</f>
        <v>0</v>
      </c>
      <c r="P20" s="16">
        <f>IF(COUNTIFS(tblRed[Nodo Inicial],tblMatrizDeAdyacencia[[#This Row],[Nodo Orig.\Dest.]],tblRed[Nodo Final],tblMatrizDeAdyacencia[[#Headers],[C5]],tblRed[Activo],1)&gt;0,1,0)</f>
        <v>0</v>
      </c>
      <c r="Q20" s="16">
        <f>IF(COUNTIFS(tblRed[Nodo Inicial],tblMatrizDeAdyacencia[[#This Row],[Nodo Orig.\Dest.]],tblRed[Nodo Final],tblMatrizDeAdyacencia[[#Headers],[C6]],tblRed[Activo],1)&gt;0,1,0)</f>
        <v>0</v>
      </c>
      <c r="R20" s="16">
        <f>IF(COUNTIFS(tblRed[Nodo Inicial],tblMatrizDeAdyacencia[[#This Row],[Nodo Orig.\Dest.]],tblRed[Nodo Final],tblMatrizDeAdyacencia[[#Headers],[I1]],tblRed[Activo],1)&gt;0,1,0)</f>
        <v>0</v>
      </c>
      <c r="S20" s="16">
        <f>IF(COUNTIFS(tblRed[Nodo Inicial],tblMatrizDeAdyacencia[[#This Row],[Nodo Orig.\Dest.]],tblRed[Nodo Final],tblMatrizDeAdyacencia[[#Headers],[I2]],tblRed[Activo],1)&gt;0,1,0)</f>
        <v>0</v>
      </c>
      <c r="T20" s="72">
        <f>IF(COUNTIFS(tblRed[Nodo Inicial],tblMatrizDeAdyacencia[[#This Row],[Nodo Orig.\Dest.]],tblRed[Nodo Final],tblMatrizDeAdyacencia[[#Headers],[I3]],tblRed[Activo],1)&gt;0,1,0)</f>
        <v>0</v>
      </c>
      <c r="U20" s="16">
        <f>IF(COUNTIFS(tblRed[Nodo Inicial],tblMatrizDeAdyacencia[[#This Row],[Nodo Orig.\Dest.]],tblRed[Nodo Final],tblMatrizDeAdyacencia[[#Headers],[I4]],tblRed[Activo],1)&gt;0,1,0)</f>
        <v>0</v>
      </c>
      <c r="V20" s="17">
        <f>IF(COUNTIFS(tblRed[Nodo Inicial],tblMatrizDeAdyacencia[[#This Row],[Nodo Orig.\Dest.]],tblRed[Nodo Final],tblMatrizDeAdyacencia[[#Headers],[I5]],tblRed[Activo],1)&gt;0,1,0)</f>
        <v>0</v>
      </c>
      <c r="W20" s="16">
        <f>IF(COUNTIFS(tblRed[Nodo Inicial],tblMatrizDeAdyacencia[[#This Row],[Nodo Orig.\Dest.]],tblRed[Nodo Final],tblMatrizDeAdyacencia[[#Headers],[I6]],tblRed[Activo],1)&gt;0,1,0)</f>
        <v>0</v>
      </c>
      <c r="X20" s="16">
        <f>IF(COUNTIFS(tblRed[Nodo Inicial],tblMatrizDeAdyacencia[[#This Row],[Nodo Orig.\Dest.]],tblRed[Nodo Final],tblMatrizDeAdyacencia[[#Headers],[I7]],tblRed[Activo],1)&gt;0,1,0)</f>
        <v>0</v>
      </c>
      <c r="Y20" s="16">
        <f>IF(COUNTIFS(tblRed[Nodo Inicial],tblMatrizDeAdyacencia[[#This Row],[Nodo Orig.\Dest.]],tblRed[Nodo Final],tblMatrizDeAdyacencia[[#Headers],[I8]],tblRed[Activo],1)&gt;0,1,0)</f>
        <v>0</v>
      </c>
      <c r="Z20" s="16">
        <f>IF(COUNTIFS(tblRed[Nodo Inicial],tblMatrizDeAdyacencia[[#This Row],[Nodo Orig.\Dest.]],tblRed[Nodo Final],tblMatrizDeAdyacencia[[#Headers],[I9]],tblRed[Activo],1)&gt;0,1,0)</f>
        <v>0</v>
      </c>
      <c r="AA20" s="16">
        <f>IF(COUNTIFS(tblRed[Nodo Inicial],tblMatrizDeAdyacencia[[#This Row],[Nodo Orig.\Dest.]],tblRed[Nodo Final],tblMatrizDeAdyacencia[[#Headers],[I10]],tblRed[Activo],1)&gt;0,1,0)</f>
        <v>0</v>
      </c>
      <c r="AB20" s="16">
        <f>IF(COUNTIFS(tblRed[Nodo Inicial],tblMatrizDeAdyacencia[[#This Row],[Nodo Orig.\Dest.]],tblRed[Nodo Final],tblMatrizDeAdyacencia[[#Headers],[I11]],tblRed[Activo],1)&gt;0,1,0)</f>
        <v>0</v>
      </c>
      <c r="AC20" s="16">
        <f>IF(COUNTIFS(tblRed[Nodo Inicial],tblMatrizDeAdyacencia[[#This Row],[Nodo Orig.\Dest.]],tblRed[Nodo Final],tblMatrizDeAdyacencia[[#Headers],[I12]],tblRed[Activo],1)&gt;0,1,0)</f>
        <v>0</v>
      </c>
      <c r="AD20" s="16">
        <f>IF(COUNTIFS(tblRed[Nodo Inicial],tblMatrizDeAdyacencia[[#This Row],[Nodo Orig.\Dest.]],tblRed[Nodo Final],tblMatrizDeAdyacencia[[#Headers],[G1]],tblRed[Activo],1)&gt;0,1,0)</f>
        <v>0</v>
      </c>
      <c r="AE20" s="16">
        <f>IF(COUNTIFS(tblRed[Nodo Inicial],tblMatrizDeAdyacencia[[#This Row],[Nodo Orig.\Dest.]],tblRed[Nodo Final],tblMatrizDeAdyacencia[[#Headers],[G2]],tblRed[Activo],1)&gt;0,1,0)</f>
        <v>0</v>
      </c>
      <c r="AF20" s="16">
        <f>IF(COUNTIFS(tblRed[Nodo Inicial],tblMatrizDeAdyacencia[[#This Row],[Nodo Orig.\Dest.]],tblRed[Nodo Final],tblMatrizDeAdyacencia[[#Headers],[G3]],tblRed[Activo],1)&gt;0,1,0)</f>
        <v>0</v>
      </c>
      <c r="AG20" s="16">
        <f>IF(COUNTIFS(tblRed[Nodo Inicial],tblMatrizDeAdyacencia[[#This Row],[Nodo Orig.\Dest.]],tblRed[Nodo Final],tblMatrizDeAdyacencia[[#Headers],[G4]],tblRed[Activo],1)&gt;0,1,0)</f>
        <v>1</v>
      </c>
      <c r="AH20" s="16">
        <f>IF(COUNTIFS(tblRed[Nodo Inicial],tblMatrizDeAdyacencia[[#This Row],[Nodo Orig.\Dest.]],tblRed[Nodo Final],tblMatrizDeAdyacencia[[#Headers],[D1]],tblRed[Activo],1)&gt;0,1,0)</f>
        <v>0</v>
      </c>
    </row>
    <row r="21" spans="2:34" ht="17.25" customHeight="1" x14ac:dyDescent="0.25">
      <c r="B21" s="12" t="str">
        <f>VLOOKUP(tblMatrizDeAdyacencia[[#This Row],[Nodo Orig.\Dest.]],tblNodos[],2,FALSE)</f>
        <v>Intermediarios de dinero móvil</v>
      </c>
      <c r="C21" s="4" t="s">
        <v>59</v>
      </c>
      <c r="D21" s="16">
        <f>IF(COUNTIFS(tblRed[Nodo Inicial],tblMatrizDeAdyacencia[[#This Row],[Nodo Orig.\Dest.]],tblRed[Nodo Final],tblMatrizDeAdyacencia[[#Headers],[O1]],tblRed[Activo],1)&gt;0,1,0)</f>
        <v>0</v>
      </c>
      <c r="E21" s="16">
        <f>IF(COUNTIFS(tblRed[Nodo Inicial],tblMatrizDeAdyacencia[[#This Row],[Nodo Orig.\Dest.]],tblRed[Nodo Final],tblMatrizDeAdyacencia[[#Headers],[O2]],tblRed[Activo],1)&gt;0,1,0)</f>
        <v>0</v>
      </c>
      <c r="F21" s="16">
        <f>IF(COUNTIFS(tblRed[Nodo Inicial],tblMatrizDeAdyacencia[[#This Row],[Nodo Orig.\Dest.]],tblRed[Nodo Final],tblMatrizDeAdyacencia[[#Headers],[O3]],tblRed[Activo],1)&gt;0,1,0)</f>
        <v>0</v>
      </c>
      <c r="G21" s="16">
        <f>IF(COUNTIFS(tblRed[Nodo Inicial],tblMatrizDeAdyacencia[[#This Row],[Nodo Orig.\Dest.]],tblRed[Nodo Final],tblMatrizDeAdyacencia[[#Headers],[O4]],tblRed[Activo],1)&gt;0,1,0)</f>
        <v>0</v>
      </c>
      <c r="H21" s="16">
        <f>IF(COUNTIFS(tblRed[Nodo Inicial],tblMatrizDeAdyacencia[[#This Row],[Nodo Orig.\Dest.]],tblRed[Nodo Final],tblMatrizDeAdyacencia[[#Headers],[O5]],tblRed[Activo],1)&gt;0,1,0)</f>
        <v>0</v>
      </c>
      <c r="I21" s="16">
        <f>IF(COUNTIFS(tblRed[Nodo Inicial],tblMatrizDeAdyacencia[[#This Row],[Nodo Orig.\Dest.]],tblRed[Nodo Final],tblMatrizDeAdyacencia[[#Headers],[O6]],tblRed[Activo],1)&gt;0,1,0)</f>
        <v>0</v>
      </c>
      <c r="J21" s="16">
        <f>IF(COUNTIFS(tblRed[Nodo Inicial],tblMatrizDeAdyacencia[[#This Row],[Nodo Orig.\Dest.]],tblRed[Nodo Final],tblMatrizDeAdyacencia[[#Headers],[O7]],tblRed[Activo],1)&gt;0,1,0)</f>
        <v>0</v>
      </c>
      <c r="K21" s="16">
        <f>IF(COUNTIFS(tblRed[Nodo Inicial],tblMatrizDeAdyacencia[[#This Row],[Nodo Orig.\Dest.]],tblRed[Nodo Final],tblMatrizDeAdyacencia[[#Headers],[O8]],tblRed[Activo],1)&gt;0,1,0)</f>
        <v>0</v>
      </c>
      <c r="L21" s="16">
        <f>IF(COUNTIFS(tblRed[Nodo Inicial],tblMatrizDeAdyacencia[[#This Row],[Nodo Orig.\Dest.]],tblRed[Nodo Final],tblMatrizDeAdyacencia[[#Headers],[C1]],tblRed[Activo],1)&gt;0,1,0)</f>
        <v>0</v>
      </c>
      <c r="M21" s="16">
        <f>IF(COUNTIFS(tblRed[Nodo Inicial],tblMatrizDeAdyacencia[[#This Row],[Nodo Orig.\Dest.]],tblRed[Nodo Final],tblMatrizDeAdyacencia[[#Headers],[C2]],tblRed[Activo],1)&gt;0,1,0)</f>
        <v>0</v>
      </c>
      <c r="N21" s="16">
        <f>IF(COUNTIFS(tblRed[Nodo Inicial],tblMatrizDeAdyacencia[[#This Row],[Nodo Orig.\Dest.]],tblRed[Nodo Final],tblMatrizDeAdyacencia[[#Headers],[C3]],tblRed[Activo],1)&gt;0,1,0)</f>
        <v>0</v>
      </c>
      <c r="O21" s="16">
        <f>IF(COUNTIFS(tblRed[Nodo Inicial],tblMatrizDeAdyacencia[[#This Row],[Nodo Orig.\Dest.]],tblRed[Nodo Final],tblMatrizDeAdyacencia[[#Headers],[C4]],tblRed[Activo],1)&gt;0,1,0)</f>
        <v>0</v>
      </c>
      <c r="P21" s="16">
        <f>IF(COUNTIFS(tblRed[Nodo Inicial],tblMatrizDeAdyacencia[[#This Row],[Nodo Orig.\Dest.]],tblRed[Nodo Final],tblMatrizDeAdyacencia[[#Headers],[C5]],tblRed[Activo],1)&gt;0,1,0)</f>
        <v>0</v>
      </c>
      <c r="Q21" s="16">
        <f>IF(COUNTIFS(tblRed[Nodo Inicial],tblMatrizDeAdyacencia[[#This Row],[Nodo Orig.\Dest.]],tblRed[Nodo Final],tblMatrizDeAdyacencia[[#Headers],[C6]],tblRed[Activo],1)&gt;0,1,0)</f>
        <v>0</v>
      </c>
      <c r="R21" s="16">
        <f>IF(COUNTIFS(tblRed[Nodo Inicial],tblMatrizDeAdyacencia[[#This Row],[Nodo Orig.\Dest.]],tblRed[Nodo Final],tblMatrizDeAdyacencia[[#Headers],[I1]],tblRed[Activo],1)&gt;0,1,0)</f>
        <v>0</v>
      </c>
      <c r="S21" s="16">
        <f>IF(COUNTIFS(tblRed[Nodo Inicial],tblMatrizDeAdyacencia[[#This Row],[Nodo Orig.\Dest.]],tblRed[Nodo Final],tblMatrizDeAdyacencia[[#Headers],[I2]],tblRed[Activo],1)&gt;0,1,0)</f>
        <v>0</v>
      </c>
      <c r="T21" s="16">
        <f>IF(COUNTIFS(tblRed[Nodo Inicial],tblMatrizDeAdyacencia[[#This Row],[Nodo Orig.\Dest.]],tblRed[Nodo Final],tblMatrizDeAdyacencia[[#Headers],[I3]],tblRed[Activo],1)&gt;0,1,0)</f>
        <v>0</v>
      </c>
      <c r="U21" s="72">
        <f>IF(COUNTIFS(tblRed[Nodo Inicial],tblMatrizDeAdyacencia[[#This Row],[Nodo Orig.\Dest.]],tblRed[Nodo Final],tblMatrizDeAdyacencia[[#Headers],[I4]],tblRed[Activo],1)&gt;0,1,0)</f>
        <v>0</v>
      </c>
      <c r="V21" s="17">
        <f>IF(COUNTIFS(tblRed[Nodo Inicial],tblMatrizDeAdyacencia[[#This Row],[Nodo Orig.\Dest.]],tblRed[Nodo Final],tblMatrizDeAdyacencia[[#Headers],[I5]],tblRed[Activo],1)&gt;0,1,0)</f>
        <v>0</v>
      </c>
      <c r="W21" s="16">
        <f>IF(COUNTIFS(tblRed[Nodo Inicial],tblMatrizDeAdyacencia[[#This Row],[Nodo Orig.\Dest.]],tblRed[Nodo Final],tblMatrizDeAdyacencia[[#Headers],[I6]],tblRed[Activo],1)&gt;0,1,0)</f>
        <v>0</v>
      </c>
      <c r="X21" s="16">
        <f>IF(COUNTIFS(tblRed[Nodo Inicial],tblMatrizDeAdyacencia[[#This Row],[Nodo Orig.\Dest.]],tblRed[Nodo Final],tblMatrizDeAdyacencia[[#Headers],[I7]],tblRed[Activo],1)&gt;0,1,0)</f>
        <v>0</v>
      </c>
      <c r="Y21" s="16">
        <f>IF(COUNTIFS(tblRed[Nodo Inicial],tblMatrizDeAdyacencia[[#This Row],[Nodo Orig.\Dest.]],tblRed[Nodo Final],tblMatrizDeAdyacencia[[#Headers],[I8]],tblRed[Activo],1)&gt;0,1,0)</f>
        <v>0</v>
      </c>
      <c r="Z21" s="16">
        <f>IF(COUNTIFS(tblRed[Nodo Inicial],tblMatrizDeAdyacencia[[#This Row],[Nodo Orig.\Dest.]],tblRed[Nodo Final],tblMatrizDeAdyacencia[[#Headers],[I9]],tblRed[Activo],1)&gt;0,1,0)</f>
        <v>0</v>
      </c>
      <c r="AA21" s="16">
        <f>IF(COUNTIFS(tblRed[Nodo Inicial],tblMatrizDeAdyacencia[[#This Row],[Nodo Orig.\Dest.]],tblRed[Nodo Final],tblMatrizDeAdyacencia[[#Headers],[I10]],tblRed[Activo],1)&gt;0,1,0)</f>
        <v>0</v>
      </c>
      <c r="AB21" s="16">
        <f>IF(COUNTIFS(tblRed[Nodo Inicial],tblMatrizDeAdyacencia[[#This Row],[Nodo Orig.\Dest.]],tblRed[Nodo Final],tblMatrizDeAdyacencia[[#Headers],[I11]],tblRed[Activo],1)&gt;0,1,0)</f>
        <v>0</v>
      </c>
      <c r="AC21" s="16">
        <f>IF(COUNTIFS(tblRed[Nodo Inicial],tblMatrizDeAdyacencia[[#This Row],[Nodo Orig.\Dest.]],tblRed[Nodo Final],tblMatrizDeAdyacencia[[#Headers],[I12]],tblRed[Activo],1)&gt;0,1,0)</f>
        <v>0</v>
      </c>
      <c r="AD21" s="16">
        <f>IF(COUNTIFS(tblRed[Nodo Inicial],tblMatrizDeAdyacencia[[#This Row],[Nodo Orig.\Dest.]],tblRed[Nodo Final],tblMatrizDeAdyacencia[[#Headers],[G1]],tblRed[Activo],1)&gt;0,1,0)</f>
        <v>0</v>
      </c>
      <c r="AE21" s="16">
        <f>IF(COUNTIFS(tblRed[Nodo Inicial],tblMatrizDeAdyacencia[[#This Row],[Nodo Orig.\Dest.]],tblRed[Nodo Final],tblMatrizDeAdyacencia[[#Headers],[G2]],tblRed[Activo],1)&gt;0,1,0)</f>
        <v>1</v>
      </c>
      <c r="AF21" s="16">
        <f>IF(COUNTIFS(tblRed[Nodo Inicial],tblMatrizDeAdyacencia[[#This Row],[Nodo Orig.\Dest.]],tblRed[Nodo Final],tblMatrizDeAdyacencia[[#Headers],[G3]],tblRed[Activo],1)&gt;0,1,0)</f>
        <v>0</v>
      </c>
      <c r="AG21" s="16">
        <f>IF(COUNTIFS(tblRed[Nodo Inicial],tblMatrizDeAdyacencia[[#This Row],[Nodo Orig.\Dest.]],tblRed[Nodo Final],tblMatrizDeAdyacencia[[#Headers],[G4]],tblRed[Activo],1)&gt;0,1,0)</f>
        <v>0</v>
      </c>
      <c r="AH21" s="16">
        <f>IF(COUNTIFS(tblRed[Nodo Inicial],tblMatrizDeAdyacencia[[#This Row],[Nodo Orig.\Dest.]],tblRed[Nodo Final],tblMatrizDeAdyacencia[[#Headers],[D1]],tblRed[Activo],1)&gt;0,1,0)</f>
        <v>0</v>
      </c>
    </row>
    <row r="22" spans="2:34" ht="17.25" customHeight="1" x14ac:dyDescent="0.25">
      <c r="B22" s="70" t="str">
        <f>VLOOKUP(tblMatrizDeAdyacencia[[#This Row],[Nodo Orig.\Dest.]],tblNodos[],2,FALSE)</f>
        <v>Intermediarios bancarios formales</v>
      </c>
      <c r="C22" s="6" t="s">
        <v>61</v>
      </c>
      <c r="D22" s="18">
        <f>IF(COUNTIFS(tblRed[Nodo Inicial],tblMatrizDeAdyacencia[[#This Row],[Nodo Orig.\Dest.]],tblRed[Nodo Final],tblMatrizDeAdyacencia[[#Headers],[O1]],tblRed[Activo],1)&gt;0,1,0)</f>
        <v>0</v>
      </c>
      <c r="E22" s="18">
        <f>IF(COUNTIFS(tblRed[Nodo Inicial],tblMatrizDeAdyacencia[[#This Row],[Nodo Orig.\Dest.]],tblRed[Nodo Final],tblMatrizDeAdyacencia[[#Headers],[O2]],tblRed[Activo],1)&gt;0,1,0)</f>
        <v>0</v>
      </c>
      <c r="F22" s="18">
        <f>IF(COUNTIFS(tblRed[Nodo Inicial],tblMatrizDeAdyacencia[[#This Row],[Nodo Orig.\Dest.]],tblRed[Nodo Final],tblMatrizDeAdyacencia[[#Headers],[O3]],tblRed[Activo],1)&gt;0,1,0)</f>
        <v>0</v>
      </c>
      <c r="G22" s="18">
        <f>IF(COUNTIFS(tblRed[Nodo Inicial],tblMatrizDeAdyacencia[[#This Row],[Nodo Orig.\Dest.]],tblRed[Nodo Final],tblMatrizDeAdyacencia[[#Headers],[O4]],tblRed[Activo],1)&gt;0,1,0)</f>
        <v>0</v>
      </c>
      <c r="H22" s="18">
        <f>IF(COUNTIFS(tblRed[Nodo Inicial],tblMatrizDeAdyacencia[[#This Row],[Nodo Orig.\Dest.]],tblRed[Nodo Final],tblMatrizDeAdyacencia[[#Headers],[O5]],tblRed[Activo],1)&gt;0,1,0)</f>
        <v>0</v>
      </c>
      <c r="I22" s="18">
        <f>IF(COUNTIFS(tblRed[Nodo Inicial],tblMatrizDeAdyacencia[[#This Row],[Nodo Orig.\Dest.]],tblRed[Nodo Final],tblMatrizDeAdyacencia[[#Headers],[O6]],tblRed[Activo],1)&gt;0,1,0)</f>
        <v>0</v>
      </c>
      <c r="J22" s="18">
        <f>IF(COUNTIFS(tblRed[Nodo Inicial],tblMatrizDeAdyacencia[[#This Row],[Nodo Orig.\Dest.]],tblRed[Nodo Final],tblMatrizDeAdyacencia[[#Headers],[O7]],tblRed[Activo],1)&gt;0,1,0)</f>
        <v>0</v>
      </c>
      <c r="K22" s="18">
        <f>IF(COUNTIFS(tblRed[Nodo Inicial],tblMatrizDeAdyacencia[[#This Row],[Nodo Orig.\Dest.]],tblRed[Nodo Final],tblMatrizDeAdyacencia[[#Headers],[O8]],tblRed[Activo],1)&gt;0,1,0)</f>
        <v>0</v>
      </c>
      <c r="L22" s="18">
        <f>IF(COUNTIFS(tblRed[Nodo Inicial],tblMatrizDeAdyacencia[[#This Row],[Nodo Orig.\Dest.]],tblRed[Nodo Final],tblMatrizDeAdyacencia[[#Headers],[C1]],tblRed[Activo],1)&gt;0,1,0)</f>
        <v>0</v>
      </c>
      <c r="M22" s="18">
        <f>IF(COUNTIFS(tblRed[Nodo Inicial],tblMatrizDeAdyacencia[[#This Row],[Nodo Orig.\Dest.]],tblRed[Nodo Final],tblMatrizDeAdyacencia[[#Headers],[C2]],tblRed[Activo],1)&gt;0,1,0)</f>
        <v>0</v>
      </c>
      <c r="N22" s="18">
        <f>IF(COUNTIFS(tblRed[Nodo Inicial],tblMatrizDeAdyacencia[[#This Row],[Nodo Orig.\Dest.]],tblRed[Nodo Final],tblMatrizDeAdyacencia[[#Headers],[C3]],tblRed[Activo],1)&gt;0,1,0)</f>
        <v>0</v>
      </c>
      <c r="O22" s="18">
        <f>IF(COUNTIFS(tblRed[Nodo Inicial],tblMatrizDeAdyacencia[[#This Row],[Nodo Orig.\Dest.]],tblRed[Nodo Final],tblMatrizDeAdyacencia[[#Headers],[C4]],tblRed[Activo],1)&gt;0,1,0)</f>
        <v>0</v>
      </c>
      <c r="P22" s="18">
        <f>IF(COUNTIFS(tblRed[Nodo Inicial],tblMatrizDeAdyacencia[[#This Row],[Nodo Orig.\Dest.]],tblRed[Nodo Final],tblMatrizDeAdyacencia[[#Headers],[C5]],tblRed[Activo],1)&gt;0,1,0)</f>
        <v>0</v>
      </c>
      <c r="Q22" s="18">
        <f>IF(COUNTIFS(tblRed[Nodo Inicial],tblMatrizDeAdyacencia[[#This Row],[Nodo Orig.\Dest.]],tblRed[Nodo Final],tblMatrizDeAdyacencia[[#Headers],[C6]],tblRed[Activo],1)&gt;0,1,0)</f>
        <v>0</v>
      </c>
      <c r="R22" s="18">
        <f>IF(COUNTIFS(tblRed[Nodo Inicial],tblMatrizDeAdyacencia[[#This Row],[Nodo Orig.\Dest.]],tblRed[Nodo Final],tblMatrizDeAdyacencia[[#Headers],[I1]],tblRed[Activo],1)&gt;0,1,0)</f>
        <v>0</v>
      </c>
      <c r="S22" s="18">
        <f>IF(COUNTIFS(tblRed[Nodo Inicial],tblMatrizDeAdyacencia[[#This Row],[Nodo Orig.\Dest.]],tblRed[Nodo Final],tblMatrizDeAdyacencia[[#Headers],[I2]],tblRed[Activo],1)&gt;0,1,0)</f>
        <v>0</v>
      </c>
      <c r="T22" s="18">
        <f>IF(COUNTIFS(tblRed[Nodo Inicial],tblMatrizDeAdyacencia[[#This Row],[Nodo Orig.\Dest.]],tblRed[Nodo Final],tblMatrizDeAdyacencia[[#Headers],[I3]],tblRed[Activo],1)&gt;0,1,0)</f>
        <v>0</v>
      </c>
      <c r="U22" s="18">
        <f>IF(COUNTIFS(tblRed[Nodo Inicial],tblMatrizDeAdyacencia[[#This Row],[Nodo Orig.\Dest.]],tblRed[Nodo Final],tblMatrizDeAdyacencia[[#Headers],[I4]],tblRed[Activo],1)&gt;0,1,0)</f>
        <v>0</v>
      </c>
      <c r="V22" s="73">
        <f>IF(COUNTIFS(tblRed[Nodo Inicial],tblMatrizDeAdyacencia[[#This Row],[Nodo Orig.\Dest.]],tblRed[Nodo Final],tblMatrizDeAdyacencia[[#Headers],[I5]],tblRed[Activo],1)&gt;0,1,0)</f>
        <v>0</v>
      </c>
      <c r="W22" s="16">
        <f>IF(COUNTIFS(tblRed[Nodo Inicial],tblMatrizDeAdyacencia[[#This Row],[Nodo Orig.\Dest.]],tblRed[Nodo Final],tblMatrizDeAdyacencia[[#Headers],[I6]],tblRed[Activo],1)&gt;0,1,0)</f>
        <v>0</v>
      </c>
      <c r="X22" s="16">
        <f>IF(COUNTIFS(tblRed[Nodo Inicial],tblMatrizDeAdyacencia[[#This Row],[Nodo Orig.\Dest.]],tblRed[Nodo Final],tblMatrizDeAdyacencia[[#Headers],[I7]],tblRed[Activo],1)&gt;0,1,0)</f>
        <v>0</v>
      </c>
      <c r="Y22" s="16">
        <f>IF(COUNTIFS(tblRed[Nodo Inicial],tblMatrizDeAdyacencia[[#This Row],[Nodo Orig.\Dest.]],tblRed[Nodo Final],tblMatrizDeAdyacencia[[#Headers],[I8]],tblRed[Activo],1)&gt;0,1,0)</f>
        <v>0</v>
      </c>
      <c r="Z22" s="16">
        <f>IF(COUNTIFS(tblRed[Nodo Inicial],tblMatrizDeAdyacencia[[#This Row],[Nodo Orig.\Dest.]],tblRed[Nodo Final],tblMatrizDeAdyacencia[[#Headers],[I9]],tblRed[Activo],1)&gt;0,1,0)</f>
        <v>0</v>
      </c>
      <c r="AA22" s="16">
        <f>IF(COUNTIFS(tblRed[Nodo Inicial],tblMatrizDeAdyacencia[[#This Row],[Nodo Orig.\Dest.]],tblRed[Nodo Final],tblMatrizDeAdyacencia[[#Headers],[I10]],tblRed[Activo],1)&gt;0,1,0)</f>
        <v>0</v>
      </c>
      <c r="AB22" s="16">
        <f>IF(COUNTIFS(tblRed[Nodo Inicial],tblMatrizDeAdyacencia[[#This Row],[Nodo Orig.\Dest.]],tblRed[Nodo Final],tblMatrizDeAdyacencia[[#Headers],[I11]],tblRed[Activo],1)&gt;0,1,0)</f>
        <v>0</v>
      </c>
      <c r="AC22" s="16">
        <f>IF(COUNTIFS(tblRed[Nodo Inicial],tblMatrizDeAdyacencia[[#This Row],[Nodo Orig.\Dest.]],tblRed[Nodo Final],tblMatrizDeAdyacencia[[#Headers],[I12]],tblRed[Activo],1)&gt;0,1,0)</f>
        <v>0</v>
      </c>
      <c r="AD22" s="16">
        <f>IF(COUNTIFS(tblRed[Nodo Inicial],tblMatrizDeAdyacencia[[#This Row],[Nodo Orig.\Dest.]],tblRed[Nodo Final],tblMatrizDeAdyacencia[[#Headers],[G1]],tblRed[Activo],1)&gt;0,1,0)</f>
        <v>0</v>
      </c>
      <c r="AE22" s="16">
        <f>IF(COUNTIFS(tblRed[Nodo Inicial],tblMatrizDeAdyacencia[[#This Row],[Nodo Orig.\Dest.]],tblRed[Nodo Final],tblMatrizDeAdyacencia[[#Headers],[G2]],tblRed[Activo],1)&gt;0,1,0)</f>
        <v>1</v>
      </c>
      <c r="AF22" s="16">
        <f>IF(COUNTIFS(tblRed[Nodo Inicial],tblMatrizDeAdyacencia[[#This Row],[Nodo Orig.\Dest.]],tblRed[Nodo Final],tblMatrizDeAdyacencia[[#Headers],[G3]],tblRed[Activo],1)&gt;0,1,0)</f>
        <v>0</v>
      </c>
      <c r="AG22" s="16">
        <f>IF(COUNTIFS(tblRed[Nodo Inicial],tblMatrizDeAdyacencia[[#This Row],[Nodo Orig.\Dest.]],tblRed[Nodo Final],tblMatrizDeAdyacencia[[#Headers],[G4]],tblRed[Activo],1)&gt;0,1,0)</f>
        <v>1</v>
      </c>
      <c r="AH22" s="16">
        <f>IF(COUNTIFS(tblRed[Nodo Inicial],tblMatrizDeAdyacencia[[#This Row],[Nodo Orig.\Dest.]],tblRed[Nodo Final],tblMatrizDeAdyacencia[[#Headers],[D1]],tblRed[Activo],1)&gt;0,1,0)</f>
        <v>0</v>
      </c>
    </row>
    <row r="23" spans="2:34" ht="17.25" customHeight="1" x14ac:dyDescent="0.25">
      <c r="B23" s="48" t="str">
        <f>VLOOKUP(tblMatrizDeAdyacencia[[#This Row],[Nodo Orig.\Dest.]],tblNodos[],2,FALSE)</f>
        <v>Intermediarios de pago digital (PSP /FinTech)</v>
      </c>
      <c r="C23" s="49" t="s">
        <v>63</v>
      </c>
      <c r="D23" s="16">
        <f>IF(COUNTIFS(tblRed[Nodo Inicial],tblMatrizDeAdyacencia[[#This Row],[Nodo Orig.\Dest.]],tblRed[Nodo Final],tblMatrizDeAdyacencia[[#Headers],[O1]],tblRed[Activo],1)&gt;0,1,0)</f>
        <v>0</v>
      </c>
      <c r="E23" s="16">
        <f>IF(COUNTIFS(tblRed[Nodo Inicial],tblMatrizDeAdyacencia[[#This Row],[Nodo Orig.\Dest.]],tblRed[Nodo Final],tblMatrizDeAdyacencia[[#Headers],[O2]],tblRed[Activo],1)&gt;0,1,0)</f>
        <v>0</v>
      </c>
      <c r="F23" s="16">
        <f>IF(COUNTIFS(tblRed[Nodo Inicial],tblMatrizDeAdyacencia[[#This Row],[Nodo Orig.\Dest.]],tblRed[Nodo Final],tblMatrizDeAdyacencia[[#Headers],[O3]],tblRed[Activo],1)&gt;0,1,0)</f>
        <v>0</v>
      </c>
      <c r="G23" s="16">
        <f>IF(COUNTIFS(tblRed[Nodo Inicial],tblMatrizDeAdyacencia[[#This Row],[Nodo Orig.\Dest.]],tblRed[Nodo Final],tblMatrizDeAdyacencia[[#Headers],[O4]],tblRed[Activo],1)&gt;0,1,0)</f>
        <v>0</v>
      </c>
      <c r="H23" s="16">
        <f>IF(COUNTIFS(tblRed[Nodo Inicial],tblMatrizDeAdyacencia[[#This Row],[Nodo Orig.\Dest.]],tblRed[Nodo Final],tblMatrizDeAdyacencia[[#Headers],[O5]],tblRed[Activo],1)&gt;0,1,0)</f>
        <v>0</v>
      </c>
      <c r="I23" s="16">
        <f>IF(COUNTIFS(tblRed[Nodo Inicial],tblMatrizDeAdyacencia[[#This Row],[Nodo Orig.\Dest.]],tblRed[Nodo Final],tblMatrizDeAdyacencia[[#Headers],[O6]],tblRed[Activo],1)&gt;0,1,0)</f>
        <v>0</v>
      </c>
      <c r="J23" s="16">
        <f>IF(COUNTIFS(tblRed[Nodo Inicial],tblMatrizDeAdyacencia[[#This Row],[Nodo Orig.\Dest.]],tblRed[Nodo Final],tblMatrizDeAdyacencia[[#Headers],[O7]],tblRed[Activo],1)&gt;0,1,0)</f>
        <v>0</v>
      </c>
      <c r="K23" s="16">
        <f>IF(COUNTIFS(tblRed[Nodo Inicial],tblMatrizDeAdyacencia[[#This Row],[Nodo Orig.\Dest.]],tblRed[Nodo Final],tblMatrizDeAdyacencia[[#Headers],[O8]],tblRed[Activo],1)&gt;0,1,0)</f>
        <v>0</v>
      </c>
      <c r="L23" s="16">
        <f>IF(COUNTIFS(tblRed[Nodo Inicial],tblMatrizDeAdyacencia[[#This Row],[Nodo Orig.\Dest.]],tblRed[Nodo Final],tblMatrizDeAdyacencia[[#Headers],[C1]],tblRed[Activo],1)&gt;0,1,0)</f>
        <v>0</v>
      </c>
      <c r="M23" s="16">
        <f>IF(COUNTIFS(tblRed[Nodo Inicial],tblMatrizDeAdyacencia[[#This Row],[Nodo Orig.\Dest.]],tblRed[Nodo Final],tblMatrizDeAdyacencia[[#Headers],[C2]],tblRed[Activo],1)&gt;0,1,0)</f>
        <v>0</v>
      </c>
      <c r="N23" s="16">
        <f>IF(COUNTIFS(tblRed[Nodo Inicial],tblMatrizDeAdyacencia[[#This Row],[Nodo Orig.\Dest.]],tblRed[Nodo Final],tblMatrizDeAdyacencia[[#Headers],[C3]],tblRed[Activo],1)&gt;0,1,0)</f>
        <v>0</v>
      </c>
      <c r="O23" s="16">
        <f>IF(COUNTIFS(tblRed[Nodo Inicial],tblMatrizDeAdyacencia[[#This Row],[Nodo Orig.\Dest.]],tblRed[Nodo Final],tblMatrizDeAdyacencia[[#Headers],[C4]],tblRed[Activo],1)&gt;0,1,0)</f>
        <v>0</v>
      </c>
      <c r="P23" s="16">
        <f>IF(COUNTIFS(tblRed[Nodo Inicial],tblMatrizDeAdyacencia[[#This Row],[Nodo Orig.\Dest.]],tblRed[Nodo Final],tblMatrizDeAdyacencia[[#Headers],[C5]],tblRed[Activo],1)&gt;0,1,0)</f>
        <v>0</v>
      </c>
      <c r="Q23" s="16">
        <f>IF(COUNTIFS(tblRed[Nodo Inicial],tblMatrizDeAdyacencia[[#This Row],[Nodo Orig.\Dest.]],tblRed[Nodo Final],tblMatrizDeAdyacencia[[#Headers],[C6]],tblRed[Activo],1)&gt;0,1,0)</f>
        <v>0</v>
      </c>
      <c r="R23" s="16">
        <f>IF(COUNTIFS(tblRed[Nodo Inicial],tblMatrizDeAdyacencia[[#This Row],[Nodo Orig.\Dest.]],tblRed[Nodo Final],tblMatrizDeAdyacencia[[#Headers],[I1]],tblRed[Activo],1)&gt;0,1,0)</f>
        <v>0</v>
      </c>
      <c r="S23" s="16">
        <f>IF(COUNTIFS(tblRed[Nodo Inicial],tblMatrizDeAdyacencia[[#This Row],[Nodo Orig.\Dest.]],tblRed[Nodo Final],tblMatrizDeAdyacencia[[#Headers],[I2]],tblRed[Activo],1)&gt;0,1,0)</f>
        <v>0</v>
      </c>
      <c r="T23" s="16">
        <f>IF(COUNTIFS(tblRed[Nodo Inicial],tblMatrizDeAdyacencia[[#This Row],[Nodo Orig.\Dest.]],tblRed[Nodo Final],tblMatrizDeAdyacencia[[#Headers],[I3]],tblRed[Activo],1)&gt;0,1,0)</f>
        <v>0</v>
      </c>
      <c r="U23" s="16">
        <f>IF(COUNTIFS(tblRed[Nodo Inicial],tblMatrizDeAdyacencia[[#This Row],[Nodo Orig.\Dest.]],tblRed[Nodo Final],tblMatrizDeAdyacencia[[#Headers],[I4]],tblRed[Activo],1)&gt;0,1,0)</f>
        <v>0</v>
      </c>
      <c r="V23" s="17">
        <f>IF(COUNTIFS(tblRed[Nodo Inicial],tblMatrizDeAdyacencia[[#This Row],[Nodo Orig.\Dest.]],tblRed[Nodo Final],tblMatrizDeAdyacencia[[#Headers],[I5]],tblRed[Activo],1)&gt;0,1,0)</f>
        <v>0</v>
      </c>
      <c r="W23" s="72">
        <f>IF(COUNTIFS(tblRed[Nodo Inicial],tblMatrizDeAdyacencia[[#This Row],[Nodo Orig.\Dest.]],tblRed[Nodo Final],tblMatrizDeAdyacencia[[#Headers],[I6]],tblRed[Activo],1)&gt;0,1,0)</f>
        <v>0</v>
      </c>
      <c r="X23" s="16">
        <f>IF(COUNTIFS(tblRed[Nodo Inicial],tblMatrizDeAdyacencia[[#This Row],[Nodo Orig.\Dest.]],tblRed[Nodo Final],tblMatrizDeAdyacencia[[#Headers],[I7]],tblRed[Activo],1)&gt;0,1,0)</f>
        <v>0</v>
      </c>
      <c r="Y23" s="16">
        <f>IF(COUNTIFS(tblRed[Nodo Inicial],tblMatrizDeAdyacencia[[#This Row],[Nodo Orig.\Dest.]],tblRed[Nodo Final],tblMatrizDeAdyacencia[[#Headers],[I8]],tblRed[Activo],1)&gt;0,1,0)</f>
        <v>0</v>
      </c>
      <c r="Z23" s="16">
        <f>IF(COUNTIFS(tblRed[Nodo Inicial],tblMatrizDeAdyacencia[[#This Row],[Nodo Orig.\Dest.]],tblRed[Nodo Final],tblMatrizDeAdyacencia[[#Headers],[I9]],tblRed[Activo],1)&gt;0,1,0)</f>
        <v>0</v>
      </c>
      <c r="AA23" s="16">
        <f>IF(COUNTIFS(tblRed[Nodo Inicial],tblMatrizDeAdyacencia[[#This Row],[Nodo Orig.\Dest.]],tblRed[Nodo Final],tblMatrizDeAdyacencia[[#Headers],[I10]],tblRed[Activo],1)&gt;0,1,0)</f>
        <v>0</v>
      </c>
      <c r="AB23" s="16">
        <f>IF(COUNTIFS(tblRed[Nodo Inicial],tblMatrizDeAdyacencia[[#This Row],[Nodo Orig.\Dest.]],tblRed[Nodo Final],tblMatrizDeAdyacencia[[#Headers],[I11]],tblRed[Activo],1)&gt;0,1,0)</f>
        <v>0</v>
      </c>
      <c r="AC23" s="16">
        <f>IF(COUNTIFS(tblRed[Nodo Inicial],tblMatrizDeAdyacencia[[#This Row],[Nodo Orig.\Dest.]],tblRed[Nodo Final],tblMatrizDeAdyacencia[[#Headers],[I12]],tblRed[Activo],1)&gt;0,1,0)</f>
        <v>0</v>
      </c>
      <c r="AD23" s="16">
        <f>IF(COUNTIFS(tblRed[Nodo Inicial],tblMatrizDeAdyacencia[[#This Row],[Nodo Orig.\Dest.]],tblRed[Nodo Final],tblMatrizDeAdyacencia[[#Headers],[G1]],tblRed[Activo],1)&gt;0,1,0)</f>
        <v>0</v>
      </c>
      <c r="AE23" s="16">
        <f>IF(COUNTIFS(tblRed[Nodo Inicial],tblMatrizDeAdyacencia[[#This Row],[Nodo Orig.\Dest.]],tblRed[Nodo Final],tblMatrizDeAdyacencia[[#Headers],[G2]],tblRed[Activo],1)&gt;0,1,0)</f>
        <v>0</v>
      </c>
      <c r="AF23" s="16">
        <f>IF(COUNTIFS(tblRed[Nodo Inicial],tblMatrizDeAdyacencia[[#This Row],[Nodo Orig.\Dest.]],tblRed[Nodo Final],tblMatrizDeAdyacencia[[#Headers],[G3]],tblRed[Activo],1)&gt;0,1,0)</f>
        <v>0</v>
      </c>
      <c r="AG23" s="16">
        <f>IF(COUNTIFS(tblRed[Nodo Inicial],tblMatrizDeAdyacencia[[#This Row],[Nodo Orig.\Dest.]],tblRed[Nodo Final],tblMatrizDeAdyacencia[[#Headers],[G4]],tblRed[Activo],1)&gt;0,1,0)</f>
        <v>1</v>
      </c>
      <c r="AH23" s="16">
        <f>IF(COUNTIFS(tblRed[Nodo Inicial],tblMatrizDeAdyacencia[[#This Row],[Nodo Orig.\Dest.]],tblRed[Nodo Final],tblMatrizDeAdyacencia[[#Headers],[D1]],tblRed[Activo],1)&gt;0,1,0)</f>
        <v>0</v>
      </c>
    </row>
    <row r="24" spans="2:34" ht="17.25" customHeight="1" x14ac:dyDescent="0.25">
      <c r="B24" s="48" t="str">
        <f>VLOOKUP(tblMatrizDeAdyacencia[[#This Row],[Nodo Orig.\Dest.]],tblNodos[],2,FALSE)</f>
        <v>Intermediarios de activos virtuales y conversión</v>
      </c>
      <c r="C24" s="49" t="s">
        <v>65</v>
      </c>
      <c r="D24" s="16">
        <f>IF(COUNTIFS(tblRed[Nodo Inicial],tblMatrizDeAdyacencia[[#This Row],[Nodo Orig.\Dest.]],tblRed[Nodo Final],tblMatrizDeAdyacencia[[#Headers],[O1]],tblRed[Activo],1)&gt;0,1,0)</f>
        <v>0</v>
      </c>
      <c r="E24" s="16">
        <f>IF(COUNTIFS(tblRed[Nodo Inicial],tblMatrizDeAdyacencia[[#This Row],[Nodo Orig.\Dest.]],tblRed[Nodo Final],tblMatrizDeAdyacencia[[#Headers],[O2]],tblRed[Activo],1)&gt;0,1,0)</f>
        <v>0</v>
      </c>
      <c r="F24" s="16">
        <f>IF(COUNTIFS(tblRed[Nodo Inicial],tblMatrizDeAdyacencia[[#This Row],[Nodo Orig.\Dest.]],tblRed[Nodo Final],tblMatrizDeAdyacencia[[#Headers],[O3]],tblRed[Activo],1)&gt;0,1,0)</f>
        <v>0</v>
      </c>
      <c r="G24" s="16">
        <f>IF(COUNTIFS(tblRed[Nodo Inicial],tblMatrizDeAdyacencia[[#This Row],[Nodo Orig.\Dest.]],tblRed[Nodo Final],tblMatrizDeAdyacencia[[#Headers],[O4]],tblRed[Activo],1)&gt;0,1,0)</f>
        <v>0</v>
      </c>
      <c r="H24" s="16">
        <f>IF(COUNTIFS(tblRed[Nodo Inicial],tblMatrizDeAdyacencia[[#This Row],[Nodo Orig.\Dest.]],tblRed[Nodo Final],tblMatrizDeAdyacencia[[#Headers],[O5]],tblRed[Activo],1)&gt;0,1,0)</f>
        <v>0</v>
      </c>
      <c r="I24" s="16">
        <f>IF(COUNTIFS(tblRed[Nodo Inicial],tblMatrizDeAdyacencia[[#This Row],[Nodo Orig.\Dest.]],tblRed[Nodo Final],tblMatrizDeAdyacencia[[#Headers],[O6]],tblRed[Activo],1)&gt;0,1,0)</f>
        <v>0</v>
      </c>
      <c r="J24" s="16">
        <f>IF(COUNTIFS(tblRed[Nodo Inicial],tblMatrizDeAdyacencia[[#This Row],[Nodo Orig.\Dest.]],tblRed[Nodo Final],tblMatrizDeAdyacencia[[#Headers],[O7]],tblRed[Activo],1)&gt;0,1,0)</f>
        <v>0</v>
      </c>
      <c r="K24" s="16">
        <f>IF(COUNTIFS(tblRed[Nodo Inicial],tblMatrizDeAdyacencia[[#This Row],[Nodo Orig.\Dest.]],tblRed[Nodo Final],tblMatrizDeAdyacencia[[#Headers],[O8]],tblRed[Activo],1)&gt;0,1,0)</f>
        <v>0</v>
      </c>
      <c r="L24" s="16">
        <f>IF(COUNTIFS(tblRed[Nodo Inicial],tblMatrizDeAdyacencia[[#This Row],[Nodo Orig.\Dest.]],tblRed[Nodo Final],tblMatrizDeAdyacencia[[#Headers],[C1]],tblRed[Activo],1)&gt;0,1,0)</f>
        <v>0</v>
      </c>
      <c r="M24" s="16">
        <f>IF(COUNTIFS(tblRed[Nodo Inicial],tblMatrizDeAdyacencia[[#This Row],[Nodo Orig.\Dest.]],tblRed[Nodo Final],tblMatrizDeAdyacencia[[#Headers],[C2]],tblRed[Activo],1)&gt;0,1,0)</f>
        <v>0</v>
      </c>
      <c r="N24" s="16">
        <f>IF(COUNTIFS(tblRed[Nodo Inicial],tblMatrizDeAdyacencia[[#This Row],[Nodo Orig.\Dest.]],tblRed[Nodo Final],tblMatrizDeAdyacencia[[#Headers],[C3]],tblRed[Activo],1)&gt;0,1,0)</f>
        <v>0</v>
      </c>
      <c r="O24" s="16">
        <f>IF(COUNTIFS(tblRed[Nodo Inicial],tblMatrizDeAdyacencia[[#This Row],[Nodo Orig.\Dest.]],tblRed[Nodo Final],tblMatrizDeAdyacencia[[#Headers],[C4]],tblRed[Activo],1)&gt;0,1,0)</f>
        <v>0</v>
      </c>
      <c r="P24" s="16">
        <f>IF(COUNTIFS(tblRed[Nodo Inicial],tblMatrizDeAdyacencia[[#This Row],[Nodo Orig.\Dest.]],tblRed[Nodo Final],tblMatrizDeAdyacencia[[#Headers],[C5]],tblRed[Activo],1)&gt;0,1,0)</f>
        <v>0</v>
      </c>
      <c r="Q24" s="16">
        <f>IF(COUNTIFS(tblRed[Nodo Inicial],tblMatrizDeAdyacencia[[#This Row],[Nodo Orig.\Dest.]],tblRed[Nodo Final],tblMatrizDeAdyacencia[[#Headers],[C6]],tblRed[Activo],1)&gt;0,1,0)</f>
        <v>0</v>
      </c>
      <c r="R24" s="16">
        <f>IF(COUNTIFS(tblRed[Nodo Inicial],tblMatrizDeAdyacencia[[#This Row],[Nodo Orig.\Dest.]],tblRed[Nodo Final],tblMatrizDeAdyacencia[[#Headers],[I1]],tblRed[Activo],1)&gt;0,1,0)</f>
        <v>0</v>
      </c>
      <c r="S24" s="16">
        <f>IF(COUNTIFS(tblRed[Nodo Inicial],tblMatrizDeAdyacencia[[#This Row],[Nodo Orig.\Dest.]],tblRed[Nodo Final],tblMatrizDeAdyacencia[[#Headers],[I2]],tblRed[Activo],1)&gt;0,1,0)</f>
        <v>0</v>
      </c>
      <c r="T24" s="16">
        <f>IF(COUNTIFS(tblRed[Nodo Inicial],tblMatrizDeAdyacencia[[#This Row],[Nodo Orig.\Dest.]],tblRed[Nodo Final],tblMatrizDeAdyacencia[[#Headers],[I3]],tblRed[Activo],1)&gt;0,1,0)</f>
        <v>0</v>
      </c>
      <c r="U24" s="16">
        <f>IF(COUNTIFS(tblRed[Nodo Inicial],tblMatrizDeAdyacencia[[#This Row],[Nodo Orig.\Dest.]],tblRed[Nodo Final],tblMatrizDeAdyacencia[[#Headers],[I4]],tblRed[Activo],1)&gt;0,1,0)</f>
        <v>0</v>
      </c>
      <c r="V24" s="17">
        <f>IF(COUNTIFS(tblRed[Nodo Inicial],tblMatrizDeAdyacencia[[#This Row],[Nodo Orig.\Dest.]],tblRed[Nodo Final],tblMatrizDeAdyacencia[[#Headers],[I5]],tblRed[Activo],1)&gt;0,1,0)</f>
        <v>0</v>
      </c>
      <c r="W24" s="16">
        <f>IF(COUNTIFS(tblRed[Nodo Inicial],tblMatrizDeAdyacencia[[#This Row],[Nodo Orig.\Dest.]],tblRed[Nodo Final],tblMatrizDeAdyacencia[[#Headers],[I6]],tblRed[Activo],1)&gt;0,1,0)</f>
        <v>0</v>
      </c>
      <c r="X24" s="72">
        <f>IF(COUNTIFS(tblRed[Nodo Inicial],tblMatrizDeAdyacencia[[#This Row],[Nodo Orig.\Dest.]],tblRed[Nodo Final],tblMatrizDeAdyacencia[[#Headers],[I7]],tblRed[Activo],1)&gt;0,1,0)</f>
        <v>0</v>
      </c>
      <c r="Y24" s="16">
        <f>IF(COUNTIFS(tblRed[Nodo Inicial],tblMatrizDeAdyacencia[[#This Row],[Nodo Orig.\Dest.]],tblRed[Nodo Final],tblMatrizDeAdyacencia[[#Headers],[I8]],tblRed[Activo],1)&gt;0,1,0)</f>
        <v>0</v>
      </c>
      <c r="Z24" s="16">
        <f>IF(COUNTIFS(tblRed[Nodo Inicial],tblMatrizDeAdyacencia[[#This Row],[Nodo Orig.\Dest.]],tblRed[Nodo Final],tblMatrizDeAdyacencia[[#Headers],[I9]],tblRed[Activo],1)&gt;0,1,0)</f>
        <v>0</v>
      </c>
      <c r="AA24" s="16">
        <f>IF(COUNTIFS(tblRed[Nodo Inicial],tblMatrizDeAdyacencia[[#This Row],[Nodo Orig.\Dest.]],tblRed[Nodo Final],tblMatrizDeAdyacencia[[#Headers],[I10]],tblRed[Activo],1)&gt;0,1,0)</f>
        <v>0</v>
      </c>
      <c r="AB24" s="16">
        <f>IF(COUNTIFS(tblRed[Nodo Inicial],tblMatrizDeAdyacencia[[#This Row],[Nodo Orig.\Dest.]],tblRed[Nodo Final],tblMatrizDeAdyacencia[[#Headers],[I11]],tblRed[Activo],1)&gt;0,1,0)</f>
        <v>0</v>
      </c>
      <c r="AC24" s="16">
        <f>IF(COUNTIFS(tblRed[Nodo Inicial],tblMatrizDeAdyacencia[[#This Row],[Nodo Orig.\Dest.]],tblRed[Nodo Final],tblMatrizDeAdyacencia[[#Headers],[I12]],tblRed[Activo],1)&gt;0,1,0)</f>
        <v>0</v>
      </c>
      <c r="AD24" s="16">
        <f>IF(COUNTIFS(tblRed[Nodo Inicial],tblMatrizDeAdyacencia[[#This Row],[Nodo Orig.\Dest.]],tblRed[Nodo Final],tblMatrizDeAdyacencia[[#Headers],[G1]],tblRed[Activo],1)&gt;0,1,0)</f>
        <v>0</v>
      </c>
      <c r="AE24" s="16">
        <f>IF(COUNTIFS(tblRed[Nodo Inicial],tblMatrizDeAdyacencia[[#This Row],[Nodo Orig.\Dest.]],tblRed[Nodo Final],tblMatrizDeAdyacencia[[#Headers],[G2]],tblRed[Activo],1)&gt;0,1,0)</f>
        <v>0</v>
      </c>
      <c r="AF24" s="16">
        <f>IF(COUNTIFS(tblRed[Nodo Inicial],tblMatrizDeAdyacencia[[#This Row],[Nodo Orig.\Dest.]],tblRed[Nodo Final],tblMatrizDeAdyacencia[[#Headers],[G3]],tblRed[Activo],1)&gt;0,1,0)</f>
        <v>1</v>
      </c>
      <c r="AG24" s="16">
        <f>IF(COUNTIFS(tblRed[Nodo Inicial],tblMatrizDeAdyacencia[[#This Row],[Nodo Orig.\Dest.]],tblRed[Nodo Final],tblMatrizDeAdyacencia[[#Headers],[G4]],tblRed[Activo],1)&gt;0,1,0)</f>
        <v>1</v>
      </c>
      <c r="AH24" s="16">
        <f>IF(COUNTIFS(tblRed[Nodo Inicial],tblMatrizDeAdyacencia[[#This Row],[Nodo Orig.\Dest.]],tblRed[Nodo Final],tblMatrizDeAdyacencia[[#Headers],[D1]],tblRed[Activo],1)&gt;0,1,0)</f>
        <v>0</v>
      </c>
    </row>
    <row r="25" spans="2:34" ht="17.25" customHeight="1" x14ac:dyDescent="0.25">
      <c r="B25" s="48" t="str">
        <f>VLOOKUP(tblMatrizDeAdyacencia[[#This Row],[Nodo Orig.\Dest.]],tblNodos[],2,FALSE)</f>
        <v>Intermediarios comerciales y transaccionales</v>
      </c>
      <c r="C25" s="49" t="s">
        <v>67</v>
      </c>
      <c r="D25" s="16">
        <f>IF(COUNTIFS(tblRed[Nodo Inicial],tblMatrizDeAdyacencia[[#This Row],[Nodo Orig.\Dest.]],tblRed[Nodo Final],tblMatrizDeAdyacencia[[#Headers],[O1]],tblRed[Activo],1)&gt;0,1,0)</f>
        <v>0</v>
      </c>
      <c r="E25" s="16">
        <f>IF(COUNTIFS(tblRed[Nodo Inicial],tblMatrizDeAdyacencia[[#This Row],[Nodo Orig.\Dest.]],tblRed[Nodo Final],tblMatrizDeAdyacencia[[#Headers],[O2]],tblRed[Activo],1)&gt;0,1,0)</f>
        <v>0</v>
      </c>
      <c r="F25" s="16">
        <f>IF(COUNTIFS(tblRed[Nodo Inicial],tblMatrizDeAdyacencia[[#This Row],[Nodo Orig.\Dest.]],tblRed[Nodo Final],tblMatrizDeAdyacencia[[#Headers],[O3]],tblRed[Activo],1)&gt;0,1,0)</f>
        <v>0</v>
      </c>
      <c r="G25" s="16">
        <f>IF(COUNTIFS(tblRed[Nodo Inicial],tblMatrizDeAdyacencia[[#This Row],[Nodo Orig.\Dest.]],tblRed[Nodo Final],tblMatrizDeAdyacencia[[#Headers],[O4]],tblRed[Activo],1)&gt;0,1,0)</f>
        <v>0</v>
      </c>
      <c r="H25" s="16">
        <f>IF(COUNTIFS(tblRed[Nodo Inicial],tblMatrizDeAdyacencia[[#This Row],[Nodo Orig.\Dest.]],tblRed[Nodo Final],tblMatrizDeAdyacencia[[#Headers],[O5]],tblRed[Activo],1)&gt;0,1,0)</f>
        <v>0</v>
      </c>
      <c r="I25" s="16">
        <f>IF(COUNTIFS(tblRed[Nodo Inicial],tblMatrizDeAdyacencia[[#This Row],[Nodo Orig.\Dest.]],tblRed[Nodo Final],tblMatrizDeAdyacencia[[#Headers],[O6]],tblRed[Activo],1)&gt;0,1,0)</f>
        <v>0</v>
      </c>
      <c r="J25" s="16">
        <f>IF(COUNTIFS(tblRed[Nodo Inicial],tblMatrizDeAdyacencia[[#This Row],[Nodo Orig.\Dest.]],tblRed[Nodo Final],tblMatrizDeAdyacencia[[#Headers],[O7]],tblRed[Activo],1)&gt;0,1,0)</f>
        <v>0</v>
      </c>
      <c r="K25" s="16">
        <f>IF(COUNTIFS(tblRed[Nodo Inicial],tblMatrizDeAdyacencia[[#This Row],[Nodo Orig.\Dest.]],tblRed[Nodo Final],tblMatrizDeAdyacencia[[#Headers],[O8]],tblRed[Activo],1)&gt;0,1,0)</f>
        <v>0</v>
      </c>
      <c r="L25" s="16">
        <f>IF(COUNTIFS(tblRed[Nodo Inicial],tblMatrizDeAdyacencia[[#This Row],[Nodo Orig.\Dest.]],tblRed[Nodo Final],tblMatrizDeAdyacencia[[#Headers],[C1]],tblRed[Activo],1)&gt;0,1,0)</f>
        <v>0</v>
      </c>
      <c r="M25" s="16">
        <f>IF(COUNTIFS(tblRed[Nodo Inicial],tblMatrizDeAdyacencia[[#This Row],[Nodo Orig.\Dest.]],tblRed[Nodo Final],tblMatrizDeAdyacencia[[#Headers],[C2]],tblRed[Activo],1)&gt;0,1,0)</f>
        <v>0</v>
      </c>
      <c r="N25" s="16">
        <f>IF(COUNTIFS(tblRed[Nodo Inicial],tblMatrizDeAdyacencia[[#This Row],[Nodo Orig.\Dest.]],tblRed[Nodo Final],tblMatrizDeAdyacencia[[#Headers],[C3]],tblRed[Activo],1)&gt;0,1,0)</f>
        <v>0</v>
      </c>
      <c r="O25" s="16">
        <f>IF(COUNTIFS(tblRed[Nodo Inicial],tblMatrizDeAdyacencia[[#This Row],[Nodo Orig.\Dest.]],tblRed[Nodo Final],tblMatrizDeAdyacencia[[#Headers],[C4]],tblRed[Activo],1)&gt;0,1,0)</f>
        <v>0</v>
      </c>
      <c r="P25" s="16">
        <f>IF(COUNTIFS(tblRed[Nodo Inicial],tblMatrizDeAdyacencia[[#This Row],[Nodo Orig.\Dest.]],tblRed[Nodo Final],tblMatrizDeAdyacencia[[#Headers],[C5]],tblRed[Activo],1)&gt;0,1,0)</f>
        <v>0</v>
      </c>
      <c r="Q25" s="16">
        <f>IF(COUNTIFS(tblRed[Nodo Inicial],tblMatrizDeAdyacencia[[#This Row],[Nodo Orig.\Dest.]],tblRed[Nodo Final],tblMatrizDeAdyacencia[[#Headers],[C6]],tblRed[Activo],1)&gt;0,1,0)</f>
        <v>0</v>
      </c>
      <c r="R25" s="16">
        <f>IF(COUNTIFS(tblRed[Nodo Inicial],tblMatrizDeAdyacencia[[#This Row],[Nodo Orig.\Dest.]],tblRed[Nodo Final],tblMatrizDeAdyacencia[[#Headers],[I1]],tblRed[Activo],1)&gt;0,1,0)</f>
        <v>0</v>
      </c>
      <c r="S25" s="16">
        <f>IF(COUNTIFS(tblRed[Nodo Inicial],tblMatrizDeAdyacencia[[#This Row],[Nodo Orig.\Dest.]],tblRed[Nodo Final],tblMatrizDeAdyacencia[[#Headers],[I2]],tblRed[Activo],1)&gt;0,1,0)</f>
        <v>0</v>
      </c>
      <c r="T25" s="16">
        <f>IF(COUNTIFS(tblRed[Nodo Inicial],tblMatrizDeAdyacencia[[#This Row],[Nodo Orig.\Dest.]],tblRed[Nodo Final],tblMatrizDeAdyacencia[[#Headers],[I3]],tblRed[Activo],1)&gt;0,1,0)</f>
        <v>0</v>
      </c>
      <c r="U25" s="16">
        <f>IF(COUNTIFS(tblRed[Nodo Inicial],tblMatrizDeAdyacencia[[#This Row],[Nodo Orig.\Dest.]],tblRed[Nodo Final],tblMatrizDeAdyacencia[[#Headers],[I4]],tblRed[Activo],1)&gt;0,1,0)</f>
        <v>0</v>
      </c>
      <c r="V25" s="17">
        <f>IF(COUNTIFS(tblRed[Nodo Inicial],tblMatrizDeAdyacencia[[#This Row],[Nodo Orig.\Dest.]],tblRed[Nodo Final],tblMatrizDeAdyacencia[[#Headers],[I5]],tblRed[Activo],1)&gt;0,1,0)</f>
        <v>0</v>
      </c>
      <c r="W25" s="16">
        <f>IF(COUNTIFS(tblRed[Nodo Inicial],tblMatrizDeAdyacencia[[#This Row],[Nodo Orig.\Dest.]],tblRed[Nodo Final],tblMatrizDeAdyacencia[[#Headers],[I6]],tblRed[Activo],1)&gt;0,1,0)</f>
        <v>0</v>
      </c>
      <c r="X25" s="16">
        <f>IF(COUNTIFS(tblRed[Nodo Inicial],tblMatrizDeAdyacencia[[#This Row],[Nodo Orig.\Dest.]],tblRed[Nodo Final],tblMatrizDeAdyacencia[[#Headers],[I7]],tblRed[Activo],1)&gt;0,1,0)</f>
        <v>0</v>
      </c>
      <c r="Y25" s="72">
        <f>IF(COUNTIFS(tblRed[Nodo Inicial],tblMatrizDeAdyacencia[[#This Row],[Nodo Orig.\Dest.]],tblRed[Nodo Final],tblMatrizDeAdyacencia[[#Headers],[I8]],tblRed[Activo],1)&gt;0,1,0)</f>
        <v>0</v>
      </c>
      <c r="Z25" s="16">
        <f>IF(COUNTIFS(tblRed[Nodo Inicial],tblMatrizDeAdyacencia[[#This Row],[Nodo Orig.\Dest.]],tblRed[Nodo Final],tblMatrizDeAdyacencia[[#Headers],[I9]],tblRed[Activo],1)&gt;0,1,0)</f>
        <v>0</v>
      </c>
      <c r="AA25" s="16">
        <f>IF(COUNTIFS(tblRed[Nodo Inicial],tblMatrizDeAdyacencia[[#This Row],[Nodo Orig.\Dest.]],tblRed[Nodo Final],tblMatrizDeAdyacencia[[#Headers],[I10]],tblRed[Activo],1)&gt;0,1,0)</f>
        <v>0</v>
      </c>
      <c r="AB25" s="16">
        <f>IF(COUNTIFS(tblRed[Nodo Inicial],tblMatrizDeAdyacencia[[#This Row],[Nodo Orig.\Dest.]],tblRed[Nodo Final],tblMatrizDeAdyacencia[[#Headers],[I11]],tblRed[Activo],1)&gt;0,1,0)</f>
        <v>0</v>
      </c>
      <c r="AC25" s="16">
        <f>IF(COUNTIFS(tblRed[Nodo Inicial],tblMatrizDeAdyacencia[[#This Row],[Nodo Orig.\Dest.]],tblRed[Nodo Final],tblMatrizDeAdyacencia[[#Headers],[I12]],tblRed[Activo],1)&gt;0,1,0)</f>
        <v>0</v>
      </c>
      <c r="AD25" s="16">
        <f>IF(COUNTIFS(tblRed[Nodo Inicial],tblMatrizDeAdyacencia[[#This Row],[Nodo Orig.\Dest.]],tblRed[Nodo Final],tblMatrizDeAdyacencia[[#Headers],[G1]],tblRed[Activo],1)&gt;0,1,0)</f>
        <v>1</v>
      </c>
      <c r="AE25" s="16">
        <f>IF(COUNTIFS(tblRed[Nodo Inicial],tblMatrizDeAdyacencia[[#This Row],[Nodo Orig.\Dest.]],tblRed[Nodo Final],tblMatrizDeAdyacencia[[#Headers],[G2]],tblRed[Activo],1)&gt;0,1,0)</f>
        <v>1</v>
      </c>
      <c r="AF25" s="16">
        <f>IF(COUNTIFS(tblRed[Nodo Inicial],tblMatrizDeAdyacencia[[#This Row],[Nodo Orig.\Dest.]],tblRed[Nodo Final],tblMatrizDeAdyacencia[[#Headers],[G3]],tblRed[Activo],1)&gt;0,1,0)</f>
        <v>1</v>
      </c>
      <c r="AG25" s="16">
        <f>IF(COUNTIFS(tblRed[Nodo Inicial],tblMatrizDeAdyacencia[[#This Row],[Nodo Orig.\Dest.]],tblRed[Nodo Final],tblMatrizDeAdyacencia[[#Headers],[G4]],tblRed[Activo],1)&gt;0,1,0)</f>
        <v>0</v>
      </c>
      <c r="AH25" s="16">
        <f>IF(COUNTIFS(tblRed[Nodo Inicial],tblMatrizDeAdyacencia[[#This Row],[Nodo Orig.\Dest.]],tblRed[Nodo Final],tblMatrizDeAdyacencia[[#Headers],[D1]],tblRed[Activo],1)&gt;0,1,0)</f>
        <v>0</v>
      </c>
    </row>
    <row r="26" spans="2:34" ht="17.25" customHeight="1" x14ac:dyDescent="0.25">
      <c r="B26" s="48" t="str">
        <f>VLOOKUP(tblMatrizDeAdyacencia[[#This Row],[Nodo Orig.\Dest.]],tblNodos[],2,FALSE)</f>
        <v>Intermediarios logísticos del contrabando</v>
      </c>
      <c r="C26" s="49" t="s">
        <v>69</v>
      </c>
      <c r="D26" s="16">
        <f>IF(COUNTIFS(tblRed[Nodo Inicial],tblMatrizDeAdyacencia[[#This Row],[Nodo Orig.\Dest.]],tblRed[Nodo Final],tblMatrizDeAdyacencia[[#Headers],[O1]],tblRed[Activo],1)&gt;0,1,0)</f>
        <v>0</v>
      </c>
      <c r="E26" s="16">
        <f>IF(COUNTIFS(tblRed[Nodo Inicial],tblMatrizDeAdyacencia[[#This Row],[Nodo Orig.\Dest.]],tblRed[Nodo Final],tblMatrizDeAdyacencia[[#Headers],[O2]],tblRed[Activo],1)&gt;0,1,0)</f>
        <v>0</v>
      </c>
      <c r="F26" s="16">
        <f>IF(COUNTIFS(tblRed[Nodo Inicial],tblMatrizDeAdyacencia[[#This Row],[Nodo Orig.\Dest.]],tblRed[Nodo Final],tblMatrizDeAdyacencia[[#Headers],[O3]],tblRed[Activo],1)&gt;0,1,0)</f>
        <v>0</v>
      </c>
      <c r="G26" s="16">
        <f>IF(COUNTIFS(tblRed[Nodo Inicial],tblMatrizDeAdyacencia[[#This Row],[Nodo Orig.\Dest.]],tblRed[Nodo Final],tblMatrizDeAdyacencia[[#Headers],[O4]],tblRed[Activo],1)&gt;0,1,0)</f>
        <v>0</v>
      </c>
      <c r="H26" s="16">
        <f>IF(COUNTIFS(tblRed[Nodo Inicial],tblMatrizDeAdyacencia[[#This Row],[Nodo Orig.\Dest.]],tblRed[Nodo Final],tblMatrizDeAdyacencia[[#Headers],[O5]],tblRed[Activo],1)&gt;0,1,0)</f>
        <v>0</v>
      </c>
      <c r="I26" s="16">
        <f>IF(COUNTIFS(tblRed[Nodo Inicial],tblMatrizDeAdyacencia[[#This Row],[Nodo Orig.\Dest.]],tblRed[Nodo Final],tblMatrizDeAdyacencia[[#Headers],[O6]],tblRed[Activo],1)&gt;0,1,0)</f>
        <v>0</v>
      </c>
      <c r="J26" s="16">
        <f>IF(COUNTIFS(tblRed[Nodo Inicial],tblMatrizDeAdyacencia[[#This Row],[Nodo Orig.\Dest.]],tblRed[Nodo Final],tblMatrizDeAdyacencia[[#Headers],[O7]],tblRed[Activo],1)&gt;0,1,0)</f>
        <v>0</v>
      </c>
      <c r="K26" s="16">
        <f>IF(COUNTIFS(tblRed[Nodo Inicial],tblMatrizDeAdyacencia[[#This Row],[Nodo Orig.\Dest.]],tblRed[Nodo Final],tblMatrizDeAdyacencia[[#Headers],[O8]],tblRed[Activo],1)&gt;0,1,0)</f>
        <v>0</v>
      </c>
      <c r="L26" s="16">
        <f>IF(COUNTIFS(tblRed[Nodo Inicial],tblMatrizDeAdyacencia[[#This Row],[Nodo Orig.\Dest.]],tblRed[Nodo Final],tblMatrizDeAdyacencia[[#Headers],[C1]],tblRed[Activo],1)&gt;0,1,0)</f>
        <v>0</v>
      </c>
      <c r="M26" s="16">
        <f>IF(COUNTIFS(tblRed[Nodo Inicial],tblMatrizDeAdyacencia[[#This Row],[Nodo Orig.\Dest.]],tblRed[Nodo Final],tblMatrizDeAdyacencia[[#Headers],[C2]],tblRed[Activo],1)&gt;0,1,0)</f>
        <v>0</v>
      </c>
      <c r="N26" s="16">
        <f>IF(COUNTIFS(tblRed[Nodo Inicial],tblMatrizDeAdyacencia[[#This Row],[Nodo Orig.\Dest.]],tblRed[Nodo Final],tblMatrizDeAdyacencia[[#Headers],[C3]],tblRed[Activo],1)&gt;0,1,0)</f>
        <v>0</v>
      </c>
      <c r="O26" s="16">
        <f>IF(COUNTIFS(tblRed[Nodo Inicial],tblMatrizDeAdyacencia[[#This Row],[Nodo Orig.\Dest.]],tblRed[Nodo Final],tblMatrizDeAdyacencia[[#Headers],[C4]],tblRed[Activo],1)&gt;0,1,0)</f>
        <v>0</v>
      </c>
      <c r="P26" s="16">
        <f>IF(COUNTIFS(tblRed[Nodo Inicial],tblMatrizDeAdyacencia[[#This Row],[Nodo Orig.\Dest.]],tblRed[Nodo Final],tblMatrizDeAdyacencia[[#Headers],[C5]],tblRed[Activo],1)&gt;0,1,0)</f>
        <v>0</v>
      </c>
      <c r="Q26" s="16">
        <f>IF(COUNTIFS(tblRed[Nodo Inicial],tblMatrizDeAdyacencia[[#This Row],[Nodo Orig.\Dest.]],tblRed[Nodo Final],tblMatrizDeAdyacencia[[#Headers],[C6]],tblRed[Activo],1)&gt;0,1,0)</f>
        <v>0</v>
      </c>
      <c r="R26" s="16">
        <f>IF(COUNTIFS(tblRed[Nodo Inicial],tblMatrizDeAdyacencia[[#This Row],[Nodo Orig.\Dest.]],tblRed[Nodo Final],tblMatrizDeAdyacencia[[#Headers],[I1]],tblRed[Activo],1)&gt;0,1,0)</f>
        <v>0</v>
      </c>
      <c r="S26" s="16">
        <f>IF(COUNTIFS(tblRed[Nodo Inicial],tblMatrizDeAdyacencia[[#This Row],[Nodo Orig.\Dest.]],tblRed[Nodo Final],tblMatrizDeAdyacencia[[#Headers],[I2]],tblRed[Activo],1)&gt;0,1,0)</f>
        <v>0</v>
      </c>
      <c r="T26" s="16">
        <f>IF(COUNTIFS(tblRed[Nodo Inicial],tblMatrizDeAdyacencia[[#This Row],[Nodo Orig.\Dest.]],tblRed[Nodo Final],tblMatrizDeAdyacencia[[#Headers],[I3]],tblRed[Activo],1)&gt;0,1,0)</f>
        <v>0</v>
      </c>
      <c r="U26" s="16">
        <f>IF(COUNTIFS(tblRed[Nodo Inicial],tblMatrizDeAdyacencia[[#This Row],[Nodo Orig.\Dest.]],tblRed[Nodo Final],tblMatrizDeAdyacencia[[#Headers],[I4]],tblRed[Activo],1)&gt;0,1,0)</f>
        <v>0</v>
      </c>
      <c r="V26" s="17">
        <f>IF(COUNTIFS(tblRed[Nodo Inicial],tblMatrizDeAdyacencia[[#This Row],[Nodo Orig.\Dest.]],tblRed[Nodo Final],tblMatrizDeAdyacencia[[#Headers],[I5]],tblRed[Activo],1)&gt;0,1,0)</f>
        <v>0</v>
      </c>
      <c r="W26" s="16">
        <f>IF(COUNTIFS(tblRed[Nodo Inicial],tblMatrizDeAdyacencia[[#This Row],[Nodo Orig.\Dest.]],tblRed[Nodo Final],tblMatrizDeAdyacencia[[#Headers],[I6]],tblRed[Activo],1)&gt;0,1,0)</f>
        <v>0</v>
      </c>
      <c r="X26" s="16">
        <f>IF(COUNTIFS(tblRed[Nodo Inicial],tblMatrizDeAdyacencia[[#This Row],[Nodo Orig.\Dest.]],tblRed[Nodo Final],tblMatrizDeAdyacencia[[#Headers],[I7]],tblRed[Activo],1)&gt;0,1,0)</f>
        <v>0</v>
      </c>
      <c r="Y26" s="16">
        <f>IF(COUNTIFS(tblRed[Nodo Inicial],tblMatrizDeAdyacencia[[#This Row],[Nodo Orig.\Dest.]],tblRed[Nodo Final],tblMatrizDeAdyacencia[[#Headers],[I8]],tblRed[Activo],1)&gt;0,1,0)</f>
        <v>0</v>
      </c>
      <c r="Z26" s="72">
        <f>IF(COUNTIFS(tblRed[Nodo Inicial],tblMatrizDeAdyacencia[[#This Row],[Nodo Orig.\Dest.]],tblRed[Nodo Final],tblMatrizDeAdyacencia[[#Headers],[I9]],tblRed[Activo],1)&gt;0,1,0)</f>
        <v>0</v>
      </c>
      <c r="AA26" s="16">
        <f>IF(COUNTIFS(tblRed[Nodo Inicial],tblMatrizDeAdyacencia[[#This Row],[Nodo Orig.\Dest.]],tblRed[Nodo Final],tblMatrizDeAdyacencia[[#Headers],[I10]],tblRed[Activo],1)&gt;0,1,0)</f>
        <v>0</v>
      </c>
      <c r="AB26" s="16">
        <f>IF(COUNTIFS(tblRed[Nodo Inicial],tblMatrizDeAdyacencia[[#This Row],[Nodo Orig.\Dest.]],tblRed[Nodo Final],tblMatrizDeAdyacencia[[#Headers],[I11]],tblRed[Activo],1)&gt;0,1,0)</f>
        <v>0</v>
      </c>
      <c r="AC26" s="16">
        <f>IF(COUNTIFS(tblRed[Nodo Inicial],tblMatrizDeAdyacencia[[#This Row],[Nodo Orig.\Dest.]],tblRed[Nodo Final],tblMatrizDeAdyacencia[[#Headers],[I12]],tblRed[Activo],1)&gt;0,1,0)</f>
        <v>0</v>
      </c>
      <c r="AD26" s="16">
        <f>IF(COUNTIFS(tblRed[Nodo Inicial],tblMatrizDeAdyacencia[[#This Row],[Nodo Orig.\Dest.]],tblRed[Nodo Final],tblMatrizDeAdyacencia[[#Headers],[G1]],tblRed[Activo],1)&gt;0,1,0)</f>
        <v>1</v>
      </c>
      <c r="AE26" s="16">
        <f>IF(COUNTIFS(tblRed[Nodo Inicial],tblMatrizDeAdyacencia[[#This Row],[Nodo Orig.\Dest.]],tblRed[Nodo Final],tblMatrizDeAdyacencia[[#Headers],[G2]],tblRed[Activo],1)&gt;0,1,0)</f>
        <v>0</v>
      </c>
      <c r="AF26" s="16">
        <f>IF(COUNTIFS(tblRed[Nodo Inicial],tblMatrizDeAdyacencia[[#This Row],[Nodo Orig.\Dest.]],tblRed[Nodo Final],tblMatrizDeAdyacencia[[#Headers],[G3]],tblRed[Activo],1)&gt;0,1,0)</f>
        <v>0</v>
      </c>
      <c r="AG26" s="16">
        <f>IF(COUNTIFS(tblRed[Nodo Inicial],tblMatrizDeAdyacencia[[#This Row],[Nodo Orig.\Dest.]],tblRed[Nodo Final],tblMatrizDeAdyacencia[[#Headers],[G4]],tblRed[Activo],1)&gt;0,1,0)</f>
        <v>1</v>
      </c>
      <c r="AH26" s="16">
        <f>IF(COUNTIFS(tblRed[Nodo Inicial],tblMatrizDeAdyacencia[[#This Row],[Nodo Orig.\Dest.]],tblRed[Nodo Final],tblMatrizDeAdyacencia[[#Headers],[D1]],tblRed[Activo],1)&gt;0,1,0)</f>
        <v>0</v>
      </c>
    </row>
    <row r="27" spans="2:34" ht="17.25" customHeight="1" x14ac:dyDescent="0.25">
      <c r="B27" s="48" t="str">
        <f>VLOOKUP(tblMatrizDeAdyacencia[[#This Row],[Nodo Orig.\Dest.]],tblNodos[],2,FALSE)</f>
        <v>Intermediarios financeros especializados</v>
      </c>
      <c r="C27" s="49" t="s">
        <v>71</v>
      </c>
      <c r="D27" s="16">
        <f>IF(COUNTIFS(tblRed[Nodo Inicial],tblMatrizDeAdyacencia[[#This Row],[Nodo Orig.\Dest.]],tblRed[Nodo Final],tblMatrizDeAdyacencia[[#Headers],[O1]],tblRed[Activo],1)&gt;0,1,0)</f>
        <v>0</v>
      </c>
      <c r="E27" s="16">
        <f>IF(COUNTIFS(tblRed[Nodo Inicial],tblMatrizDeAdyacencia[[#This Row],[Nodo Orig.\Dest.]],tblRed[Nodo Final],tblMatrizDeAdyacencia[[#Headers],[O2]],tblRed[Activo],1)&gt;0,1,0)</f>
        <v>0</v>
      </c>
      <c r="F27" s="16">
        <f>IF(COUNTIFS(tblRed[Nodo Inicial],tblMatrizDeAdyacencia[[#This Row],[Nodo Orig.\Dest.]],tblRed[Nodo Final],tblMatrizDeAdyacencia[[#Headers],[O3]],tblRed[Activo],1)&gt;0,1,0)</f>
        <v>0</v>
      </c>
      <c r="G27" s="16">
        <f>IF(COUNTIFS(tblRed[Nodo Inicial],tblMatrizDeAdyacencia[[#This Row],[Nodo Orig.\Dest.]],tblRed[Nodo Final],tblMatrizDeAdyacencia[[#Headers],[O4]],tblRed[Activo],1)&gt;0,1,0)</f>
        <v>0</v>
      </c>
      <c r="H27" s="16">
        <f>IF(COUNTIFS(tblRed[Nodo Inicial],tblMatrizDeAdyacencia[[#This Row],[Nodo Orig.\Dest.]],tblRed[Nodo Final],tblMatrizDeAdyacencia[[#Headers],[O5]],tblRed[Activo],1)&gt;0,1,0)</f>
        <v>0</v>
      </c>
      <c r="I27" s="16">
        <f>IF(COUNTIFS(tblRed[Nodo Inicial],tblMatrizDeAdyacencia[[#This Row],[Nodo Orig.\Dest.]],tblRed[Nodo Final],tblMatrizDeAdyacencia[[#Headers],[O6]],tblRed[Activo],1)&gt;0,1,0)</f>
        <v>0</v>
      </c>
      <c r="J27" s="16">
        <f>IF(COUNTIFS(tblRed[Nodo Inicial],tblMatrizDeAdyacencia[[#This Row],[Nodo Orig.\Dest.]],tblRed[Nodo Final],tblMatrizDeAdyacencia[[#Headers],[O7]],tblRed[Activo],1)&gt;0,1,0)</f>
        <v>0</v>
      </c>
      <c r="K27" s="16">
        <f>IF(COUNTIFS(tblRed[Nodo Inicial],tblMatrizDeAdyacencia[[#This Row],[Nodo Orig.\Dest.]],tblRed[Nodo Final],tblMatrizDeAdyacencia[[#Headers],[O8]],tblRed[Activo],1)&gt;0,1,0)</f>
        <v>0</v>
      </c>
      <c r="L27" s="16">
        <f>IF(COUNTIFS(tblRed[Nodo Inicial],tblMatrizDeAdyacencia[[#This Row],[Nodo Orig.\Dest.]],tblRed[Nodo Final],tblMatrizDeAdyacencia[[#Headers],[C1]],tblRed[Activo],1)&gt;0,1,0)</f>
        <v>0</v>
      </c>
      <c r="M27" s="16">
        <f>IF(COUNTIFS(tblRed[Nodo Inicial],tblMatrizDeAdyacencia[[#This Row],[Nodo Orig.\Dest.]],tblRed[Nodo Final],tblMatrizDeAdyacencia[[#Headers],[C2]],tblRed[Activo],1)&gt;0,1,0)</f>
        <v>0</v>
      </c>
      <c r="N27" s="16">
        <f>IF(COUNTIFS(tblRed[Nodo Inicial],tblMatrizDeAdyacencia[[#This Row],[Nodo Orig.\Dest.]],tblRed[Nodo Final],tblMatrizDeAdyacencia[[#Headers],[C3]],tblRed[Activo],1)&gt;0,1,0)</f>
        <v>0</v>
      </c>
      <c r="O27" s="16">
        <f>IF(COUNTIFS(tblRed[Nodo Inicial],tblMatrizDeAdyacencia[[#This Row],[Nodo Orig.\Dest.]],tblRed[Nodo Final],tblMatrizDeAdyacencia[[#Headers],[C4]],tblRed[Activo],1)&gt;0,1,0)</f>
        <v>0</v>
      </c>
      <c r="P27" s="16">
        <f>IF(COUNTIFS(tblRed[Nodo Inicial],tblMatrizDeAdyacencia[[#This Row],[Nodo Orig.\Dest.]],tblRed[Nodo Final],tblMatrizDeAdyacencia[[#Headers],[C5]],tblRed[Activo],1)&gt;0,1,0)</f>
        <v>0</v>
      </c>
      <c r="Q27" s="16">
        <f>IF(COUNTIFS(tblRed[Nodo Inicial],tblMatrizDeAdyacencia[[#This Row],[Nodo Orig.\Dest.]],tblRed[Nodo Final],tblMatrizDeAdyacencia[[#Headers],[C6]],tblRed[Activo],1)&gt;0,1,0)</f>
        <v>0</v>
      </c>
      <c r="R27" s="16">
        <f>IF(COUNTIFS(tblRed[Nodo Inicial],tblMatrizDeAdyacencia[[#This Row],[Nodo Orig.\Dest.]],tblRed[Nodo Final],tblMatrizDeAdyacencia[[#Headers],[I1]],tblRed[Activo],1)&gt;0,1,0)</f>
        <v>0</v>
      </c>
      <c r="S27" s="16">
        <f>IF(COUNTIFS(tblRed[Nodo Inicial],tblMatrizDeAdyacencia[[#This Row],[Nodo Orig.\Dest.]],tblRed[Nodo Final],tblMatrizDeAdyacencia[[#Headers],[I2]],tblRed[Activo],1)&gt;0,1,0)</f>
        <v>0</v>
      </c>
      <c r="T27" s="16">
        <f>IF(COUNTIFS(tblRed[Nodo Inicial],tblMatrizDeAdyacencia[[#This Row],[Nodo Orig.\Dest.]],tblRed[Nodo Final],tblMatrizDeAdyacencia[[#Headers],[I3]],tblRed[Activo],1)&gt;0,1,0)</f>
        <v>0</v>
      </c>
      <c r="U27" s="16">
        <f>IF(COUNTIFS(tblRed[Nodo Inicial],tblMatrizDeAdyacencia[[#This Row],[Nodo Orig.\Dest.]],tblRed[Nodo Final],tblMatrizDeAdyacencia[[#Headers],[I4]],tblRed[Activo],1)&gt;0,1,0)</f>
        <v>0</v>
      </c>
      <c r="V27" s="17">
        <f>IF(COUNTIFS(tblRed[Nodo Inicial],tblMatrizDeAdyacencia[[#This Row],[Nodo Orig.\Dest.]],tblRed[Nodo Final],tblMatrizDeAdyacencia[[#Headers],[I5]],tblRed[Activo],1)&gt;0,1,0)</f>
        <v>0</v>
      </c>
      <c r="W27" s="16">
        <f>IF(COUNTIFS(tblRed[Nodo Inicial],tblMatrizDeAdyacencia[[#This Row],[Nodo Orig.\Dest.]],tblRed[Nodo Final],tblMatrizDeAdyacencia[[#Headers],[I6]],tblRed[Activo],1)&gt;0,1,0)</f>
        <v>0</v>
      </c>
      <c r="X27" s="16">
        <f>IF(COUNTIFS(tblRed[Nodo Inicial],tblMatrizDeAdyacencia[[#This Row],[Nodo Orig.\Dest.]],tblRed[Nodo Final],tblMatrizDeAdyacencia[[#Headers],[I7]],tblRed[Activo],1)&gt;0,1,0)</f>
        <v>0</v>
      </c>
      <c r="Y27" s="16">
        <f>IF(COUNTIFS(tblRed[Nodo Inicial],tblMatrizDeAdyacencia[[#This Row],[Nodo Orig.\Dest.]],tblRed[Nodo Final],tblMatrizDeAdyacencia[[#Headers],[I8]],tblRed[Activo],1)&gt;0,1,0)</f>
        <v>0</v>
      </c>
      <c r="Z27" s="16">
        <f>IF(COUNTIFS(tblRed[Nodo Inicial],tblMatrizDeAdyacencia[[#This Row],[Nodo Orig.\Dest.]],tblRed[Nodo Final],tblMatrizDeAdyacencia[[#Headers],[I9]],tblRed[Activo],1)&gt;0,1,0)</f>
        <v>0</v>
      </c>
      <c r="AA27" s="72">
        <f>IF(COUNTIFS(tblRed[Nodo Inicial],tblMatrizDeAdyacencia[[#This Row],[Nodo Orig.\Dest.]],tblRed[Nodo Final],tblMatrizDeAdyacencia[[#Headers],[I10]],tblRed[Activo],1)&gt;0,1,0)</f>
        <v>0</v>
      </c>
      <c r="AB27" s="16">
        <f>IF(COUNTIFS(tblRed[Nodo Inicial],tblMatrizDeAdyacencia[[#This Row],[Nodo Orig.\Dest.]],tblRed[Nodo Final],tblMatrizDeAdyacencia[[#Headers],[I11]],tblRed[Activo],1)&gt;0,1,0)</f>
        <v>0</v>
      </c>
      <c r="AC27" s="16">
        <f>IF(COUNTIFS(tblRed[Nodo Inicial],tblMatrizDeAdyacencia[[#This Row],[Nodo Orig.\Dest.]],tblRed[Nodo Final],tblMatrizDeAdyacencia[[#Headers],[I12]],tblRed[Activo],1)&gt;0,1,0)</f>
        <v>0</v>
      </c>
      <c r="AD27" s="16">
        <f>IF(COUNTIFS(tblRed[Nodo Inicial],tblMatrizDeAdyacencia[[#This Row],[Nodo Orig.\Dest.]],tblRed[Nodo Final],tblMatrizDeAdyacencia[[#Headers],[G1]],tblRed[Activo],1)&gt;0,1,0)</f>
        <v>1</v>
      </c>
      <c r="AE27" s="16">
        <f>IF(COUNTIFS(tblRed[Nodo Inicial],tblMatrizDeAdyacencia[[#This Row],[Nodo Orig.\Dest.]],tblRed[Nodo Final],tblMatrizDeAdyacencia[[#Headers],[G2]],tblRed[Activo],1)&gt;0,1,0)</f>
        <v>1</v>
      </c>
      <c r="AF27" s="16">
        <f>IF(COUNTIFS(tblRed[Nodo Inicial],tblMatrizDeAdyacencia[[#This Row],[Nodo Orig.\Dest.]],tblRed[Nodo Final],tblMatrizDeAdyacencia[[#Headers],[G3]],tblRed[Activo],1)&gt;0,1,0)</f>
        <v>0</v>
      </c>
      <c r="AG27" s="16">
        <f>IF(COUNTIFS(tblRed[Nodo Inicial],tblMatrizDeAdyacencia[[#This Row],[Nodo Orig.\Dest.]],tblRed[Nodo Final],tblMatrizDeAdyacencia[[#Headers],[G4]],tblRed[Activo],1)&gt;0,1,0)</f>
        <v>0</v>
      </c>
      <c r="AH27" s="16">
        <f>IF(COUNTIFS(tblRed[Nodo Inicial],tblMatrizDeAdyacencia[[#This Row],[Nodo Orig.\Dest.]],tblRed[Nodo Final],tblMatrizDeAdyacencia[[#Headers],[D1]],tblRed[Activo],1)&gt;0,1,0)</f>
        <v>0</v>
      </c>
    </row>
    <row r="28" spans="2:34" ht="17.25" customHeight="1" x14ac:dyDescent="0.25">
      <c r="B28" s="48" t="str">
        <f>VLOOKUP(tblMatrizDeAdyacencia[[#This Row],[Nodo Orig.\Dest.]],tblNodos[],2,FALSE)</f>
        <v>Intermediarios operativos y de cobertura</v>
      </c>
      <c r="C28" s="49" t="s">
        <v>73</v>
      </c>
      <c r="D28" s="16">
        <f>IF(COUNTIFS(tblRed[Nodo Inicial],tblMatrizDeAdyacencia[[#This Row],[Nodo Orig.\Dest.]],tblRed[Nodo Final],tblMatrizDeAdyacencia[[#Headers],[O1]],tblRed[Activo],1)&gt;0,1,0)</f>
        <v>0</v>
      </c>
      <c r="E28" s="16">
        <f>IF(COUNTIFS(tblRed[Nodo Inicial],tblMatrizDeAdyacencia[[#This Row],[Nodo Orig.\Dest.]],tblRed[Nodo Final],tblMatrizDeAdyacencia[[#Headers],[O2]],tblRed[Activo],1)&gt;0,1,0)</f>
        <v>0</v>
      </c>
      <c r="F28" s="16">
        <f>IF(COUNTIFS(tblRed[Nodo Inicial],tblMatrizDeAdyacencia[[#This Row],[Nodo Orig.\Dest.]],tblRed[Nodo Final],tblMatrizDeAdyacencia[[#Headers],[O3]],tblRed[Activo],1)&gt;0,1,0)</f>
        <v>0</v>
      </c>
      <c r="G28" s="16">
        <f>IF(COUNTIFS(tblRed[Nodo Inicial],tblMatrizDeAdyacencia[[#This Row],[Nodo Orig.\Dest.]],tblRed[Nodo Final],tblMatrizDeAdyacencia[[#Headers],[O4]],tblRed[Activo],1)&gt;0,1,0)</f>
        <v>0</v>
      </c>
      <c r="H28" s="16">
        <f>IF(COUNTIFS(tblRed[Nodo Inicial],tblMatrizDeAdyacencia[[#This Row],[Nodo Orig.\Dest.]],tblRed[Nodo Final],tblMatrizDeAdyacencia[[#Headers],[O5]],tblRed[Activo],1)&gt;0,1,0)</f>
        <v>0</v>
      </c>
      <c r="I28" s="16">
        <f>IF(COUNTIFS(tblRed[Nodo Inicial],tblMatrizDeAdyacencia[[#This Row],[Nodo Orig.\Dest.]],tblRed[Nodo Final],tblMatrizDeAdyacencia[[#Headers],[O6]],tblRed[Activo],1)&gt;0,1,0)</f>
        <v>0</v>
      </c>
      <c r="J28" s="16">
        <f>IF(COUNTIFS(tblRed[Nodo Inicial],tblMatrizDeAdyacencia[[#This Row],[Nodo Orig.\Dest.]],tblRed[Nodo Final],tblMatrizDeAdyacencia[[#Headers],[O7]],tblRed[Activo],1)&gt;0,1,0)</f>
        <v>0</v>
      </c>
      <c r="K28" s="16">
        <f>IF(COUNTIFS(tblRed[Nodo Inicial],tblMatrizDeAdyacencia[[#This Row],[Nodo Orig.\Dest.]],tblRed[Nodo Final],tblMatrizDeAdyacencia[[#Headers],[O8]],tblRed[Activo],1)&gt;0,1,0)</f>
        <v>0</v>
      </c>
      <c r="L28" s="16">
        <f>IF(COUNTIFS(tblRed[Nodo Inicial],tblMatrizDeAdyacencia[[#This Row],[Nodo Orig.\Dest.]],tblRed[Nodo Final],tblMatrizDeAdyacencia[[#Headers],[C1]],tblRed[Activo],1)&gt;0,1,0)</f>
        <v>0</v>
      </c>
      <c r="M28" s="16">
        <f>IF(COUNTIFS(tblRed[Nodo Inicial],tblMatrizDeAdyacencia[[#This Row],[Nodo Orig.\Dest.]],tblRed[Nodo Final],tblMatrizDeAdyacencia[[#Headers],[C2]],tblRed[Activo],1)&gt;0,1,0)</f>
        <v>0</v>
      </c>
      <c r="N28" s="16">
        <f>IF(COUNTIFS(tblRed[Nodo Inicial],tblMatrizDeAdyacencia[[#This Row],[Nodo Orig.\Dest.]],tblRed[Nodo Final],tblMatrizDeAdyacencia[[#Headers],[C3]],tblRed[Activo],1)&gt;0,1,0)</f>
        <v>0</v>
      </c>
      <c r="O28" s="16">
        <f>IF(COUNTIFS(tblRed[Nodo Inicial],tblMatrizDeAdyacencia[[#This Row],[Nodo Orig.\Dest.]],tblRed[Nodo Final],tblMatrizDeAdyacencia[[#Headers],[C4]],tblRed[Activo],1)&gt;0,1,0)</f>
        <v>0</v>
      </c>
      <c r="P28" s="16">
        <f>IF(COUNTIFS(tblRed[Nodo Inicial],tblMatrizDeAdyacencia[[#This Row],[Nodo Orig.\Dest.]],tblRed[Nodo Final],tblMatrizDeAdyacencia[[#Headers],[C5]],tblRed[Activo],1)&gt;0,1,0)</f>
        <v>0</v>
      </c>
      <c r="Q28" s="16">
        <f>IF(COUNTIFS(tblRed[Nodo Inicial],tblMatrizDeAdyacencia[[#This Row],[Nodo Orig.\Dest.]],tblRed[Nodo Final],tblMatrizDeAdyacencia[[#Headers],[C6]],tblRed[Activo],1)&gt;0,1,0)</f>
        <v>0</v>
      </c>
      <c r="R28" s="16">
        <f>IF(COUNTIFS(tblRed[Nodo Inicial],tblMatrizDeAdyacencia[[#This Row],[Nodo Orig.\Dest.]],tblRed[Nodo Final],tblMatrizDeAdyacencia[[#Headers],[I1]],tblRed[Activo],1)&gt;0,1,0)</f>
        <v>0</v>
      </c>
      <c r="S28" s="16">
        <f>IF(COUNTIFS(tblRed[Nodo Inicial],tblMatrizDeAdyacencia[[#This Row],[Nodo Orig.\Dest.]],tblRed[Nodo Final],tblMatrizDeAdyacencia[[#Headers],[I2]],tblRed[Activo],1)&gt;0,1,0)</f>
        <v>0</v>
      </c>
      <c r="T28" s="16">
        <f>IF(COUNTIFS(tblRed[Nodo Inicial],tblMatrizDeAdyacencia[[#This Row],[Nodo Orig.\Dest.]],tblRed[Nodo Final],tblMatrizDeAdyacencia[[#Headers],[I3]],tblRed[Activo],1)&gt;0,1,0)</f>
        <v>0</v>
      </c>
      <c r="U28" s="16">
        <f>IF(COUNTIFS(tblRed[Nodo Inicial],tblMatrizDeAdyacencia[[#This Row],[Nodo Orig.\Dest.]],tblRed[Nodo Final],tblMatrizDeAdyacencia[[#Headers],[I4]],tblRed[Activo],1)&gt;0,1,0)</f>
        <v>0</v>
      </c>
      <c r="V28" s="17">
        <f>IF(COUNTIFS(tblRed[Nodo Inicial],tblMatrizDeAdyacencia[[#This Row],[Nodo Orig.\Dest.]],tblRed[Nodo Final],tblMatrizDeAdyacencia[[#Headers],[I5]],tblRed[Activo],1)&gt;0,1,0)</f>
        <v>0</v>
      </c>
      <c r="W28" s="16">
        <f>IF(COUNTIFS(tblRed[Nodo Inicial],tblMatrizDeAdyacencia[[#This Row],[Nodo Orig.\Dest.]],tblRed[Nodo Final],tblMatrizDeAdyacencia[[#Headers],[I6]],tblRed[Activo],1)&gt;0,1,0)</f>
        <v>0</v>
      </c>
      <c r="X28" s="16">
        <f>IF(COUNTIFS(tblRed[Nodo Inicial],tblMatrizDeAdyacencia[[#This Row],[Nodo Orig.\Dest.]],tblRed[Nodo Final],tblMatrizDeAdyacencia[[#Headers],[I7]],tblRed[Activo],1)&gt;0,1,0)</f>
        <v>0</v>
      </c>
      <c r="Y28" s="16">
        <f>IF(COUNTIFS(tblRed[Nodo Inicial],tblMatrizDeAdyacencia[[#This Row],[Nodo Orig.\Dest.]],tblRed[Nodo Final],tblMatrizDeAdyacencia[[#Headers],[I8]],tblRed[Activo],1)&gt;0,1,0)</f>
        <v>0</v>
      </c>
      <c r="Z28" s="16">
        <f>IF(COUNTIFS(tblRed[Nodo Inicial],tblMatrizDeAdyacencia[[#This Row],[Nodo Orig.\Dest.]],tblRed[Nodo Final],tblMatrizDeAdyacencia[[#Headers],[I9]],tblRed[Activo],1)&gt;0,1,0)</f>
        <v>0</v>
      </c>
      <c r="AA28" s="16">
        <f>IF(COUNTIFS(tblRed[Nodo Inicial],tblMatrizDeAdyacencia[[#This Row],[Nodo Orig.\Dest.]],tblRed[Nodo Final],tblMatrizDeAdyacencia[[#Headers],[I10]],tblRed[Activo],1)&gt;0,1,0)</f>
        <v>0</v>
      </c>
      <c r="AB28" s="72">
        <f>IF(COUNTIFS(tblRed[Nodo Inicial],tblMatrizDeAdyacencia[[#This Row],[Nodo Orig.\Dest.]],tblRed[Nodo Final],tblMatrizDeAdyacencia[[#Headers],[I11]],tblRed[Activo],1)&gt;0,1,0)</f>
        <v>0</v>
      </c>
      <c r="AC28" s="16">
        <f>IF(COUNTIFS(tblRed[Nodo Inicial],tblMatrizDeAdyacencia[[#This Row],[Nodo Orig.\Dest.]],tblRed[Nodo Final],tblMatrizDeAdyacencia[[#Headers],[I12]],tblRed[Activo],1)&gt;0,1,0)</f>
        <v>0</v>
      </c>
      <c r="AD28" s="16">
        <f>IF(COUNTIFS(tblRed[Nodo Inicial],tblMatrizDeAdyacencia[[#This Row],[Nodo Orig.\Dest.]],tblRed[Nodo Final],tblMatrizDeAdyacencia[[#Headers],[G1]],tblRed[Activo],1)&gt;0,1,0)</f>
        <v>1</v>
      </c>
      <c r="AE28" s="16">
        <f>IF(COUNTIFS(tblRed[Nodo Inicial],tblMatrizDeAdyacencia[[#This Row],[Nodo Orig.\Dest.]],tblRed[Nodo Final],tblMatrizDeAdyacencia[[#Headers],[G2]],tblRed[Activo],1)&gt;0,1,0)</f>
        <v>0</v>
      </c>
      <c r="AF28" s="16">
        <f>IF(COUNTIFS(tblRed[Nodo Inicial],tblMatrizDeAdyacencia[[#This Row],[Nodo Orig.\Dest.]],tblRed[Nodo Final],tblMatrizDeAdyacencia[[#Headers],[G3]],tblRed[Activo],1)&gt;0,1,0)</f>
        <v>0</v>
      </c>
      <c r="AG28" s="16">
        <f>IF(COUNTIFS(tblRed[Nodo Inicial],tblMatrizDeAdyacencia[[#This Row],[Nodo Orig.\Dest.]],tblRed[Nodo Final],tblMatrizDeAdyacencia[[#Headers],[G4]],tblRed[Activo],1)&gt;0,1,0)</f>
        <v>0</v>
      </c>
      <c r="AH28" s="16">
        <f>IF(COUNTIFS(tblRed[Nodo Inicial],tblMatrizDeAdyacencia[[#This Row],[Nodo Orig.\Dest.]],tblRed[Nodo Final],tblMatrizDeAdyacencia[[#Headers],[D1]],tblRed[Activo],1)&gt;0,1,0)</f>
        <v>0</v>
      </c>
    </row>
    <row r="29" spans="2:34" ht="17.25" customHeight="1" x14ac:dyDescent="0.25">
      <c r="B29" s="48" t="str">
        <f>VLOOKUP(tblMatrizDeAdyacencia[[#This Row],[Nodo Orig.\Dest.]],tblNodos[],2,FALSE)</f>
        <v>Intermediarios de negociación y rescate</v>
      </c>
      <c r="C29" s="49" t="s">
        <v>75</v>
      </c>
      <c r="D29" s="16">
        <f>IF(COUNTIFS(tblRed[Nodo Inicial],tblMatrizDeAdyacencia[[#This Row],[Nodo Orig.\Dest.]],tblRed[Nodo Final],tblMatrizDeAdyacencia[[#Headers],[O1]],tblRed[Activo],1)&gt;0,1,0)</f>
        <v>0</v>
      </c>
      <c r="E29" s="16">
        <f>IF(COUNTIFS(tblRed[Nodo Inicial],tblMatrizDeAdyacencia[[#This Row],[Nodo Orig.\Dest.]],tblRed[Nodo Final],tblMatrizDeAdyacencia[[#Headers],[O2]],tblRed[Activo],1)&gt;0,1,0)</f>
        <v>0</v>
      </c>
      <c r="F29" s="16">
        <f>IF(COUNTIFS(tblRed[Nodo Inicial],tblMatrizDeAdyacencia[[#This Row],[Nodo Orig.\Dest.]],tblRed[Nodo Final],tblMatrizDeAdyacencia[[#Headers],[O3]],tblRed[Activo],1)&gt;0,1,0)</f>
        <v>0</v>
      </c>
      <c r="G29" s="16">
        <f>IF(COUNTIFS(tblRed[Nodo Inicial],tblMatrizDeAdyacencia[[#This Row],[Nodo Orig.\Dest.]],tblRed[Nodo Final],tblMatrizDeAdyacencia[[#Headers],[O4]],tblRed[Activo],1)&gt;0,1,0)</f>
        <v>0</v>
      </c>
      <c r="H29" s="16">
        <f>IF(COUNTIFS(tblRed[Nodo Inicial],tblMatrizDeAdyacencia[[#This Row],[Nodo Orig.\Dest.]],tblRed[Nodo Final],tblMatrizDeAdyacencia[[#Headers],[O5]],tblRed[Activo],1)&gt;0,1,0)</f>
        <v>0</v>
      </c>
      <c r="I29" s="16">
        <f>IF(COUNTIFS(tblRed[Nodo Inicial],tblMatrizDeAdyacencia[[#This Row],[Nodo Orig.\Dest.]],tblRed[Nodo Final],tblMatrizDeAdyacencia[[#Headers],[O6]],tblRed[Activo],1)&gt;0,1,0)</f>
        <v>0</v>
      </c>
      <c r="J29" s="16">
        <f>IF(COUNTIFS(tblRed[Nodo Inicial],tblMatrizDeAdyacencia[[#This Row],[Nodo Orig.\Dest.]],tblRed[Nodo Final],tblMatrizDeAdyacencia[[#Headers],[O7]],tblRed[Activo],1)&gt;0,1,0)</f>
        <v>0</v>
      </c>
      <c r="K29" s="16">
        <f>IF(COUNTIFS(tblRed[Nodo Inicial],tblMatrizDeAdyacencia[[#This Row],[Nodo Orig.\Dest.]],tblRed[Nodo Final],tblMatrizDeAdyacencia[[#Headers],[O8]],tblRed[Activo],1)&gt;0,1,0)</f>
        <v>0</v>
      </c>
      <c r="L29" s="16">
        <f>IF(COUNTIFS(tblRed[Nodo Inicial],tblMatrizDeAdyacencia[[#This Row],[Nodo Orig.\Dest.]],tblRed[Nodo Final],tblMatrizDeAdyacencia[[#Headers],[C1]],tblRed[Activo],1)&gt;0,1,0)</f>
        <v>0</v>
      </c>
      <c r="M29" s="16">
        <f>IF(COUNTIFS(tblRed[Nodo Inicial],tblMatrizDeAdyacencia[[#This Row],[Nodo Orig.\Dest.]],tblRed[Nodo Final],tblMatrizDeAdyacencia[[#Headers],[C2]],tblRed[Activo],1)&gt;0,1,0)</f>
        <v>0</v>
      </c>
      <c r="N29" s="16">
        <f>IF(COUNTIFS(tblRed[Nodo Inicial],tblMatrizDeAdyacencia[[#This Row],[Nodo Orig.\Dest.]],tblRed[Nodo Final],tblMatrizDeAdyacencia[[#Headers],[C3]],tblRed[Activo],1)&gt;0,1,0)</f>
        <v>0</v>
      </c>
      <c r="O29" s="16">
        <f>IF(COUNTIFS(tblRed[Nodo Inicial],tblMatrizDeAdyacencia[[#This Row],[Nodo Orig.\Dest.]],tblRed[Nodo Final],tblMatrizDeAdyacencia[[#Headers],[C4]],tblRed[Activo],1)&gt;0,1,0)</f>
        <v>0</v>
      </c>
      <c r="P29" s="16">
        <f>IF(COUNTIFS(tblRed[Nodo Inicial],tblMatrizDeAdyacencia[[#This Row],[Nodo Orig.\Dest.]],tblRed[Nodo Final],tblMatrizDeAdyacencia[[#Headers],[C5]],tblRed[Activo],1)&gt;0,1,0)</f>
        <v>0</v>
      </c>
      <c r="Q29" s="16">
        <f>IF(COUNTIFS(tblRed[Nodo Inicial],tblMatrizDeAdyacencia[[#This Row],[Nodo Orig.\Dest.]],tblRed[Nodo Final],tblMatrizDeAdyacencia[[#Headers],[C6]],tblRed[Activo],1)&gt;0,1,0)</f>
        <v>0</v>
      </c>
      <c r="R29" s="16">
        <f>IF(COUNTIFS(tblRed[Nodo Inicial],tblMatrizDeAdyacencia[[#This Row],[Nodo Orig.\Dest.]],tblRed[Nodo Final],tblMatrizDeAdyacencia[[#Headers],[I1]],tblRed[Activo],1)&gt;0,1,0)</f>
        <v>0</v>
      </c>
      <c r="S29" s="16">
        <f>IF(COUNTIFS(tblRed[Nodo Inicial],tblMatrizDeAdyacencia[[#This Row],[Nodo Orig.\Dest.]],tblRed[Nodo Final],tblMatrizDeAdyacencia[[#Headers],[I2]],tblRed[Activo],1)&gt;0,1,0)</f>
        <v>0</v>
      </c>
      <c r="T29" s="16">
        <f>IF(COUNTIFS(tblRed[Nodo Inicial],tblMatrizDeAdyacencia[[#This Row],[Nodo Orig.\Dest.]],tblRed[Nodo Final],tblMatrizDeAdyacencia[[#Headers],[I3]],tblRed[Activo],1)&gt;0,1,0)</f>
        <v>0</v>
      </c>
      <c r="U29" s="16">
        <f>IF(COUNTIFS(tblRed[Nodo Inicial],tblMatrizDeAdyacencia[[#This Row],[Nodo Orig.\Dest.]],tblRed[Nodo Final],tblMatrizDeAdyacencia[[#Headers],[I4]],tblRed[Activo],1)&gt;0,1,0)</f>
        <v>0</v>
      </c>
      <c r="V29" s="17">
        <f>IF(COUNTIFS(tblRed[Nodo Inicial],tblMatrizDeAdyacencia[[#This Row],[Nodo Orig.\Dest.]],tblRed[Nodo Final],tblMatrizDeAdyacencia[[#Headers],[I5]],tblRed[Activo],1)&gt;0,1,0)</f>
        <v>0</v>
      </c>
      <c r="W29" s="16">
        <f>IF(COUNTIFS(tblRed[Nodo Inicial],tblMatrizDeAdyacencia[[#This Row],[Nodo Orig.\Dest.]],tblRed[Nodo Final],tblMatrizDeAdyacencia[[#Headers],[I6]],tblRed[Activo],1)&gt;0,1,0)</f>
        <v>0</v>
      </c>
      <c r="X29" s="16">
        <f>IF(COUNTIFS(tblRed[Nodo Inicial],tblMatrizDeAdyacencia[[#This Row],[Nodo Orig.\Dest.]],tblRed[Nodo Final],tblMatrizDeAdyacencia[[#Headers],[I7]],tblRed[Activo],1)&gt;0,1,0)</f>
        <v>0</v>
      </c>
      <c r="Y29" s="16">
        <f>IF(COUNTIFS(tblRed[Nodo Inicial],tblMatrizDeAdyacencia[[#This Row],[Nodo Orig.\Dest.]],tblRed[Nodo Final],tblMatrizDeAdyacencia[[#Headers],[I8]],tblRed[Activo],1)&gt;0,1,0)</f>
        <v>0</v>
      </c>
      <c r="Z29" s="16">
        <f>IF(COUNTIFS(tblRed[Nodo Inicial],tblMatrizDeAdyacencia[[#This Row],[Nodo Orig.\Dest.]],tblRed[Nodo Final],tblMatrizDeAdyacencia[[#Headers],[I9]],tblRed[Activo],1)&gt;0,1,0)</f>
        <v>0</v>
      </c>
      <c r="AA29" s="16">
        <f>IF(COUNTIFS(tblRed[Nodo Inicial],tblMatrizDeAdyacencia[[#This Row],[Nodo Orig.\Dest.]],tblRed[Nodo Final],tblMatrizDeAdyacencia[[#Headers],[I10]],tblRed[Activo],1)&gt;0,1,0)</f>
        <v>0</v>
      </c>
      <c r="AB29" s="16">
        <f>IF(COUNTIFS(tblRed[Nodo Inicial],tblMatrizDeAdyacencia[[#This Row],[Nodo Orig.\Dest.]],tblRed[Nodo Final],tblMatrizDeAdyacencia[[#Headers],[I11]],tblRed[Activo],1)&gt;0,1,0)</f>
        <v>0</v>
      </c>
      <c r="AC29" s="72">
        <f>IF(COUNTIFS(tblRed[Nodo Inicial],tblMatrizDeAdyacencia[[#This Row],[Nodo Orig.\Dest.]],tblRed[Nodo Final],tblMatrizDeAdyacencia[[#Headers],[I12]],tblRed[Activo],1)&gt;0,1,0)</f>
        <v>0</v>
      </c>
      <c r="AD29" s="16">
        <f>IF(COUNTIFS(tblRed[Nodo Inicial],tblMatrizDeAdyacencia[[#This Row],[Nodo Orig.\Dest.]],tblRed[Nodo Final],tblMatrizDeAdyacencia[[#Headers],[G1]],tblRed[Activo],1)&gt;0,1,0)</f>
        <v>0</v>
      </c>
      <c r="AE29" s="16">
        <f>IF(COUNTIFS(tblRed[Nodo Inicial],tblMatrizDeAdyacencia[[#This Row],[Nodo Orig.\Dest.]],tblRed[Nodo Final],tblMatrizDeAdyacencia[[#Headers],[G2]],tblRed[Activo],1)&gt;0,1,0)</f>
        <v>0</v>
      </c>
      <c r="AF29" s="16">
        <f>IF(COUNTIFS(tblRed[Nodo Inicial],tblMatrizDeAdyacencia[[#This Row],[Nodo Orig.\Dest.]],tblRed[Nodo Final],tblMatrizDeAdyacencia[[#Headers],[G3]],tblRed[Activo],1)&gt;0,1,0)</f>
        <v>0</v>
      </c>
      <c r="AG29" s="16">
        <f>IF(COUNTIFS(tblRed[Nodo Inicial],tblMatrizDeAdyacencia[[#This Row],[Nodo Orig.\Dest.]],tblRed[Nodo Final],tblMatrizDeAdyacencia[[#Headers],[G4]],tblRed[Activo],1)&gt;0,1,0)</f>
        <v>1</v>
      </c>
      <c r="AH29" s="16">
        <f>IF(COUNTIFS(tblRed[Nodo Inicial],tblMatrizDeAdyacencia[[#This Row],[Nodo Orig.\Dest.]],tblRed[Nodo Final],tblMatrizDeAdyacencia[[#Headers],[D1]],tblRed[Activo],1)&gt;0,1,0)</f>
        <v>0</v>
      </c>
    </row>
    <row r="30" spans="2:34" ht="17.25" customHeight="1" x14ac:dyDescent="0.25">
      <c r="B30" s="48" t="str">
        <f>VLOOKUP(tblMatrizDeAdyacencia[[#This Row],[Nodo Orig.\Dest.]],tblNodos[],2,FALSE)</f>
        <v>Dirección financiera</v>
      </c>
      <c r="C30" s="49" t="s">
        <v>77</v>
      </c>
      <c r="D30" s="16">
        <f>IF(COUNTIFS(tblRed[Nodo Inicial],tblMatrizDeAdyacencia[[#This Row],[Nodo Orig.\Dest.]],tblRed[Nodo Final],tblMatrizDeAdyacencia[[#Headers],[O1]],tblRed[Activo],1)&gt;0,1,0)</f>
        <v>0</v>
      </c>
      <c r="E30" s="16">
        <f>IF(COUNTIFS(tblRed[Nodo Inicial],tblMatrizDeAdyacencia[[#This Row],[Nodo Orig.\Dest.]],tblRed[Nodo Final],tblMatrizDeAdyacencia[[#Headers],[O2]],tblRed[Activo],1)&gt;0,1,0)</f>
        <v>0</v>
      </c>
      <c r="F30" s="16">
        <f>IF(COUNTIFS(tblRed[Nodo Inicial],tblMatrizDeAdyacencia[[#This Row],[Nodo Orig.\Dest.]],tblRed[Nodo Final],tblMatrizDeAdyacencia[[#Headers],[O3]],tblRed[Activo],1)&gt;0,1,0)</f>
        <v>0</v>
      </c>
      <c r="G30" s="16">
        <f>IF(COUNTIFS(tblRed[Nodo Inicial],tblMatrizDeAdyacencia[[#This Row],[Nodo Orig.\Dest.]],tblRed[Nodo Final],tblMatrizDeAdyacencia[[#Headers],[O4]],tblRed[Activo],1)&gt;0,1,0)</f>
        <v>0</v>
      </c>
      <c r="H30" s="16">
        <f>IF(COUNTIFS(tblRed[Nodo Inicial],tblMatrizDeAdyacencia[[#This Row],[Nodo Orig.\Dest.]],tblRed[Nodo Final],tblMatrizDeAdyacencia[[#Headers],[O5]],tblRed[Activo],1)&gt;0,1,0)</f>
        <v>0</v>
      </c>
      <c r="I30" s="16">
        <f>IF(COUNTIFS(tblRed[Nodo Inicial],tblMatrizDeAdyacencia[[#This Row],[Nodo Orig.\Dest.]],tblRed[Nodo Final],tblMatrizDeAdyacencia[[#Headers],[O6]],tblRed[Activo],1)&gt;0,1,0)</f>
        <v>0</v>
      </c>
      <c r="J30" s="16">
        <f>IF(COUNTIFS(tblRed[Nodo Inicial],tblMatrizDeAdyacencia[[#This Row],[Nodo Orig.\Dest.]],tblRed[Nodo Final],tblMatrizDeAdyacencia[[#Headers],[O7]],tblRed[Activo],1)&gt;0,1,0)</f>
        <v>0</v>
      </c>
      <c r="K30" s="16">
        <f>IF(COUNTIFS(tblRed[Nodo Inicial],tblMatrizDeAdyacencia[[#This Row],[Nodo Orig.\Dest.]],tblRed[Nodo Final],tblMatrizDeAdyacencia[[#Headers],[O8]],tblRed[Activo],1)&gt;0,1,0)</f>
        <v>0</v>
      </c>
      <c r="L30" s="16">
        <f>IF(COUNTIFS(tblRed[Nodo Inicial],tblMatrizDeAdyacencia[[#This Row],[Nodo Orig.\Dest.]],tblRed[Nodo Final],tblMatrizDeAdyacencia[[#Headers],[C1]],tblRed[Activo],1)&gt;0,1,0)</f>
        <v>0</v>
      </c>
      <c r="M30" s="16">
        <f>IF(COUNTIFS(tblRed[Nodo Inicial],tblMatrizDeAdyacencia[[#This Row],[Nodo Orig.\Dest.]],tblRed[Nodo Final],tblMatrizDeAdyacencia[[#Headers],[C2]],tblRed[Activo],1)&gt;0,1,0)</f>
        <v>0</v>
      </c>
      <c r="N30" s="16">
        <f>IF(COUNTIFS(tblRed[Nodo Inicial],tblMatrizDeAdyacencia[[#This Row],[Nodo Orig.\Dest.]],tblRed[Nodo Final],tblMatrizDeAdyacencia[[#Headers],[C3]],tblRed[Activo],1)&gt;0,1,0)</f>
        <v>0</v>
      </c>
      <c r="O30" s="16">
        <f>IF(COUNTIFS(tblRed[Nodo Inicial],tblMatrizDeAdyacencia[[#This Row],[Nodo Orig.\Dest.]],tblRed[Nodo Final],tblMatrizDeAdyacencia[[#Headers],[C4]],tblRed[Activo],1)&gt;0,1,0)</f>
        <v>0</v>
      </c>
      <c r="P30" s="16">
        <f>IF(COUNTIFS(tblRed[Nodo Inicial],tblMatrizDeAdyacencia[[#This Row],[Nodo Orig.\Dest.]],tblRed[Nodo Final],tblMatrizDeAdyacencia[[#Headers],[C5]],tblRed[Activo],1)&gt;0,1,0)</f>
        <v>0</v>
      </c>
      <c r="Q30" s="16">
        <f>IF(COUNTIFS(tblRed[Nodo Inicial],tblMatrizDeAdyacencia[[#This Row],[Nodo Orig.\Dest.]],tblRed[Nodo Final],tblMatrizDeAdyacencia[[#Headers],[C6]],tblRed[Activo],1)&gt;0,1,0)</f>
        <v>0</v>
      </c>
      <c r="R30" s="16">
        <f>IF(COUNTIFS(tblRed[Nodo Inicial],tblMatrizDeAdyacencia[[#This Row],[Nodo Orig.\Dest.]],tblRed[Nodo Final],tblMatrizDeAdyacencia[[#Headers],[I1]],tblRed[Activo],1)&gt;0,1,0)</f>
        <v>0</v>
      </c>
      <c r="S30" s="16">
        <f>IF(COUNTIFS(tblRed[Nodo Inicial],tblMatrizDeAdyacencia[[#This Row],[Nodo Orig.\Dest.]],tblRed[Nodo Final],tblMatrizDeAdyacencia[[#Headers],[I2]],tblRed[Activo],1)&gt;0,1,0)</f>
        <v>0</v>
      </c>
      <c r="T30" s="16">
        <f>IF(COUNTIFS(tblRed[Nodo Inicial],tblMatrizDeAdyacencia[[#This Row],[Nodo Orig.\Dest.]],tblRed[Nodo Final],tblMatrizDeAdyacencia[[#Headers],[I3]],tblRed[Activo],1)&gt;0,1,0)</f>
        <v>0</v>
      </c>
      <c r="U30" s="16">
        <f>IF(COUNTIFS(tblRed[Nodo Inicial],tblMatrizDeAdyacencia[[#This Row],[Nodo Orig.\Dest.]],tblRed[Nodo Final],tblMatrizDeAdyacencia[[#Headers],[I4]],tblRed[Activo],1)&gt;0,1,0)</f>
        <v>0</v>
      </c>
      <c r="V30" s="17">
        <f>IF(COUNTIFS(tblRed[Nodo Inicial],tblMatrizDeAdyacencia[[#This Row],[Nodo Orig.\Dest.]],tblRed[Nodo Final],tblMatrizDeAdyacencia[[#Headers],[I5]],tblRed[Activo],1)&gt;0,1,0)</f>
        <v>0</v>
      </c>
      <c r="W30" s="16">
        <f>IF(COUNTIFS(tblRed[Nodo Inicial],tblMatrizDeAdyacencia[[#This Row],[Nodo Orig.\Dest.]],tblRed[Nodo Final],tblMatrizDeAdyacencia[[#Headers],[I6]],tblRed[Activo],1)&gt;0,1,0)</f>
        <v>0</v>
      </c>
      <c r="X30" s="16">
        <f>IF(COUNTIFS(tblRed[Nodo Inicial],tblMatrizDeAdyacencia[[#This Row],[Nodo Orig.\Dest.]],tblRed[Nodo Final],tblMatrizDeAdyacencia[[#Headers],[I7]],tblRed[Activo],1)&gt;0,1,0)</f>
        <v>0</v>
      </c>
      <c r="Y30" s="16">
        <f>IF(COUNTIFS(tblRed[Nodo Inicial],tblMatrizDeAdyacencia[[#This Row],[Nodo Orig.\Dest.]],tblRed[Nodo Final],tblMatrizDeAdyacencia[[#Headers],[I8]],tblRed[Activo],1)&gt;0,1,0)</f>
        <v>0</v>
      </c>
      <c r="Z30" s="16">
        <f>IF(COUNTIFS(tblRed[Nodo Inicial],tblMatrizDeAdyacencia[[#This Row],[Nodo Orig.\Dest.]],tblRed[Nodo Final],tblMatrizDeAdyacencia[[#Headers],[I9]],tblRed[Activo],1)&gt;0,1,0)</f>
        <v>0</v>
      </c>
      <c r="AA30" s="16">
        <f>IF(COUNTIFS(tblRed[Nodo Inicial],tblMatrizDeAdyacencia[[#This Row],[Nodo Orig.\Dest.]],tblRed[Nodo Final],tblMatrizDeAdyacencia[[#Headers],[I10]],tblRed[Activo],1)&gt;0,1,0)</f>
        <v>0</v>
      </c>
      <c r="AB30" s="16">
        <f>IF(COUNTIFS(tblRed[Nodo Inicial],tblMatrizDeAdyacencia[[#This Row],[Nodo Orig.\Dest.]],tblRed[Nodo Final],tblMatrizDeAdyacencia[[#Headers],[I11]],tblRed[Activo],1)&gt;0,1,0)</f>
        <v>0</v>
      </c>
      <c r="AC30" s="16">
        <f>IF(COUNTIFS(tblRed[Nodo Inicial],tblMatrizDeAdyacencia[[#This Row],[Nodo Orig.\Dest.]],tblRed[Nodo Final],tblMatrizDeAdyacencia[[#Headers],[I12]],tblRed[Activo],1)&gt;0,1,0)</f>
        <v>0</v>
      </c>
      <c r="AD30" s="72">
        <f>IF(COUNTIFS(tblRed[Nodo Inicial],tblMatrizDeAdyacencia[[#This Row],[Nodo Orig.\Dest.]],tblRed[Nodo Final],tblMatrizDeAdyacencia[[#Headers],[G1]],tblRed[Activo],1)&gt;0,1,0)</f>
        <v>0</v>
      </c>
      <c r="AE30" s="16">
        <f>IF(COUNTIFS(tblRed[Nodo Inicial],tblMatrizDeAdyacencia[[#This Row],[Nodo Orig.\Dest.]],tblRed[Nodo Final],tblMatrizDeAdyacencia[[#Headers],[G2]],tblRed[Activo],1)&gt;0,1,0)</f>
        <v>0</v>
      </c>
      <c r="AF30" s="16">
        <f>IF(COUNTIFS(tblRed[Nodo Inicial],tblMatrizDeAdyacencia[[#This Row],[Nodo Orig.\Dest.]],tblRed[Nodo Final],tblMatrizDeAdyacencia[[#Headers],[G3]],tblRed[Activo],1)&gt;0,1,0)</f>
        <v>0</v>
      </c>
      <c r="AG30" s="16">
        <f>IF(COUNTIFS(tblRed[Nodo Inicial],tblMatrizDeAdyacencia[[#This Row],[Nodo Orig.\Dest.]],tblRed[Nodo Final],tblMatrizDeAdyacencia[[#Headers],[G4]],tblRed[Activo],1)&gt;0,1,0)</f>
        <v>0</v>
      </c>
      <c r="AH30" s="16">
        <f>IF(COUNTIFS(tblRed[Nodo Inicial],tblMatrizDeAdyacencia[[#This Row],[Nodo Orig.\Dest.]],tblRed[Nodo Final],tblMatrizDeAdyacencia[[#Headers],[D1]],tblRed[Activo],1)&gt;0,1,0)</f>
        <v>1</v>
      </c>
    </row>
    <row r="31" spans="2:34" ht="17.25" customHeight="1" x14ac:dyDescent="0.25">
      <c r="B31" s="48" t="str">
        <f>VLOOKUP(tblMatrizDeAdyacencia[[#This Row],[Nodo Orig.\Dest.]],tblNodos[],2,FALSE)</f>
        <v>Gestión operativa descentralizada</v>
      </c>
      <c r="C31" s="49" t="s">
        <v>79</v>
      </c>
      <c r="D31" s="16">
        <f>IF(COUNTIFS(tblRed[Nodo Inicial],tblMatrizDeAdyacencia[[#This Row],[Nodo Orig.\Dest.]],tblRed[Nodo Final],tblMatrizDeAdyacencia[[#Headers],[O1]],tblRed[Activo],1)&gt;0,1,0)</f>
        <v>0</v>
      </c>
      <c r="E31" s="16">
        <f>IF(COUNTIFS(tblRed[Nodo Inicial],tblMatrizDeAdyacencia[[#This Row],[Nodo Orig.\Dest.]],tblRed[Nodo Final],tblMatrizDeAdyacencia[[#Headers],[O2]],tblRed[Activo],1)&gt;0,1,0)</f>
        <v>0</v>
      </c>
      <c r="F31" s="16">
        <f>IF(COUNTIFS(tblRed[Nodo Inicial],tblMatrizDeAdyacencia[[#This Row],[Nodo Orig.\Dest.]],tblRed[Nodo Final],tblMatrizDeAdyacencia[[#Headers],[O3]],tblRed[Activo],1)&gt;0,1,0)</f>
        <v>0</v>
      </c>
      <c r="G31" s="16">
        <f>IF(COUNTIFS(tblRed[Nodo Inicial],tblMatrizDeAdyacencia[[#This Row],[Nodo Orig.\Dest.]],tblRed[Nodo Final],tblMatrizDeAdyacencia[[#Headers],[O4]],tblRed[Activo],1)&gt;0,1,0)</f>
        <v>0</v>
      </c>
      <c r="H31" s="16">
        <f>IF(COUNTIFS(tblRed[Nodo Inicial],tblMatrizDeAdyacencia[[#This Row],[Nodo Orig.\Dest.]],tblRed[Nodo Final],tblMatrizDeAdyacencia[[#Headers],[O5]],tblRed[Activo],1)&gt;0,1,0)</f>
        <v>0</v>
      </c>
      <c r="I31" s="16">
        <f>IF(COUNTIFS(tblRed[Nodo Inicial],tblMatrizDeAdyacencia[[#This Row],[Nodo Orig.\Dest.]],tblRed[Nodo Final],tblMatrizDeAdyacencia[[#Headers],[O6]],tblRed[Activo],1)&gt;0,1,0)</f>
        <v>0</v>
      </c>
      <c r="J31" s="16">
        <f>IF(COUNTIFS(tblRed[Nodo Inicial],tblMatrizDeAdyacencia[[#This Row],[Nodo Orig.\Dest.]],tblRed[Nodo Final],tblMatrizDeAdyacencia[[#Headers],[O7]],tblRed[Activo],1)&gt;0,1,0)</f>
        <v>0</v>
      </c>
      <c r="K31" s="16">
        <f>IF(COUNTIFS(tblRed[Nodo Inicial],tblMatrizDeAdyacencia[[#This Row],[Nodo Orig.\Dest.]],tblRed[Nodo Final],tblMatrizDeAdyacencia[[#Headers],[O8]],tblRed[Activo],1)&gt;0,1,0)</f>
        <v>0</v>
      </c>
      <c r="L31" s="16">
        <f>IF(COUNTIFS(tblRed[Nodo Inicial],tblMatrizDeAdyacencia[[#This Row],[Nodo Orig.\Dest.]],tblRed[Nodo Final],tblMatrizDeAdyacencia[[#Headers],[C1]],tblRed[Activo],1)&gt;0,1,0)</f>
        <v>0</v>
      </c>
      <c r="M31" s="16">
        <f>IF(COUNTIFS(tblRed[Nodo Inicial],tblMatrizDeAdyacencia[[#This Row],[Nodo Orig.\Dest.]],tblRed[Nodo Final],tblMatrizDeAdyacencia[[#Headers],[C2]],tblRed[Activo],1)&gt;0,1,0)</f>
        <v>0</v>
      </c>
      <c r="N31" s="16">
        <f>IF(COUNTIFS(tblRed[Nodo Inicial],tblMatrizDeAdyacencia[[#This Row],[Nodo Orig.\Dest.]],tblRed[Nodo Final],tblMatrizDeAdyacencia[[#Headers],[C3]],tblRed[Activo],1)&gt;0,1,0)</f>
        <v>0</v>
      </c>
      <c r="O31" s="16">
        <f>IF(COUNTIFS(tblRed[Nodo Inicial],tblMatrizDeAdyacencia[[#This Row],[Nodo Orig.\Dest.]],tblRed[Nodo Final],tblMatrizDeAdyacencia[[#Headers],[C4]],tblRed[Activo],1)&gt;0,1,0)</f>
        <v>0</v>
      </c>
      <c r="P31" s="16">
        <f>IF(COUNTIFS(tblRed[Nodo Inicial],tblMatrizDeAdyacencia[[#This Row],[Nodo Orig.\Dest.]],tblRed[Nodo Final],tblMatrizDeAdyacencia[[#Headers],[C5]],tblRed[Activo],1)&gt;0,1,0)</f>
        <v>0</v>
      </c>
      <c r="Q31" s="16">
        <f>IF(COUNTIFS(tblRed[Nodo Inicial],tblMatrizDeAdyacencia[[#This Row],[Nodo Orig.\Dest.]],tblRed[Nodo Final],tblMatrizDeAdyacencia[[#Headers],[C6]],tblRed[Activo],1)&gt;0,1,0)</f>
        <v>0</v>
      </c>
      <c r="R31" s="16">
        <f>IF(COUNTIFS(tblRed[Nodo Inicial],tblMatrizDeAdyacencia[[#This Row],[Nodo Orig.\Dest.]],tblRed[Nodo Final],tblMatrizDeAdyacencia[[#Headers],[I1]],tblRed[Activo],1)&gt;0,1,0)</f>
        <v>0</v>
      </c>
      <c r="S31" s="16">
        <f>IF(COUNTIFS(tblRed[Nodo Inicial],tblMatrizDeAdyacencia[[#This Row],[Nodo Orig.\Dest.]],tblRed[Nodo Final],tblMatrizDeAdyacencia[[#Headers],[I2]],tblRed[Activo],1)&gt;0,1,0)</f>
        <v>0</v>
      </c>
      <c r="T31" s="16">
        <f>IF(COUNTIFS(tblRed[Nodo Inicial],tblMatrizDeAdyacencia[[#This Row],[Nodo Orig.\Dest.]],tblRed[Nodo Final],tblMatrizDeAdyacencia[[#Headers],[I3]],tblRed[Activo],1)&gt;0,1,0)</f>
        <v>0</v>
      </c>
      <c r="U31" s="16">
        <f>IF(COUNTIFS(tblRed[Nodo Inicial],tblMatrizDeAdyacencia[[#This Row],[Nodo Orig.\Dest.]],tblRed[Nodo Final],tblMatrizDeAdyacencia[[#Headers],[I4]],tblRed[Activo],1)&gt;0,1,0)</f>
        <v>0</v>
      </c>
      <c r="V31" s="17">
        <f>IF(COUNTIFS(tblRed[Nodo Inicial],tblMatrizDeAdyacencia[[#This Row],[Nodo Orig.\Dest.]],tblRed[Nodo Final],tblMatrizDeAdyacencia[[#Headers],[I5]],tblRed[Activo],1)&gt;0,1,0)</f>
        <v>0</v>
      </c>
      <c r="W31" s="16">
        <f>IF(COUNTIFS(tblRed[Nodo Inicial],tblMatrizDeAdyacencia[[#This Row],[Nodo Orig.\Dest.]],tblRed[Nodo Final],tblMatrizDeAdyacencia[[#Headers],[I6]],tblRed[Activo],1)&gt;0,1,0)</f>
        <v>0</v>
      </c>
      <c r="X31" s="16">
        <f>IF(COUNTIFS(tblRed[Nodo Inicial],tblMatrizDeAdyacencia[[#This Row],[Nodo Orig.\Dest.]],tblRed[Nodo Final],tblMatrizDeAdyacencia[[#Headers],[I7]],tblRed[Activo],1)&gt;0,1,0)</f>
        <v>0</v>
      </c>
      <c r="Y31" s="16">
        <f>IF(COUNTIFS(tblRed[Nodo Inicial],tblMatrizDeAdyacencia[[#This Row],[Nodo Orig.\Dest.]],tblRed[Nodo Final],tblMatrizDeAdyacencia[[#Headers],[I8]],tblRed[Activo],1)&gt;0,1,0)</f>
        <v>0</v>
      </c>
      <c r="Z31" s="16">
        <f>IF(COUNTIFS(tblRed[Nodo Inicial],tblMatrizDeAdyacencia[[#This Row],[Nodo Orig.\Dest.]],tblRed[Nodo Final],tblMatrizDeAdyacencia[[#Headers],[I9]],tblRed[Activo],1)&gt;0,1,0)</f>
        <v>0</v>
      </c>
      <c r="AA31" s="16">
        <f>IF(COUNTIFS(tblRed[Nodo Inicial],tblMatrizDeAdyacencia[[#This Row],[Nodo Orig.\Dest.]],tblRed[Nodo Final],tblMatrizDeAdyacencia[[#Headers],[I10]],tblRed[Activo],1)&gt;0,1,0)</f>
        <v>0</v>
      </c>
      <c r="AB31" s="16">
        <f>IF(COUNTIFS(tblRed[Nodo Inicial],tblMatrizDeAdyacencia[[#This Row],[Nodo Orig.\Dest.]],tblRed[Nodo Final],tblMatrizDeAdyacencia[[#Headers],[I11]],tblRed[Activo],1)&gt;0,1,0)</f>
        <v>0</v>
      </c>
      <c r="AC31" s="16">
        <f>IF(COUNTIFS(tblRed[Nodo Inicial],tblMatrizDeAdyacencia[[#This Row],[Nodo Orig.\Dest.]],tblRed[Nodo Final],tblMatrizDeAdyacencia[[#Headers],[I12]],tblRed[Activo],1)&gt;0,1,0)</f>
        <v>0</v>
      </c>
      <c r="AD31" s="16">
        <f>IF(COUNTIFS(tblRed[Nodo Inicial],tblMatrizDeAdyacencia[[#This Row],[Nodo Orig.\Dest.]],tblRed[Nodo Final],tblMatrizDeAdyacencia[[#Headers],[G1]],tblRed[Activo],1)&gt;0,1,0)</f>
        <v>0</v>
      </c>
      <c r="AE31" s="72">
        <f>IF(COUNTIFS(tblRed[Nodo Inicial],tblMatrizDeAdyacencia[[#This Row],[Nodo Orig.\Dest.]],tblRed[Nodo Final],tblMatrizDeAdyacencia[[#Headers],[G2]],tblRed[Activo],1)&gt;0,1,0)</f>
        <v>0</v>
      </c>
      <c r="AF31" s="16">
        <f>IF(COUNTIFS(tblRed[Nodo Inicial],tblMatrizDeAdyacencia[[#This Row],[Nodo Orig.\Dest.]],tblRed[Nodo Final],tblMatrizDeAdyacencia[[#Headers],[G3]],tblRed[Activo],1)&gt;0,1,0)</f>
        <v>0</v>
      </c>
      <c r="AG31" s="16">
        <f>IF(COUNTIFS(tblRed[Nodo Inicial],tblMatrizDeAdyacencia[[#This Row],[Nodo Orig.\Dest.]],tblRed[Nodo Final],tblMatrizDeAdyacencia[[#Headers],[G4]],tblRed[Activo],1)&gt;0,1,0)</f>
        <v>0</v>
      </c>
      <c r="AH31" s="16">
        <f>IF(COUNTIFS(tblRed[Nodo Inicial],tblMatrizDeAdyacencia[[#This Row],[Nodo Orig.\Dest.]],tblRed[Nodo Final],tblMatrizDeAdyacencia[[#Headers],[D1]],tblRed[Activo],1)&gt;0,1,0)</f>
        <v>1</v>
      </c>
    </row>
    <row r="32" spans="2:34" ht="17.25" customHeight="1" x14ac:dyDescent="0.25">
      <c r="B32" s="48" t="str">
        <f>VLOOKUP(tblMatrizDeAdyacencia[[#This Row],[Nodo Orig.\Dest.]],tblNodos[],2,FALSE)</f>
        <v>Custodia y conversión</v>
      </c>
      <c r="C32" s="49" t="s">
        <v>81</v>
      </c>
      <c r="D32" s="16">
        <f>IF(COUNTIFS(tblRed[Nodo Inicial],tblMatrizDeAdyacencia[[#This Row],[Nodo Orig.\Dest.]],tblRed[Nodo Final],tblMatrizDeAdyacencia[[#Headers],[O1]],tblRed[Activo],1)&gt;0,1,0)</f>
        <v>0</v>
      </c>
      <c r="E32" s="16">
        <f>IF(COUNTIFS(tblRed[Nodo Inicial],tblMatrizDeAdyacencia[[#This Row],[Nodo Orig.\Dest.]],tblRed[Nodo Final],tblMatrizDeAdyacencia[[#Headers],[O2]],tblRed[Activo],1)&gt;0,1,0)</f>
        <v>0</v>
      </c>
      <c r="F32" s="16">
        <f>IF(COUNTIFS(tblRed[Nodo Inicial],tblMatrizDeAdyacencia[[#This Row],[Nodo Orig.\Dest.]],tblRed[Nodo Final],tblMatrizDeAdyacencia[[#Headers],[O3]],tblRed[Activo],1)&gt;0,1,0)</f>
        <v>0</v>
      </c>
      <c r="G32" s="16">
        <f>IF(COUNTIFS(tblRed[Nodo Inicial],tblMatrizDeAdyacencia[[#This Row],[Nodo Orig.\Dest.]],tblRed[Nodo Final],tblMatrizDeAdyacencia[[#Headers],[O4]],tblRed[Activo],1)&gt;0,1,0)</f>
        <v>0</v>
      </c>
      <c r="H32" s="16">
        <f>IF(COUNTIFS(tblRed[Nodo Inicial],tblMatrizDeAdyacencia[[#This Row],[Nodo Orig.\Dest.]],tblRed[Nodo Final],tblMatrizDeAdyacencia[[#Headers],[O5]],tblRed[Activo],1)&gt;0,1,0)</f>
        <v>0</v>
      </c>
      <c r="I32" s="16">
        <f>IF(COUNTIFS(tblRed[Nodo Inicial],tblMatrizDeAdyacencia[[#This Row],[Nodo Orig.\Dest.]],tblRed[Nodo Final],tblMatrizDeAdyacencia[[#Headers],[O6]],tblRed[Activo],1)&gt;0,1,0)</f>
        <v>0</v>
      </c>
      <c r="J32" s="16">
        <f>IF(COUNTIFS(tblRed[Nodo Inicial],tblMatrizDeAdyacencia[[#This Row],[Nodo Orig.\Dest.]],tblRed[Nodo Final],tblMatrizDeAdyacencia[[#Headers],[O7]],tblRed[Activo],1)&gt;0,1,0)</f>
        <v>0</v>
      </c>
      <c r="K32" s="16">
        <f>IF(COUNTIFS(tblRed[Nodo Inicial],tblMatrizDeAdyacencia[[#This Row],[Nodo Orig.\Dest.]],tblRed[Nodo Final],tblMatrizDeAdyacencia[[#Headers],[O8]],tblRed[Activo],1)&gt;0,1,0)</f>
        <v>0</v>
      </c>
      <c r="L32" s="16">
        <f>IF(COUNTIFS(tblRed[Nodo Inicial],tblMatrizDeAdyacencia[[#This Row],[Nodo Orig.\Dest.]],tblRed[Nodo Final],tblMatrizDeAdyacencia[[#Headers],[C1]],tblRed[Activo],1)&gt;0,1,0)</f>
        <v>0</v>
      </c>
      <c r="M32" s="16">
        <f>IF(COUNTIFS(tblRed[Nodo Inicial],tblMatrizDeAdyacencia[[#This Row],[Nodo Orig.\Dest.]],tblRed[Nodo Final],tblMatrizDeAdyacencia[[#Headers],[C2]],tblRed[Activo],1)&gt;0,1,0)</f>
        <v>0</v>
      </c>
      <c r="N32" s="16">
        <f>IF(COUNTIFS(tblRed[Nodo Inicial],tblMatrizDeAdyacencia[[#This Row],[Nodo Orig.\Dest.]],tblRed[Nodo Final],tblMatrizDeAdyacencia[[#Headers],[C3]],tblRed[Activo],1)&gt;0,1,0)</f>
        <v>0</v>
      </c>
      <c r="O32" s="16">
        <f>IF(COUNTIFS(tblRed[Nodo Inicial],tblMatrizDeAdyacencia[[#This Row],[Nodo Orig.\Dest.]],tblRed[Nodo Final],tblMatrizDeAdyacencia[[#Headers],[C4]],tblRed[Activo],1)&gt;0,1,0)</f>
        <v>0</v>
      </c>
      <c r="P32" s="16">
        <f>IF(COUNTIFS(tblRed[Nodo Inicial],tblMatrizDeAdyacencia[[#This Row],[Nodo Orig.\Dest.]],tblRed[Nodo Final],tblMatrizDeAdyacencia[[#Headers],[C5]],tblRed[Activo],1)&gt;0,1,0)</f>
        <v>0</v>
      </c>
      <c r="Q32" s="16">
        <f>IF(COUNTIFS(tblRed[Nodo Inicial],tblMatrizDeAdyacencia[[#This Row],[Nodo Orig.\Dest.]],tblRed[Nodo Final],tblMatrizDeAdyacencia[[#Headers],[C6]],tblRed[Activo],1)&gt;0,1,0)</f>
        <v>0</v>
      </c>
      <c r="R32" s="16">
        <f>IF(COUNTIFS(tblRed[Nodo Inicial],tblMatrizDeAdyacencia[[#This Row],[Nodo Orig.\Dest.]],tblRed[Nodo Final],tblMatrizDeAdyacencia[[#Headers],[I1]],tblRed[Activo],1)&gt;0,1,0)</f>
        <v>0</v>
      </c>
      <c r="S32" s="16">
        <f>IF(COUNTIFS(tblRed[Nodo Inicial],tblMatrizDeAdyacencia[[#This Row],[Nodo Orig.\Dest.]],tblRed[Nodo Final],tblMatrizDeAdyacencia[[#Headers],[I2]],tblRed[Activo],1)&gt;0,1,0)</f>
        <v>0</v>
      </c>
      <c r="T32" s="16">
        <f>IF(COUNTIFS(tblRed[Nodo Inicial],tblMatrizDeAdyacencia[[#This Row],[Nodo Orig.\Dest.]],tblRed[Nodo Final],tblMatrizDeAdyacencia[[#Headers],[I3]],tblRed[Activo],1)&gt;0,1,0)</f>
        <v>0</v>
      </c>
      <c r="U32" s="16">
        <f>IF(COUNTIFS(tblRed[Nodo Inicial],tblMatrizDeAdyacencia[[#This Row],[Nodo Orig.\Dest.]],tblRed[Nodo Final],tblMatrizDeAdyacencia[[#Headers],[I4]],tblRed[Activo],1)&gt;0,1,0)</f>
        <v>0</v>
      </c>
      <c r="V32" s="17">
        <f>IF(COUNTIFS(tblRed[Nodo Inicial],tblMatrizDeAdyacencia[[#This Row],[Nodo Orig.\Dest.]],tblRed[Nodo Final],tblMatrizDeAdyacencia[[#Headers],[I5]],tblRed[Activo],1)&gt;0,1,0)</f>
        <v>0</v>
      </c>
      <c r="W32" s="16">
        <f>IF(COUNTIFS(tblRed[Nodo Inicial],tblMatrizDeAdyacencia[[#This Row],[Nodo Orig.\Dest.]],tblRed[Nodo Final],tblMatrizDeAdyacencia[[#Headers],[I6]],tblRed[Activo],1)&gt;0,1,0)</f>
        <v>0</v>
      </c>
      <c r="X32" s="16">
        <f>IF(COUNTIFS(tblRed[Nodo Inicial],tblMatrizDeAdyacencia[[#This Row],[Nodo Orig.\Dest.]],tblRed[Nodo Final],tblMatrizDeAdyacencia[[#Headers],[I7]],tblRed[Activo],1)&gt;0,1,0)</f>
        <v>0</v>
      </c>
      <c r="Y32" s="16">
        <f>IF(COUNTIFS(tblRed[Nodo Inicial],tblMatrizDeAdyacencia[[#This Row],[Nodo Orig.\Dest.]],tblRed[Nodo Final],tblMatrizDeAdyacencia[[#Headers],[I8]],tblRed[Activo],1)&gt;0,1,0)</f>
        <v>0</v>
      </c>
      <c r="Z32" s="16">
        <f>IF(COUNTIFS(tblRed[Nodo Inicial],tblMatrizDeAdyacencia[[#This Row],[Nodo Orig.\Dest.]],tblRed[Nodo Final],tblMatrizDeAdyacencia[[#Headers],[I9]],tblRed[Activo],1)&gt;0,1,0)</f>
        <v>0</v>
      </c>
      <c r="AA32" s="16">
        <f>IF(COUNTIFS(tblRed[Nodo Inicial],tblMatrizDeAdyacencia[[#This Row],[Nodo Orig.\Dest.]],tblRed[Nodo Final],tblMatrizDeAdyacencia[[#Headers],[I10]],tblRed[Activo],1)&gt;0,1,0)</f>
        <v>0</v>
      </c>
      <c r="AB32" s="16">
        <f>IF(COUNTIFS(tblRed[Nodo Inicial],tblMatrizDeAdyacencia[[#This Row],[Nodo Orig.\Dest.]],tblRed[Nodo Final],tblMatrizDeAdyacencia[[#Headers],[I11]],tblRed[Activo],1)&gt;0,1,0)</f>
        <v>0</v>
      </c>
      <c r="AC32" s="16">
        <f>IF(COUNTIFS(tblRed[Nodo Inicial],tblMatrizDeAdyacencia[[#This Row],[Nodo Orig.\Dest.]],tblRed[Nodo Final],tblMatrizDeAdyacencia[[#Headers],[I12]],tblRed[Activo],1)&gt;0,1,0)</f>
        <v>0</v>
      </c>
      <c r="AD32" s="16">
        <f>IF(COUNTIFS(tblRed[Nodo Inicial],tblMatrizDeAdyacencia[[#This Row],[Nodo Orig.\Dest.]],tblRed[Nodo Final],tblMatrizDeAdyacencia[[#Headers],[G1]],tblRed[Activo],1)&gt;0,1,0)</f>
        <v>0</v>
      </c>
      <c r="AE32" s="16">
        <f>IF(COUNTIFS(tblRed[Nodo Inicial],tblMatrizDeAdyacencia[[#This Row],[Nodo Orig.\Dest.]],tblRed[Nodo Final],tblMatrizDeAdyacencia[[#Headers],[G2]],tblRed[Activo],1)&gt;0,1,0)</f>
        <v>0</v>
      </c>
      <c r="AF32" s="72">
        <f>IF(COUNTIFS(tblRed[Nodo Inicial],tblMatrizDeAdyacencia[[#This Row],[Nodo Orig.\Dest.]],tblRed[Nodo Final],tblMatrizDeAdyacencia[[#Headers],[G3]],tblRed[Activo],1)&gt;0,1,0)</f>
        <v>0</v>
      </c>
      <c r="AG32" s="16">
        <f>IF(COUNTIFS(tblRed[Nodo Inicial],tblMatrizDeAdyacencia[[#This Row],[Nodo Orig.\Dest.]],tblRed[Nodo Final],tblMatrizDeAdyacencia[[#Headers],[G4]],tblRed[Activo],1)&gt;0,1,0)</f>
        <v>0</v>
      </c>
      <c r="AH32" s="16">
        <f>IF(COUNTIFS(tblRed[Nodo Inicial],tblMatrizDeAdyacencia[[#This Row],[Nodo Orig.\Dest.]],tblRed[Nodo Final],tblMatrizDeAdyacencia[[#Headers],[D1]],tblRed[Activo],1)&gt;0,1,0)</f>
        <v>1</v>
      </c>
    </row>
    <row r="33" spans="2:34" ht="17.25" customHeight="1" x14ac:dyDescent="0.25">
      <c r="B33" s="48" t="str">
        <f>VLOOKUP(tblMatrizDeAdyacencia[[#This Row],[Nodo Orig.\Dest.]],tblNodos[],2,FALSE)</f>
        <v>Coordinación de la red y soporte estratégico</v>
      </c>
      <c r="C33" s="49" t="s">
        <v>83</v>
      </c>
      <c r="D33" s="16">
        <f>IF(COUNTIFS(tblRed[Nodo Inicial],tblMatrizDeAdyacencia[[#This Row],[Nodo Orig.\Dest.]],tblRed[Nodo Final],tblMatrizDeAdyacencia[[#Headers],[O1]],tblRed[Activo],1)&gt;0,1,0)</f>
        <v>0</v>
      </c>
      <c r="E33" s="16">
        <f>IF(COUNTIFS(tblRed[Nodo Inicial],tblMatrizDeAdyacencia[[#This Row],[Nodo Orig.\Dest.]],tblRed[Nodo Final],tblMatrizDeAdyacencia[[#Headers],[O2]],tblRed[Activo],1)&gt;0,1,0)</f>
        <v>0</v>
      </c>
      <c r="F33" s="16">
        <f>IF(COUNTIFS(tblRed[Nodo Inicial],tblMatrizDeAdyacencia[[#This Row],[Nodo Orig.\Dest.]],tblRed[Nodo Final],tblMatrizDeAdyacencia[[#Headers],[O3]],tblRed[Activo],1)&gt;0,1,0)</f>
        <v>0</v>
      </c>
      <c r="G33" s="16">
        <f>IF(COUNTIFS(tblRed[Nodo Inicial],tblMatrizDeAdyacencia[[#This Row],[Nodo Orig.\Dest.]],tblRed[Nodo Final],tblMatrizDeAdyacencia[[#Headers],[O4]],tblRed[Activo],1)&gt;0,1,0)</f>
        <v>0</v>
      </c>
      <c r="H33" s="16">
        <f>IF(COUNTIFS(tblRed[Nodo Inicial],tblMatrizDeAdyacencia[[#This Row],[Nodo Orig.\Dest.]],tblRed[Nodo Final],tblMatrizDeAdyacencia[[#Headers],[O5]],tblRed[Activo],1)&gt;0,1,0)</f>
        <v>0</v>
      </c>
      <c r="I33" s="16">
        <f>IF(COUNTIFS(tblRed[Nodo Inicial],tblMatrizDeAdyacencia[[#This Row],[Nodo Orig.\Dest.]],tblRed[Nodo Final],tblMatrizDeAdyacencia[[#Headers],[O6]],tblRed[Activo],1)&gt;0,1,0)</f>
        <v>0</v>
      </c>
      <c r="J33" s="16">
        <f>IF(COUNTIFS(tblRed[Nodo Inicial],tblMatrizDeAdyacencia[[#This Row],[Nodo Orig.\Dest.]],tblRed[Nodo Final],tblMatrizDeAdyacencia[[#Headers],[O7]],tblRed[Activo],1)&gt;0,1,0)</f>
        <v>0</v>
      </c>
      <c r="K33" s="16">
        <f>IF(COUNTIFS(tblRed[Nodo Inicial],tblMatrizDeAdyacencia[[#This Row],[Nodo Orig.\Dest.]],tblRed[Nodo Final],tblMatrizDeAdyacencia[[#Headers],[O8]],tblRed[Activo],1)&gt;0,1,0)</f>
        <v>0</v>
      </c>
      <c r="L33" s="16">
        <f>IF(COUNTIFS(tblRed[Nodo Inicial],tblMatrizDeAdyacencia[[#This Row],[Nodo Orig.\Dest.]],tblRed[Nodo Final],tblMatrizDeAdyacencia[[#Headers],[C1]],tblRed[Activo],1)&gt;0,1,0)</f>
        <v>0</v>
      </c>
      <c r="M33" s="16">
        <f>IF(COUNTIFS(tblRed[Nodo Inicial],tblMatrizDeAdyacencia[[#This Row],[Nodo Orig.\Dest.]],tblRed[Nodo Final],tblMatrizDeAdyacencia[[#Headers],[C2]],tblRed[Activo],1)&gt;0,1,0)</f>
        <v>0</v>
      </c>
      <c r="N33" s="16">
        <f>IF(COUNTIFS(tblRed[Nodo Inicial],tblMatrizDeAdyacencia[[#This Row],[Nodo Orig.\Dest.]],tblRed[Nodo Final],tblMatrizDeAdyacencia[[#Headers],[C3]],tblRed[Activo],1)&gt;0,1,0)</f>
        <v>0</v>
      </c>
      <c r="O33" s="16">
        <f>IF(COUNTIFS(tblRed[Nodo Inicial],tblMatrizDeAdyacencia[[#This Row],[Nodo Orig.\Dest.]],tblRed[Nodo Final],tblMatrizDeAdyacencia[[#Headers],[C4]],tblRed[Activo],1)&gt;0,1,0)</f>
        <v>0</v>
      </c>
      <c r="P33" s="16">
        <f>IF(COUNTIFS(tblRed[Nodo Inicial],tblMatrizDeAdyacencia[[#This Row],[Nodo Orig.\Dest.]],tblRed[Nodo Final],tblMatrizDeAdyacencia[[#Headers],[C5]],tblRed[Activo],1)&gt;0,1,0)</f>
        <v>0</v>
      </c>
      <c r="Q33" s="16">
        <f>IF(COUNTIFS(tblRed[Nodo Inicial],tblMatrizDeAdyacencia[[#This Row],[Nodo Orig.\Dest.]],tblRed[Nodo Final],tblMatrizDeAdyacencia[[#Headers],[C6]],tblRed[Activo],1)&gt;0,1,0)</f>
        <v>0</v>
      </c>
      <c r="R33" s="16">
        <f>IF(COUNTIFS(tblRed[Nodo Inicial],tblMatrizDeAdyacencia[[#This Row],[Nodo Orig.\Dest.]],tblRed[Nodo Final],tblMatrizDeAdyacencia[[#Headers],[I1]],tblRed[Activo],1)&gt;0,1,0)</f>
        <v>0</v>
      </c>
      <c r="S33" s="16">
        <f>IF(COUNTIFS(tblRed[Nodo Inicial],tblMatrizDeAdyacencia[[#This Row],[Nodo Orig.\Dest.]],tblRed[Nodo Final],tblMatrizDeAdyacencia[[#Headers],[I2]],tblRed[Activo],1)&gt;0,1,0)</f>
        <v>0</v>
      </c>
      <c r="T33" s="16">
        <f>IF(COUNTIFS(tblRed[Nodo Inicial],tblMatrizDeAdyacencia[[#This Row],[Nodo Orig.\Dest.]],tblRed[Nodo Final],tblMatrizDeAdyacencia[[#Headers],[I3]],tblRed[Activo],1)&gt;0,1,0)</f>
        <v>0</v>
      </c>
      <c r="U33" s="16">
        <f>IF(COUNTIFS(tblRed[Nodo Inicial],tblMatrizDeAdyacencia[[#This Row],[Nodo Orig.\Dest.]],tblRed[Nodo Final],tblMatrizDeAdyacencia[[#Headers],[I4]],tblRed[Activo],1)&gt;0,1,0)</f>
        <v>0</v>
      </c>
      <c r="V33" s="17">
        <f>IF(COUNTIFS(tblRed[Nodo Inicial],tblMatrizDeAdyacencia[[#This Row],[Nodo Orig.\Dest.]],tblRed[Nodo Final],tblMatrizDeAdyacencia[[#Headers],[I5]],tblRed[Activo],1)&gt;0,1,0)</f>
        <v>0</v>
      </c>
      <c r="W33" s="16">
        <f>IF(COUNTIFS(tblRed[Nodo Inicial],tblMatrizDeAdyacencia[[#This Row],[Nodo Orig.\Dest.]],tblRed[Nodo Final],tblMatrizDeAdyacencia[[#Headers],[I6]],tblRed[Activo],1)&gt;0,1,0)</f>
        <v>0</v>
      </c>
      <c r="X33" s="16">
        <f>IF(COUNTIFS(tblRed[Nodo Inicial],tblMatrizDeAdyacencia[[#This Row],[Nodo Orig.\Dest.]],tblRed[Nodo Final],tblMatrizDeAdyacencia[[#Headers],[I7]],tblRed[Activo],1)&gt;0,1,0)</f>
        <v>0</v>
      </c>
      <c r="Y33" s="16">
        <f>IF(COUNTIFS(tblRed[Nodo Inicial],tblMatrizDeAdyacencia[[#This Row],[Nodo Orig.\Dest.]],tblRed[Nodo Final],tblMatrizDeAdyacencia[[#Headers],[I8]],tblRed[Activo],1)&gt;0,1,0)</f>
        <v>0</v>
      </c>
      <c r="Z33" s="16">
        <f>IF(COUNTIFS(tblRed[Nodo Inicial],tblMatrizDeAdyacencia[[#This Row],[Nodo Orig.\Dest.]],tblRed[Nodo Final],tblMatrizDeAdyacencia[[#Headers],[I9]],tblRed[Activo],1)&gt;0,1,0)</f>
        <v>0</v>
      </c>
      <c r="AA33" s="16">
        <f>IF(COUNTIFS(tblRed[Nodo Inicial],tblMatrizDeAdyacencia[[#This Row],[Nodo Orig.\Dest.]],tblRed[Nodo Final],tblMatrizDeAdyacencia[[#Headers],[I10]],tblRed[Activo],1)&gt;0,1,0)</f>
        <v>0</v>
      </c>
      <c r="AB33" s="16">
        <f>IF(COUNTIFS(tblRed[Nodo Inicial],tblMatrizDeAdyacencia[[#This Row],[Nodo Orig.\Dest.]],tblRed[Nodo Final],tblMatrizDeAdyacencia[[#Headers],[I11]],tblRed[Activo],1)&gt;0,1,0)</f>
        <v>0</v>
      </c>
      <c r="AC33" s="16">
        <f>IF(COUNTIFS(tblRed[Nodo Inicial],tblMatrizDeAdyacencia[[#This Row],[Nodo Orig.\Dest.]],tblRed[Nodo Final],tblMatrizDeAdyacencia[[#Headers],[I12]],tblRed[Activo],1)&gt;0,1,0)</f>
        <v>0</v>
      </c>
      <c r="AD33" s="16">
        <f>IF(COUNTIFS(tblRed[Nodo Inicial],tblMatrizDeAdyacencia[[#This Row],[Nodo Orig.\Dest.]],tblRed[Nodo Final],tblMatrizDeAdyacencia[[#Headers],[G1]],tblRed[Activo],1)&gt;0,1,0)</f>
        <v>0</v>
      </c>
      <c r="AE33" s="16">
        <f>IF(COUNTIFS(tblRed[Nodo Inicial],tblMatrizDeAdyacencia[[#This Row],[Nodo Orig.\Dest.]],tblRed[Nodo Final],tblMatrizDeAdyacencia[[#Headers],[G2]],tblRed[Activo],1)&gt;0,1,0)</f>
        <v>0</v>
      </c>
      <c r="AF33" s="16">
        <f>IF(COUNTIFS(tblRed[Nodo Inicial],tblMatrizDeAdyacencia[[#This Row],[Nodo Orig.\Dest.]],tblRed[Nodo Final],tblMatrizDeAdyacencia[[#Headers],[G3]],tblRed[Activo],1)&gt;0,1,0)</f>
        <v>0</v>
      </c>
      <c r="AG33" s="72">
        <f>IF(COUNTIFS(tblRed[Nodo Inicial],tblMatrizDeAdyacencia[[#This Row],[Nodo Orig.\Dest.]],tblRed[Nodo Final],tblMatrizDeAdyacencia[[#Headers],[G4]],tblRed[Activo],1)&gt;0,1,0)</f>
        <v>0</v>
      </c>
      <c r="AH33" s="16">
        <f>IF(COUNTIFS(tblRed[Nodo Inicial],tblMatrizDeAdyacencia[[#This Row],[Nodo Orig.\Dest.]],tblRed[Nodo Final],tblMatrizDeAdyacencia[[#Headers],[D1]],tblRed[Activo],1)&gt;0,1,0)</f>
        <v>1</v>
      </c>
    </row>
    <row r="34" spans="2:34" ht="17.25" customHeight="1" x14ac:dyDescent="0.25">
      <c r="B34" s="48" t="str">
        <f>VLOOKUP(tblMatrizDeAdyacencia[[#This Row],[Nodo Orig.\Dest.]],tblNodos[],2,FALSE)</f>
        <v>Destino operativo final</v>
      </c>
      <c r="C34" s="49" t="s">
        <v>85</v>
      </c>
      <c r="D34" s="16">
        <f>IF(COUNTIFS(tblRed[Nodo Inicial],tblMatrizDeAdyacencia[[#This Row],[Nodo Orig.\Dest.]],tblRed[Nodo Final],tblMatrizDeAdyacencia[[#Headers],[O1]],tblRed[Activo],1)&gt;0,1,0)</f>
        <v>0</v>
      </c>
      <c r="E34" s="16">
        <f>IF(COUNTIFS(tblRed[Nodo Inicial],tblMatrizDeAdyacencia[[#This Row],[Nodo Orig.\Dest.]],tblRed[Nodo Final],tblMatrizDeAdyacencia[[#Headers],[O2]],tblRed[Activo],1)&gt;0,1,0)</f>
        <v>0</v>
      </c>
      <c r="F34" s="16">
        <f>IF(COUNTIFS(tblRed[Nodo Inicial],tblMatrizDeAdyacencia[[#This Row],[Nodo Orig.\Dest.]],tblRed[Nodo Final],tblMatrizDeAdyacencia[[#Headers],[O3]],tblRed[Activo],1)&gt;0,1,0)</f>
        <v>0</v>
      </c>
      <c r="G34" s="16">
        <f>IF(COUNTIFS(tblRed[Nodo Inicial],tblMatrizDeAdyacencia[[#This Row],[Nodo Orig.\Dest.]],tblRed[Nodo Final],tblMatrizDeAdyacencia[[#Headers],[O4]],tblRed[Activo],1)&gt;0,1,0)</f>
        <v>0</v>
      </c>
      <c r="H34" s="16">
        <f>IF(COUNTIFS(tblRed[Nodo Inicial],tblMatrizDeAdyacencia[[#This Row],[Nodo Orig.\Dest.]],tblRed[Nodo Final],tblMatrizDeAdyacencia[[#Headers],[O5]],tblRed[Activo],1)&gt;0,1,0)</f>
        <v>0</v>
      </c>
      <c r="I34" s="16">
        <f>IF(COUNTIFS(tblRed[Nodo Inicial],tblMatrizDeAdyacencia[[#This Row],[Nodo Orig.\Dest.]],tblRed[Nodo Final],tblMatrizDeAdyacencia[[#Headers],[O6]],tblRed[Activo],1)&gt;0,1,0)</f>
        <v>0</v>
      </c>
      <c r="J34" s="16">
        <f>IF(COUNTIFS(tblRed[Nodo Inicial],tblMatrizDeAdyacencia[[#This Row],[Nodo Orig.\Dest.]],tblRed[Nodo Final],tblMatrizDeAdyacencia[[#Headers],[O7]],tblRed[Activo],1)&gt;0,1,0)</f>
        <v>0</v>
      </c>
      <c r="K34" s="16">
        <f>IF(COUNTIFS(tblRed[Nodo Inicial],tblMatrizDeAdyacencia[[#This Row],[Nodo Orig.\Dest.]],tblRed[Nodo Final],tblMatrizDeAdyacencia[[#Headers],[O8]],tblRed[Activo],1)&gt;0,1,0)</f>
        <v>0</v>
      </c>
      <c r="L34" s="16">
        <f>IF(COUNTIFS(tblRed[Nodo Inicial],tblMatrizDeAdyacencia[[#This Row],[Nodo Orig.\Dest.]],tblRed[Nodo Final],tblMatrizDeAdyacencia[[#Headers],[C1]],tblRed[Activo],1)&gt;0,1,0)</f>
        <v>0</v>
      </c>
      <c r="M34" s="16">
        <f>IF(COUNTIFS(tblRed[Nodo Inicial],tblMatrizDeAdyacencia[[#This Row],[Nodo Orig.\Dest.]],tblRed[Nodo Final],tblMatrizDeAdyacencia[[#Headers],[C2]],tblRed[Activo],1)&gt;0,1,0)</f>
        <v>0</v>
      </c>
      <c r="N34" s="16">
        <f>IF(COUNTIFS(tblRed[Nodo Inicial],tblMatrizDeAdyacencia[[#This Row],[Nodo Orig.\Dest.]],tblRed[Nodo Final],tblMatrizDeAdyacencia[[#Headers],[C3]],tblRed[Activo],1)&gt;0,1,0)</f>
        <v>0</v>
      </c>
      <c r="O34" s="16">
        <f>IF(COUNTIFS(tblRed[Nodo Inicial],tblMatrizDeAdyacencia[[#This Row],[Nodo Orig.\Dest.]],tblRed[Nodo Final],tblMatrizDeAdyacencia[[#Headers],[C4]],tblRed[Activo],1)&gt;0,1,0)</f>
        <v>0</v>
      </c>
      <c r="P34" s="16">
        <f>IF(COUNTIFS(tblRed[Nodo Inicial],tblMatrizDeAdyacencia[[#This Row],[Nodo Orig.\Dest.]],tblRed[Nodo Final],tblMatrizDeAdyacencia[[#Headers],[C5]],tblRed[Activo],1)&gt;0,1,0)</f>
        <v>0</v>
      </c>
      <c r="Q34" s="16">
        <f>IF(COUNTIFS(tblRed[Nodo Inicial],tblMatrizDeAdyacencia[[#This Row],[Nodo Orig.\Dest.]],tblRed[Nodo Final],tblMatrizDeAdyacencia[[#Headers],[C6]],tblRed[Activo],1)&gt;0,1,0)</f>
        <v>0</v>
      </c>
      <c r="R34" s="16">
        <f>IF(COUNTIFS(tblRed[Nodo Inicial],tblMatrizDeAdyacencia[[#This Row],[Nodo Orig.\Dest.]],tblRed[Nodo Final],tblMatrizDeAdyacencia[[#Headers],[I1]],tblRed[Activo],1)&gt;0,1,0)</f>
        <v>0</v>
      </c>
      <c r="S34" s="16">
        <f>IF(COUNTIFS(tblRed[Nodo Inicial],tblMatrizDeAdyacencia[[#This Row],[Nodo Orig.\Dest.]],tblRed[Nodo Final],tblMatrizDeAdyacencia[[#Headers],[I2]],tblRed[Activo],1)&gt;0,1,0)</f>
        <v>0</v>
      </c>
      <c r="T34" s="16">
        <f>IF(COUNTIFS(tblRed[Nodo Inicial],tblMatrizDeAdyacencia[[#This Row],[Nodo Orig.\Dest.]],tblRed[Nodo Final],tblMatrizDeAdyacencia[[#Headers],[I3]],tblRed[Activo],1)&gt;0,1,0)</f>
        <v>0</v>
      </c>
      <c r="U34" s="16">
        <f>IF(COUNTIFS(tblRed[Nodo Inicial],tblMatrizDeAdyacencia[[#This Row],[Nodo Orig.\Dest.]],tblRed[Nodo Final],tblMatrizDeAdyacencia[[#Headers],[I4]],tblRed[Activo],1)&gt;0,1,0)</f>
        <v>0</v>
      </c>
      <c r="V34" s="17">
        <f>IF(COUNTIFS(tblRed[Nodo Inicial],tblMatrizDeAdyacencia[[#This Row],[Nodo Orig.\Dest.]],tblRed[Nodo Final],tblMatrizDeAdyacencia[[#Headers],[I5]],tblRed[Activo],1)&gt;0,1,0)</f>
        <v>0</v>
      </c>
      <c r="W34" s="18">
        <f>IF(COUNTIFS(tblRed[Nodo Inicial],tblMatrizDeAdyacencia[[#This Row],[Nodo Orig.\Dest.]],tblRed[Nodo Final],tblMatrizDeAdyacencia[[#Headers],[I6]],tblRed[Activo],1)&gt;0,1,0)</f>
        <v>0</v>
      </c>
      <c r="X34" s="18">
        <f>IF(COUNTIFS(tblRed[Nodo Inicial],tblMatrizDeAdyacencia[[#This Row],[Nodo Orig.\Dest.]],tblRed[Nodo Final],tblMatrizDeAdyacencia[[#Headers],[I7]],tblRed[Activo],1)&gt;0,1,0)</f>
        <v>0</v>
      </c>
      <c r="Y34" s="18">
        <f>IF(COUNTIFS(tblRed[Nodo Inicial],tblMatrizDeAdyacencia[[#This Row],[Nodo Orig.\Dest.]],tblRed[Nodo Final],tblMatrizDeAdyacencia[[#Headers],[I8]],tblRed[Activo],1)&gt;0,1,0)</f>
        <v>0</v>
      </c>
      <c r="Z34" s="18">
        <f>IF(COUNTIFS(tblRed[Nodo Inicial],tblMatrizDeAdyacencia[[#This Row],[Nodo Orig.\Dest.]],tblRed[Nodo Final],tblMatrizDeAdyacencia[[#Headers],[I9]],tblRed[Activo],1)&gt;0,1,0)</f>
        <v>0</v>
      </c>
      <c r="AA34" s="18">
        <f>IF(COUNTIFS(tblRed[Nodo Inicial],tblMatrizDeAdyacencia[[#This Row],[Nodo Orig.\Dest.]],tblRed[Nodo Final],tblMatrizDeAdyacencia[[#Headers],[I10]],tblRed[Activo],1)&gt;0,1,0)</f>
        <v>0</v>
      </c>
      <c r="AB34" s="18">
        <f>IF(COUNTIFS(tblRed[Nodo Inicial],tblMatrizDeAdyacencia[[#This Row],[Nodo Orig.\Dest.]],tblRed[Nodo Final],tblMatrizDeAdyacencia[[#Headers],[I11]],tblRed[Activo],1)&gt;0,1,0)</f>
        <v>0</v>
      </c>
      <c r="AC34" s="18">
        <f>IF(COUNTIFS(tblRed[Nodo Inicial],tblMatrizDeAdyacencia[[#This Row],[Nodo Orig.\Dest.]],tblRed[Nodo Final],tblMatrizDeAdyacencia[[#Headers],[I12]],tblRed[Activo],1)&gt;0,1,0)</f>
        <v>0</v>
      </c>
      <c r="AD34" s="18">
        <f>IF(COUNTIFS(tblRed[Nodo Inicial],tblMatrizDeAdyacencia[[#This Row],[Nodo Orig.\Dest.]],tblRed[Nodo Final],tblMatrizDeAdyacencia[[#Headers],[G1]],tblRed[Activo],1)&gt;0,1,0)</f>
        <v>0</v>
      </c>
      <c r="AE34" s="18">
        <f>IF(COUNTIFS(tblRed[Nodo Inicial],tblMatrizDeAdyacencia[[#This Row],[Nodo Orig.\Dest.]],tblRed[Nodo Final],tblMatrizDeAdyacencia[[#Headers],[G2]],tblRed[Activo],1)&gt;0,1,0)</f>
        <v>0</v>
      </c>
      <c r="AF34" s="18">
        <f>IF(COUNTIFS(tblRed[Nodo Inicial],tblMatrizDeAdyacencia[[#This Row],[Nodo Orig.\Dest.]],tblRed[Nodo Final],tblMatrizDeAdyacencia[[#Headers],[G3]],tblRed[Activo],1)&gt;0,1,0)</f>
        <v>0</v>
      </c>
      <c r="AG34" s="18">
        <f>IF(COUNTIFS(tblRed[Nodo Inicial],tblMatrizDeAdyacencia[[#This Row],[Nodo Orig.\Dest.]],tblRed[Nodo Final],tblMatrizDeAdyacencia[[#Headers],[G4]],tblRed[Activo],1)&gt;0,1,0)</f>
        <v>0</v>
      </c>
      <c r="AH34" s="74">
        <f>IF(COUNTIFS(tblRed[Nodo Inicial],tblMatrizDeAdyacencia[[#This Row],[Nodo Orig.\Dest.]],tblRed[Nodo Final],tblMatrizDeAdyacencia[[#Headers],[D1]],tblRed[Activo],1)&gt;0,1,0)</f>
        <v>0</v>
      </c>
    </row>
    <row r="38" spans="2:34" ht="17.25" customHeight="1" x14ac:dyDescent="0.25">
      <c r="B38" s="15" t="s">
        <v>473</v>
      </c>
    </row>
    <row r="39" spans="2:34" ht="17.25" customHeight="1" x14ac:dyDescent="0.25">
      <c r="B39" s="15" t="s">
        <v>474</v>
      </c>
    </row>
  </sheetData>
  <mergeCells count="1">
    <mergeCell ref="B2:C2"/>
  </mergeCells>
  <conditionalFormatting sqref="D4:AH34">
    <cfRule type="expression" dxfId="266" priority="1" stopIfTrue="1">
      <formula>COLUMN()-COLUMN($D$4)=ROW()-ROW($D$4)</formula>
    </cfRule>
    <cfRule type="cellIs" dxfId="265" priority="2" stopIfTrue="1" operator="notEqual">
      <formula>0</formula>
    </cfRule>
    <cfRule type="cellIs" dxfId="264" priority="3" operator="equal">
      <formula>0</formula>
    </cfRule>
  </conditionalFormatting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B2:AH34"/>
  <sheetViews>
    <sheetView showGridLines="0" zoomScale="85" zoomScaleNormal="85" workbookViewId="0">
      <selection activeCell="P14" sqref="P14"/>
    </sheetView>
  </sheetViews>
  <sheetFormatPr baseColWidth="10" defaultColWidth="9.140625" defaultRowHeight="17.25" customHeight="1" x14ac:dyDescent="0.25"/>
  <cols>
    <col min="1" max="1" width="9.140625" style="3" customWidth="1"/>
    <col min="2" max="2" width="32.140625" style="3" customWidth="1"/>
    <col min="3" max="3" width="12" style="3" customWidth="1"/>
    <col min="4" max="34" width="5.28515625" style="3" customWidth="1"/>
    <col min="35" max="16384" width="9.140625" style="3"/>
  </cols>
  <sheetData>
    <row r="2" spans="2:34" s="8" customFormat="1" ht="78" customHeight="1" x14ac:dyDescent="0.25">
      <c r="B2" s="123" t="s">
        <v>475</v>
      </c>
      <c r="C2" s="124"/>
      <c r="D2" s="71" t="str">
        <f>VLOOKUP(tblMatrizPonderadaCostes[[#Headers],[O1]],tblNodos[],2,FALSE)</f>
        <v>Recursos personales lícitos</v>
      </c>
      <c r="E2" s="71" t="str">
        <f>VLOOKUP(tblMatrizPonderadaCostes[[#Headers],[O2]],tblNodos[],2,FALSE)</f>
        <v>Donaciones y apoyo individual / comunitario</v>
      </c>
      <c r="F2" s="71" t="str">
        <f>VLOOKUP(tblMatrizPonderadaCostes[[#Headers],[O3]],tblNodos[],2,FALSE)</f>
        <v>Actividad comercial y empresarial</v>
      </c>
      <c r="G2" s="71" t="str">
        <f>VLOOKUP(tblMatrizPonderadaCostes[[#Headers],[O4]],tblNodos[],2,FALSE)</f>
        <v>Financiación mediante coerción y exacción</v>
      </c>
      <c r="H2" s="71" t="str">
        <f>VLOOKUP(tblMatrizPonderadaCostes[[#Headers],[O5]],tblNodos[],2,FALSE)</f>
        <v>Explotación de personas y movilidad forzada</v>
      </c>
      <c r="I2" s="71" t="str">
        <f>VLOOKUP(tblMatrizPonderadaCostes[[#Headers],[O6]],tblNodos[],2,FALSE)</f>
        <v>Actividades criminales y mercados ilícitos</v>
      </c>
      <c r="J2" s="71" t="str">
        <f>VLOOKUP(tblMatrizPonderadaCostes[[#Headers],[O7]],tblNodos[],2,FALSE)</f>
        <v>Explotación de recursos naturales</v>
      </c>
      <c r="K2" s="71" t="str">
        <f>VLOOKUP(tblMatrizPonderadaCostes[[#Headers],[O8]],tblNodos[],2,FALSE)</f>
        <v>Valor digital</v>
      </c>
      <c r="L2" s="71" t="str">
        <f>VLOOKUP(tblMatrizPonderadaCostes[[#Headers],[C1]],tblNodos[],2,FALSE)</f>
        <v>Recaudación directa</v>
      </c>
      <c r="M2" s="71" t="str">
        <f>VLOOKUP(tblMatrizPonderadaCostes[[#Headers],[C2]],tblNodos[],2,FALSE)</f>
        <v>Agregadores de fondos</v>
      </c>
      <c r="N2" s="71" t="str">
        <f>VLOOKUP(tblMatrizPonderadaCostes[[#Headers],[C3]],tblNodos[],2,FALSE)</f>
        <v>Estructuras organizadas de captación</v>
      </c>
      <c r="O2" s="71" t="str">
        <f>VLOOKUP(tblMatrizPonderadaCostes[[#Headers],[C4]],tblNodos[],2,FALSE)</f>
        <v>Colectores digitales instrumentales</v>
      </c>
      <c r="P2" s="71" t="str">
        <f>VLOOKUP(tblMatrizPonderadaCostes[[#Headers],[C5]],tblNodos[],2,FALSE)</f>
        <v>Colectores empresariales y vehiculares</v>
      </c>
      <c r="Q2" s="71" t="str">
        <f>VLOOKUP(tblMatrizPonderadaCostes[[#Headers],[C6]],tblNodos[],2,FALSE)</f>
        <v>Colectores instrumentales / de ocultación</v>
      </c>
      <c r="R2" s="71" t="str">
        <f>VLOOKUP(tblMatrizPonderadaCostes[[#Headers],[I1]],tblNodos[],2,FALSE)</f>
        <v>Intermediarios físicos de transporte de valor</v>
      </c>
      <c r="S2" s="71" t="str">
        <f>VLOOKUP(tblMatrizPonderadaCostes[[#Headers],[I2]],tblNodos[],2,FALSE)</f>
        <v>Intermediarios informales y paralelos</v>
      </c>
      <c r="T2" s="71" t="str">
        <f>VLOOKUP(tblMatrizPonderadaCostes[[#Headers],[I3]],tblNodos[],2,FALSE)</f>
        <v>Intermediarios MVTS y remesas</v>
      </c>
      <c r="U2" s="71" t="str">
        <f>VLOOKUP(tblMatrizPonderadaCostes[[#Headers],[I4]],tblNodos[],2,FALSE)</f>
        <v>Intermediarios de dinero móvil</v>
      </c>
      <c r="V2" s="71" t="str">
        <f>VLOOKUP(tblMatrizPonderadaCostes[[#Headers],[I5]],tblNodos[],2,FALSE)</f>
        <v>Intermediarios bancarios formales</v>
      </c>
      <c r="W2" s="71" t="str">
        <f>VLOOKUP(tblMatrizPonderadaCostes[[#Headers],[I6]],tblNodos[],2,FALSE)</f>
        <v>Intermediarios de pago digital (PSP /FinTech)</v>
      </c>
      <c r="X2" s="71" t="str">
        <f>VLOOKUP(tblMatrizPonderadaCostes[[#Headers],[I7]],tblNodos[],2,FALSE)</f>
        <v>Intermediarios de activos virtuales y conversión</v>
      </c>
      <c r="Y2" s="71" t="str">
        <f>VLOOKUP(tblMatrizPonderadaCostes[[#Headers],[I8]],tblNodos[],2,FALSE)</f>
        <v>Intermediarios comerciales y transaccionales</v>
      </c>
      <c r="Z2" s="71" t="str">
        <f>VLOOKUP(tblMatrizPonderadaCostes[[#Headers],[I9]],tblNodos[],2,FALSE)</f>
        <v>Intermediarios logísticos del contrabando</v>
      </c>
      <c r="AA2" s="71" t="str">
        <f>VLOOKUP(tblMatrizPonderadaCostes[[#Headers],[I10]],tblNodos[],2,FALSE)</f>
        <v>Intermediarios financeros especializados</v>
      </c>
      <c r="AB2" s="71" t="str">
        <f>VLOOKUP(tblMatrizPonderadaCostes[[#Headers],[I11]],tblNodos[],2,FALSE)</f>
        <v>Intermediarios operativos y de cobertura</v>
      </c>
      <c r="AC2" s="71" t="str">
        <f>VLOOKUP(tblMatrizPonderadaCostes[[#Headers],[I12]],tblNodos[],2,FALSE)</f>
        <v>Intermediarios de negociación y rescate</v>
      </c>
      <c r="AD2" s="71" t="str">
        <f>VLOOKUP(tblMatrizPonderadaCostes[[#Headers],[G1]],tblNodos[],2,FALSE)</f>
        <v>Dirección financiera</v>
      </c>
      <c r="AE2" s="71" t="str">
        <f>VLOOKUP(tblMatrizPonderadaCostes[[#Headers],[G2]],tblNodos[],2,FALSE)</f>
        <v>Gestión operativa descentralizada</v>
      </c>
      <c r="AF2" s="71" t="str">
        <f>VLOOKUP(tblMatrizPonderadaCostes[[#Headers],[G3]],tblNodos[],2,FALSE)</f>
        <v>Custodia y conversión</v>
      </c>
      <c r="AG2" s="71" t="str">
        <f>VLOOKUP(tblMatrizPonderadaCostes[[#Headers],[G4]],tblNodos[],2,FALSE)</f>
        <v>Coordinación de la red y soporte estratégico</v>
      </c>
      <c r="AH2" s="71" t="str">
        <f>VLOOKUP(tblMatrizPonderadaCostes[[#Headers],[D1]],tblNodos[],2,FALSE)</f>
        <v>Destino operativo final</v>
      </c>
    </row>
    <row r="3" spans="2:34" ht="33" customHeight="1" x14ac:dyDescent="0.25">
      <c r="B3" s="5" t="s">
        <v>472</v>
      </c>
      <c r="C3" s="23" t="s">
        <v>486</v>
      </c>
      <c r="D3" s="4" t="s">
        <v>25</v>
      </c>
      <c r="E3" s="4" t="s">
        <v>27</v>
      </c>
      <c r="F3" s="4" t="s">
        <v>29</v>
      </c>
      <c r="G3" s="4" t="s">
        <v>31</v>
      </c>
      <c r="H3" s="4" t="s">
        <v>33</v>
      </c>
      <c r="I3" s="4" t="s">
        <v>35</v>
      </c>
      <c r="J3" s="4" t="s">
        <v>37</v>
      </c>
      <c r="K3" s="4" t="s">
        <v>39</v>
      </c>
      <c r="L3" s="4" t="s">
        <v>41</v>
      </c>
      <c r="M3" s="4" t="s">
        <v>43</v>
      </c>
      <c r="N3" s="4" t="s">
        <v>45</v>
      </c>
      <c r="O3" s="4" t="s">
        <v>47</v>
      </c>
      <c r="P3" s="4" t="s">
        <v>49</v>
      </c>
      <c r="Q3" s="4" t="s">
        <v>51</v>
      </c>
      <c r="R3" s="4" t="s">
        <v>53</v>
      </c>
      <c r="S3" s="4" t="s">
        <v>55</v>
      </c>
      <c r="T3" s="4" t="s">
        <v>57</v>
      </c>
      <c r="U3" s="4" t="s">
        <v>59</v>
      </c>
      <c r="V3" s="6" t="s">
        <v>61</v>
      </c>
      <c r="W3" s="21" t="s">
        <v>63</v>
      </c>
      <c r="X3" s="21" t="s">
        <v>65</v>
      </c>
      <c r="Y3" s="21" t="s">
        <v>67</v>
      </c>
      <c r="Z3" s="21" t="s">
        <v>69</v>
      </c>
      <c r="AA3" s="21" t="s">
        <v>71</v>
      </c>
      <c r="AB3" s="21" t="s">
        <v>73</v>
      </c>
      <c r="AC3" s="21" t="s">
        <v>75</v>
      </c>
      <c r="AD3" s="21" t="s">
        <v>77</v>
      </c>
      <c r="AE3" s="21" t="s">
        <v>79</v>
      </c>
      <c r="AF3" s="21" t="s">
        <v>81</v>
      </c>
      <c r="AG3" s="21" t="s">
        <v>83</v>
      </c>
      <c r="AH3" s="21" t="s">
        <v>85</v>
      </c>
    </row>
    <row r="4" spans="2:34" ht="14.25" customHeight="1" x14ac:dyDescent="0.25">
      <c r="B4" s="7" t="str">
        <f>VLOOKUP(tblMatrizPonderadaCostes[[#This Row],[Nodo Orig.\Dest.]],tblNodos[],2,FALSE)</f>
        <v>Recursos personales lícitos</v>
      </c>
      <c r="C4" s="4" t="s">
        <v>25</v>
      </c>
      <c r="D4" s="82">
        <f>IF(MatrizDeAdyacencia!D4=1, SUMIFS(tblRed[COSTE], tblRed[Nodo Inicial], $C4, tblRed[Nodo Final], D$3, tblRed[Activo], 1), 0)</f>
        <v>0</v>
      </c>
      <c r="E4" s="77">
        <f>IF(MatrizDeAdyacencia!E4=1, SUMIFS(tblRed[COSTE], tblRed[Nodo Inicial], $C4, tblRed[Nodo Final], E$3, tblRed[Activo], 1), 0)</f>
        <v>0</v>
      </c>
      <c r="F4" s="77">
        <f>IF(MatrizDeAdyacencia!F4=1, SUMIFS(tblRed[COSTE], tblRed[Nodo Inicial], $C4, tblRed[Nodo Final], F$3, tblRed[Activo], 1), 0)</f>
        <v>0</v>
      </c>
      <c r="G4" s="77">
        <f>IF(MatrizDeAdyacencia!G4=1, SUMIFS(tblRed[COSTE], tblRed[Nodo Inicial], $C4, tblRed[Nodo Final], G$3, tblRed[Activo], 1), 0)</f>
        <v>0</v>
      </c>
      <c r="H4" s="77">
        <f>IF(MatrizDeAdyacencia!H4=1, SUMIFS(tblRed[COSTE], tblRed[Nodo Inicial], $C4, tblRed[Nodo Final], H$3, tblRed[Activo], 1), 0)</f>
        <v>0</v>
      </c>
      <c r="I4" s="77">
        <f>IF(MatrizDeAdyacencia!I4=1, SUMIFS(tblRed[COSTE], tblRed[Nodo Inicial], $C4, tblRed[Nodo Final], I$3, tblRed[Activo], 1), 0)</f>
        <v>0</v>
      </c>
      <c r="J4" s="77">
        <f>IF(MatrizDeAdyacencia!J4=1, SUMIFS(tblRed[COSTE], tblRed[Nodo Inicial], $C4, tblRed[Nodo Final], J$3, tblRed[Activo], 1), 0)</f>
        <v>0</v>
      </c>
      <c r="K4" s="77">
        <f>IF(MatrizDeAdyacencia!K4=1, SUMIFS(tblRed[COSTE], tblRed[Nodo Inicial], $C4, tblRed[Nodo Final], K$3, tblRed[Activo], 1), 0)</f>
        <v>0</v>
      </c>
      <c r="L4" s="77">
        <f>IF(MatrizDeAdyacencia!L4=1, SUMIFS(tblRed[COSTE], tblRed[Nodo Inicial], $C4, tblRed[Nodo Final], L$3, tblRed[Activo], 1), 0)</f>
        <v>0</v>
      </c>
      <c r="M4" s="77">
        <f>IF(MatrizDeAdyacencia!M4=1, SUMIFS(tblRed[COSTE], tblRed[Nodo Inicial], $C4, tblRed[Nodo Final], M$3, tblRed[Activo], 1), 0)</f>
        <v>0</v>
      </c>
      <c r="N4" s="77">
        <f>IF(MatrizDeAdyacencia!N4=1, SUMIFS(tblRed[COSTE], tblRed[Nodo Inicial], $C4, tblRed[Nodo Final], N$3, tblRed[Activo], 1), 0)</f>
        <v>0</v>
      </c>
      <c r="O4" s="77">
        <f>IF(MatrizDeAdyacencia!O4=1, SUMIFS(tblRed[COSTE], tblRed[Nodo Inicial], $C4, tblRed[Nodo Final], O$3, tblRed[Activo], 1), 0)</f>
        <v>5</v>
      </c>
      <c r="P4" s="77">
        <f>IF(MatrizDeAdyacencia!P4=1, SUMIFS(tblRed[COSTE], tblRed[Nodo Inicial], $C4, tblRed[Nodo Final], P$3, tblRed[Activo], 1), 0)</f>
        <v>0</v>
      </c>
      <c r="Q4" s="77">
        <f>IF(MatrizDeAdyacencia!Q4=1, SUMIFS(tblRed[COSTE], tblRed[Nodo Inicial], $C4, tblRed[Nodo Final], Q$3, tblRed[Activo], 1), 0)</f>
        <v>0</v>
      </c>
      <c r="R4" s="77">
        <f>IF(MatrizDeAdyacencia!R4=1, SUMIFS(tblRed[COSTE], tblRed[Nodo Inicial], $C4, tblRed[Nodo Final], R$3, tblRed[Activo], 1), 0)</f>
        <v>0</v>
      </c>
      <c r="S4" s="77">
        <f>IF(MatrizDeAdyacencia!S4=1, SUMIFS(tblRed[COSTE], tblRed[Nodo Inicial], $C4, tblRed[Nodo Final], S$3, tblRed[Activo], 1), 0)</f>
        <v>0</v>
      </c>
      <c r="T4" s="77">
        <f>IF(MatrizDeAdyacencia!T4=1, SUMIFS(tblRed[COSTE], tblRed[Nodo Inicial], $C4, tblRed[Nodo Final], T$3, tblRed[Activo], 1), 0)</f>
        <v>0</v>
      </c>
      <c r="U4" s="77">
        <f>IF(MatrizDeAdyacencia!U4=1, SUMIFS(tblRed[COSTE], tblRed[Nodo Inicial], $C4, tblRed[Nodo Final], U$3, tblRed[Activo], 1), 0)</f>
        <v>0</v>
      </c>
      <c r="V4" s="79">
        <f>IF(MatrizDeAdyacencia!V4=1, SUMIFS(tblRed[COSTE], tblRed[Nodo Inicial], $C4, tblRed[Nodo Final], V$3, tblRed[Activo], 1), 0)</f>
        <v>4.25</v>
      </c>
      <c r="W4" s="78">
        <f>IF(MatrizDeAdyacencia!W4=1, SUMIFS(tblRed[COSTE], tblRed[Nodo Inicial], $C4, tblRed[Nodo Final], W$3, tblRed[Activo], 1), 0)</f>
        <v>0</v>
      </c>
      <c r="X4" s="78">
        <f>IF(MatrizDeAdyacencia!X4=1, SUMIFS(tblRed[COSTE], tblRed[Nodo Inicial], $C4, tblRed[Nodo Final], X$3, tblRed[Activo], 1), 0)</f>
        <v>0</v>
      </c>
      <c r="Y4" s="78">
        <f>IF(MatrizDeAdyacencia!Y4=1, SUMIFS(tblRed[COSTE], tblRed[Nodo Inicial], $C4, tblRed[Nodo Final], Y$3, tblRed[Activo], 1), 0)</f>
        <v>0</v>
      </c>
      <c r="Z4" s="78">
        <f>IF(MatrizDeAdyacencia!Z4=1, SUMIFS(tblRed[COSTE], tblRed[Nodo Inicial], $C4, tblRed[Nodo Final], Z$3, tblRed[Activo], 1), 0)</f>
        <v>0</v>
      </c>
      <c r="AA4" s="78">
        <f>IF(MatrizDeAdyacencia!AA4=1, SUMIFS(tblRed[COSTE], tblRed[Nodo Inicial], $C4, tblRed[Nodo Final], AA$3, tblRed[Activo], 1), 0)</f>
        <v>0</v>
      </c>
      <c r="AB4" s="78">
        <f>IF(MatrizDeAdyacencia!AB4=1, SUMIFS(tblRed[COSTE], tblRed[Nodo Inicial], $C4, tblRed[Nodo Final], AB$3, tblRed[Activo], 1), 0)</f>
        <v>0</v>
      </c>
      <c r="AC4" s="78">
        <f>IF(MatrizDeAdyacencia!AC4=1, SUMIFS(tblRed[COSTE], tblRed[Nodo Inicial], $C4, tblRed[Nodo Final], AC$3, tblRed[Activo], 1), 0)</f>
        <v>0</v>
      </c>
      <c r="AD4" s="78">
        <f>IF(MatrizDeAdyacencia!AD4=1, SUMIFS(tblRed[COSTE], tblRed[Nodo Inicial], $C4, tblRed[Nodo Final], AD$3, tblRed[Activo], 1), 0)</f>
        <v>0</v>
      </c>
      <c r="AE4" s="78">
        <f>IF(MatrizDeAdyacencia!AE4=1, SUMIFS(tblRed[COSTE], tblRed[Nodo Inicial], $C4, tblRed[Nodo Final], AE$3, tblRed[Activo], 1), 0)</f>
        <v>0</v>
      </c>
      <c r="AF4" s="78">
        <f>IF(MatrizDeAdyacencia!AF4=1, SUMIFS(tblRed[COSTE], tblRed[Nodo Inicial], $C4, tblRed[Nodo Final], AF$3, tblRed[Activo], 1), 0)</f>
        <v>0</v>
      </c>
      <c r="AG4" s="78">
        <f>IF(MatrizDeAdyacencia!AG4=1, SUMIFS(tblRed[COSTE], tblRed[Nodo Inicial], $C4, tblRed[Nodo Final], AG$3, tblRed[Activo], 1), 0)</f>
        <v>0</v>
      </c>
      <c r="AH4" s="78">
        <f>IF(MatrizDeAdyacencia!AH4=1, SUMIFS(tblRed[COSTE], tblRed[Nodo Inicial], $C4, tblRed[Nodo Final], AH$3, tblRed[Activo], 1), 0)</f>
        <v>0</v>
      </c>
    </row>
    <row r="5" spans="2:34" ht="14.25" customHeight="1" x14ac:dyDescent="0.25">
      <c r="B5" s="8" t="str">
        <f>VLOOKUP(tblMatrizPonderadaCostes[[#This Row],[Nodo Orig.\Dest.]],tblNodos[],2,FALSE)</f>
        <v>Donaciones y apoyo individual / comunitario</v>
      </c>
      <c r="C5" s="4" t="s">
        <v>27</v>
      </c>
      <c r="D5" s="77">
        <f>IF(MatrizDeAdyacencia!D5=1, SUMIFS(tblRed[COSTE], tblRed[Nodo Inicial], $C5, tblRed[Nodo Final], D$3, tblRed[Activo], 1), 0)</f>
        <v>0</v>
      </c>
      <c r="E5" s="82">
        <f>IF(MatrizDeAdyacencia!E5=1, SUMIFS(tblRed[COSTE], tblRed[Nodo Inicial], $C5, tblRed[Nodo Final], E$3, tblRed[Activo], 1), 0)</f>
        <v>0</v>
      </c>
      <c r="F5" s="77">
        <f>IF(MatrizDeAdyacencia!F5=1, SUMIFS(tblRed[COSTE], tblRed[Nodo Inicial], $C5, tblRed[Nodo Final], F$3, tblRed[Activo], 1), 0)</f>
        <v>0</v>
      </c>
      <c r="G5" s="77">
        <f>IF(MatrizDeAdyacencia!G5=1, SUMIFS(tblRed[COSTE], tblRed[Nodo Inicial], $C5, tblRed[Nodo Final], G$3, tblRed[Activo], 1), 0)</f>
        <v>0</v>
      </c>
      <c r="H5" s="77">
        <f>IF(MatrizDeAdyacencia!H5=1, SUMIFS(tblRed[COSTE], tblRed[Nodo Inicial], $C5, tblRed[Nodo Final], H$3, tblRed[Activo], 1), 0)</f>
        <v>0</v>
      </c>
      <c r="I5" s="77">
        <f>IF(MatrizDeAdyacencia!I5=1, SUMIFS(tblRed[COSTE], tblRed[Nodo Inicial], $C5, tblRed[Nodo Final], I$3, tblRed[Activo], 1), 0)</f>
        <v>0</v>
      </c>
      <c r="J5" s="77">
        <f>IF(MatrizDeAdyacencia!J5=1, SUMIFS(tblRed[COSTE], tblRed[Nodo Inicial], $C5, tblRed[Nodo Final], J$3, tblRed[Activo], 1), 0)</f>
        <v>0</v>
      </c>
      <c r="K5" s="77">
        <f>IF(MatrizDeAdyacencia!K5=1, SUMIFS(tblRed[COSTE], tblRed[Nodo Inicial], $C5, tblRed[Nodo Final], K$3, tblRed[Activo], 1), 0)</f>
        <v>0</v>
      </c>
      <c r="L5" s="77">
        <f>IF(MatrizDeAdyacencia!L5=1, SUMIFS(tblRed[COSTE], tblRed[Nodo Inicial], $C5, tblRed[Nodo Final], L$3, tblRed[Activo], 1), 0)</f>
        <v>4.8181818181818183</v>
      </c>
      <c r="M5" s="77">
        <f>IF(MatrizDeAdyacencia!M5=1, SUMIFS(tblRed[COSTE], tblRed[Nodo Inicial], $C5, tblRed[Nodo Final], M$3, tblRed[Activo], 1), 0)</f>
        <v>0</v>
      </c>
      <c r="N5" s="77">
        <f>IF(MatrizDeAdyacencia!N5=1, SUMIFS(tblRed[COSTE], tblRed[Nodo Inicial], $C5, tblRed[Nodo Final], N$3, tblRed[Activo], 1), 0)</f>
        <v>4.5483870967741931</v>
      </c>
      <c r="O5" s="77">
        <f>IF(MatrizDeAdyacencia!O5=1, SUMIFS(tblRed[COSTE], tblRed[Nodo Inicial], $C5, tblRed[Nodo Final], O$3, tblRed[Activo], 1), 0)</f>
        <v>5</v>
      </c>
      <c r="P5" s="77">
        <f>IF(MatrizDeAdyacencia!P5=1, SUMIFS(tblRed[COSTE], tblRed[Nodo Inicial], $C5, tblRed[Nodo Final], P$3, tblRed[Activo], 1), 0)</f>
        <v>0</v>
      </c>
      <c r="Q5" s="77">
        <f>IF(MatrizDeAdyacencia!Q5=1, SUMIFS(tblRed[COSTE], tblRed[Nodo Inicial], $C5, tblRed[Nodo Final], Q$3, tblRed[Activo], 1), 0)</f>
        <v>0</v>
      </c>
      <c r="R5" s="77">
        <f>IF(MatrizDeAdyacencia!R5=1, SUMIFS(tblRed[COSTE], tblRed[Nodo Inicial], $C5, tblRed[Nodo Final], R$3, tblRed[Activo], 1), 0)</f>
        <v>0</v>
      </c>
      <c r="S5" s="77">
        <f>IF(MatrizDeAdyacencia!S5=1, SUMIFS(tblRed[COSTE], tblRed[Nodo Inicial], $C5, tblRed[Nodo Final], S$3, tblRed[Activo], 1), 0)</f>
        <v>0</v>
      </c>
      <c r="T5" s="77">
        <f>IF(MatrizDeAdyacencia!T5=1, SUMIFS(tblRed[COSTE], tblRed[Nodo Inicial], $C5, tblRed[Nodo Final], T$3, tblRed[Activo], 1), 0)</f>
        <v>0</v>
      </c>
      <c r="U5" s="77">
        <f>IF(MatrizDeAdyacencia!U5=1, SUMIFS(tblRed[COSTE], tblRed[Nodo Inicial], $C5, tblRed[Nodo Final], U$3, tblRed[Activo], 1), 0)</f>
        <v>0</v>
      </c>
      <c r="V5" s="79">
        <f>IF(MatrizDeAdyacencia!V5=1, SUMIFS(tblRed[COSTE], tblRed[Nodo Inicial], $C5, tblRed[Nodo Final], V$3, tblRed[Activo], 1), 0)</f>
        <v>0</v>
      </c>
      <c r="W5" s="77">
        <f>IF(MatrizDeAdyacencia!W5=1, SUMIFS(tblRed[COSTE], tblRed[Nodo Inicial], $C5, tblRed[Nodo Final], W$3, tblRed[Activo], 1), 0)</f>
        <v>0</v>
      </c>
      <c r="X5" s="77">
        <f>IF(MatrizDeAdyacencia!X5=1, SUMIFS(tblRed[COSTE], tblRed[Nodo Inicial], $C5, tblRed[Nodo Final], X$3, tblRed[Activo], 1), 0)</f>
        <v>0</v>
      </c>
      <c r="Y5" s="77">
        <f>IF(MatrizDeAdyacencia!Y5=1, SUMIFS(tblRed[COSTE], tblRed[Nodo Inicial], $C5, tblRed[Nodo Final], Y$3, tblRed[Activo], 1), 0)</f>
        <v>0</v>
      </c>
      <c r="Z5" s="77">
        <f>IF(MatrizDeAdyacencia!Z5=1, SUMIFS(tblRed[COSTE], tblRed[Nodo Inicial], $C5, tblRed[Nodo Final], Z$3, tblRed[Activo], 1), 0)</f>
        <v>0</v>
      </c>
      <c r="AA5" s="77">
        <f>IF(MatrizDeAdyacencia!AA5=1, SUMIFS(tblRed[COSTE], tblRed[Nodo Inicial], $C5, tblRed[Nodo Final], AA$3, tblRed[Activo], 1), 0)</f>
        <v>0</v>
      </c>
      <c r="AB5" s="77">
        <f>IF(MatrizDeAdyacencia!AB5=1, SUMIFS(tblRed[COSTE], tblRed[Nodo Inicial], $C5, tblRed[Nodo Final], AB$3, tblRed[Activo], 1), 0)</f>
        <v>0</v>
      </c>
      <c r="AC5" s="77">
        <f>IF(MatrizDeAdyacencia!AC5=1, SUMIFS(tblRed[COSTE], tblRed[Nodo Inicial], $C5, tblRed[Nodo Final], AC$3, tblRed[Activo], 1), 0)</f>
        <v>4.5294117647058831</v>
      </c>
      <c r="AD5" s="77">
        <f>IF(MatrizDeAdyacencia!AD5=1, SUMIFS(tblRed[COSTE], tblRed[Nodo Inicial], $C5, tblRed[Nodo Final], AD$3, tblRed[Activo], 1), 0)</f>
        <v>0</v>
      </c>
      <c r="AE5" s="77">
        <f>IF(MatrizDeAdyacencia!AE5=1, SUMIFS(tblRed[COSTE], tblRed[Nodo Inicial], $C5, tblRed[Nodo Final], AE$3, tblRed[Activo], 1), 0)</f>
        <v>0</v>
      </c>
      <c r="AF5" s="77">
        <f>IF(MatrizDeAdyacencia!AF5=1, SUMIFS(tblRed[COSTE], tblRed[Nodo Inicial], $C5, tblRed[Nodo Final], AF$3, tblRed[Activo], 1), 0)</f>
        <v>0</v>
      </c>
      <c r="AG5" s="77">
        <f>IF(MatrizDeAdyacencia!AG5=1, SUMIFS(tblRed[COSTE], tblRed[Nodo Inicial], $C5, tblRed[Nodo Final], AG$3, tblRed[Activo], 1), 0)</f>
        <v>0</v>
      </c>
      <c r="AH5" s="77">
        <f>IF(MatrizDeAdyacencia!AH5=1, SUMIFS(tblRed[COSTE], tblRed[Nodo Inicial], $C5, tblRed[Nodo Final], AH$3, tblRed[Activo], 1), 0)</f>
        <v>0</v>
      </c>
    </row>
    <row r="6" spans="2:34" ht="14.25" customHeight="1" x14ac:dyDescent="0.25">
      <c r="B6" s="8" t="str">
        <f>VLOOKUP(tblMatrizPonderadaCostes[[#This Row],[Nodo Orig.\Dest.]],tblNodos[],2,FALSE)</f>
        <v>Actividad comercial y empresarial</v>
      </c>
      <c r="C6" s="4" t="s">
        <v>29</v>
      </c>
      <c r="D6" s="77">
        <f>IF(MatrizDeAdyacencia!D6=1, SUMIFS(tblRed[COSTE], tblRed[Nodo Inicial], $C6, tblRed[Nodo Final], D$3, tblRed[Activo], 1), 0)</f>
        <v>0</v>
      </c>
      <c r="E6" s="77">
        <f>IF(MatrizDeAdyacencia!E6=1, SUMIFS(tblRed[COSTE], tblRed[Nodo Inicial], $C6, tblRed[Nodo Final], E$3, tblRed[Activo], 1), 0)</f>
        <v>0</v>
      </c>
      <c r="F6" s="82">
        <f>IF(MatrizDeAdyacencia!F6=1, SUMIFS(tblRed[COSTE], tblRed[Nodo Inicial], $C6, tblRed[Nodo Final], F$3, tblRed[Activo], 1), 0)</f>
        <v>0</v>
      </c>
      <c r="G6" s="77">
        <f>IF(MatrizDeAdyacencia!G6=1, SUMIFS(tblRed[COSTE], tblRed[Nodo Inicial], $C6, tblRed[Nodo Final], G$3, tblRed[Activo], 1), 0)</f>
        <v>0</v>
      </c>
      <c r="H6" s="77">
        <f>IF(MatrizDeAdyacencia!H6=1, SUMIFS(tblRed[COSTE], tblRed[Nodo Inicial], $C6, tblRed[Nodo Final], H$3, tblRed[Activo], 1), 0)</f>
        <v>0</v>
      </c>
      <c r="I6" s="77">
        <f>IF(MatrizDeAdyacencia!I6=1, SUMIFS(tblRed[COSTE], tblRed[Nodo Inicial], $C6, tblRed[Nodo Final], I$3, tblRed[Activo], 1), 0)</f>
        <v>0</v>
      </c>
      <c r="J6" s="77">
        <f>IF(MatrizDeAdyacencia!J6=1, SUMIFS(tblRed[COSTE], tblRed[Nodo Inicial], $C6, tblRed[Nodo Final], J$3, tblRed[Activo], 1), 0)</f>
        <v>0</v>
      </c>
      <c r="K6" s="77">
        <f>IF(MatrizDeAdyacencia!K6=1, SUMIFS(tblRed[COSTE], tblRed[Nodo Inicial], $C6, tblRed[Nodo Final], K$3, tblRed[Activo], 1), 0)</f>
        <v>0</v>
      </c>
      <c r="L6" s="77">
        <f>IF(MatrizDeAdyacencia!L6=1, SUMIFS(tblRed[COSTE], tblRed[Nodo Inicial], $C6, tblRed[Nodo Final], L$3, tblRed[Activo], 1), 0)</f>
        <v>0</v>
      </c>
      <c r="M6" s="77">
        <f>IF(MatrizDeAdyacencia!M6=1, SUMIFS(tblRed[COSTE], tblRed[Nodo Inicial], $C6, tblRed[Nodo Final], M$3, tblRed[Activo], 1), 0)</f>
        <v>0</v>
      </c>
      <c r="N6" s="77">
        <f>IF(MatrizDeAdyacencia!N6=1, SUMIFS(tblRed[COSTE], tblRed[Nodo Inicial], $C6, tblRed[Nodo Final], N$3, tblRed[Activo], 1), 0)</f>
        <v>0</v>
      </c>
      <c r="O6" s="77">
        <f>IF(MatrizDeAdyacencia!O6=1, SUMIFS(tblRed[COSTE], tblRed[Nodo Inicial], $C6, tblRed[Nodo Final], O$3, tblRed[Activo], 1), 0)</f>
        <v>0</v>
      </c>
      <c r="P6" s="77">
        <f>IF(MatrizDeAdyacencia!P6=1, SUMIFS(tblRed[COSTE], tblRed[Nodo Inicial], $C6, tblRed[Nodo Final], P$3, tblRed[Activo], 1), 0)</f>
        <v>4.8461538461538458</v>
      </c>
      <c r="Q6" s="77">
        <f>IF(MatrizDeAdyacencia!Q6=1, SUMIFS(tblRed[COSTE], tblRed[Nodo Inicial], $C6, tblRed[Nodo Final], Q$3, tblRed[Activo], 1), 0)</f>
        <v>0</v>
      </c>
      <c r="R6" s="77">
        <f>IF(MatrizDeAdyacencia!R6=1, SUMIFS(tblRed[COSTE], tblRed[Nodo Inicial], $C6, tblRed[Nodo Final], R$3, tblRed[Activo], 1), 0)</f>
        <v>0</v>
      </c>
      <c r="S6" s="77">
        <f>IF(MatrizDeAdyacencia!S6=1, SUMIFS(tblRed[COSTE], tblRed[Nodo Inicial], $C6, tblRed[Nodo Final], S$3, tblRed[Activo], 1), 0)</f>
        <v>0</v>
      </c>
      <c r="T6" s="77">
        <f>IF(MatrizDeAdyacencia!T6=1, SUMIFS(tblRed[COSTE], tblRed[Nodo Inicial], $C6, tblRed[Nodo Final], T$3, tblRed[Activo], 1), 0)</f>
        <v>0</v>
      </c>
      <c r="U6" s="77">
        <f>IF(MatrizDeAdyacencia!U6=1, SUMIFS(tblRed[COSTE], tblRed[Nodo Inicial], $C6, tblRed[Nodo Final], U$3, tblRed[Activo], 1), 0)</f>
        <v>0</v>
      </c>
      <c r="V6" s="79">
        <f>IF(MatrizDeAdyacencia!V6=1, SUMIFS(tblRed[COSTE], tblRed[Nodo Inicial], $C6, tblRed[Nodo Final], V$3, tblRed[Activo], 1), 0)</f>
        <v>0</v>
      </c>
      <c r="W6" s="77">
        <f>IF(MatrizDeAdyacencia!W6=1, SUMIFS(tblRed[COSTE], tblRed[Nodo Inicial], $C6, tblRed[Nodo Final], W$3, tblRed[Activo], 1), 0)</f>
        <v>0</v>
      </c>
      <c r="X6" s="77">
        <f>IF(MatrizDeAdyacencia!X6=1, SUMIFS(tblRed[COSTE], tblRed[Nodo Inicial], $C6, tblRed[Nodo Final], X$3, tblRed[Activo], 1), 0)</f>
        <v>0</v>
      </c>
      <c r="Y6" s="77">
        <f>IF(MatrizDeAdyacencia!Y6=1, SUMIFS(tblRed[COSTE], tblRed[Nodo Inicial], $C6, tblRed[Nodo Final], Y$3, tblRed[Activo], 1), 0)</f>
        <v>0</v>
      </c>
      <c r="Z6" s="77">
        <f>IF(MatrizDeAdyacencia!Z6=1, SUMIFS(tblRed[COSTE], tblRed[Nodo Inicial], $C6, tblRed[Nodo Final], Z$3, tblRed[Activo], 1), 0)</f>
        <v>0</v>
      </c>
      <c r="AA6" s="77">
        <f>IF(MatrizDeAdyacencia!AA6=1, SUMIFS(tblRed[COSTE], tblRed[Nodo Inicial], $C6, tblRed[Nodo Final], AA$3, tblRed[Activo], 1), 0)</f>
        <v>0</v>
      </c>
      <c r="AB6" s="77">
        <f>IF(MatrizDeAdyacencia!AB6=1, SUMIFS(tblRed[COSTE], tblRed[Nodo Inicial], $C6, tblRed[Nodo Final], AB$3, tblRed[Activo], 1), 0)</f>
        <v>0</v>
      </c>
      <c r="AC6" s="77">
        <f>IF(MatrizDeAdyacencia!AC6=1, SUMIFS(tblRed[COSTE], tblRed[Nodo Inicial], $C6, tblRed[Nodo Final], AC$3, tblRed[Activo], 1), 0)</f>
        <v>0</v>
      </c>
      <c r="AD6" s="77">
        <f>IF(MatrizDeAdyacencia!AD6=1, SUMIFS(tblRed[COSTE], tblRed[Nodo Inicial], $C6, tblRed[Nodo Final], AD$3, tblRed[Activo], 1), 0)</f>
        <v>0</v>
      </c>
      <c r="AE6" s="77">
        <f>IF(MatrizDeAdyacencia!AE6=1, SUMIFS(tblRed[COSTE], tblRed[Nodo Inicial], $C6, tblRed[Nodo Final], AE$3, tblRed[Activo], 1), 0)</f>
        <v>0</v>
      </c>
      <c r="AF6" s="77">
        <f>IF(MatrizDeAdyacencia!AF6=1, SUMIFS(tblRed[COSTE], tblRed[Nodo Inicial], $C6, tblRed[Nodo Final], AF$3, tblRed[Activo], 1), 0)</f>
        <v>0</v>
      </c>
      <c r="AG6" s="77">
        <f>IF(MatrizDeAdyacencia!AG6=1, SUMIFS(tblRed[COSTE], tblRed[Nodo Inicial], $C6, tblRed[Nodo Final], AG$3, tblRed[Activo], 1), 0)</f>
        <v>0</v>
      </c>
      <c r="AH6" s="77">
        <f>IF(MatrizDeAdyacencia!AH6=1, SUMIFS(tblRed[COSTE], tblRed[Nodo Inicial], $C6, tblRed[Nodo Final], AH$3, tblRed[Activo], 1), 0)</f>
        <v>0</v>
      </c>
    </row>
    <row r="7" spans="2:34" ht="14.25" customHeight="1" x14ac:dyDescent="0.25">
      <c r="B7" s="8" t="str">
        <f>VLOOKUP(tblMatrizPonderadaCostes[[#This Row],[Nodo Orig.\Dest.]],tblNodos[],2,FALSE)</f>
        <v>Financiación mediante coerción y exacción</v>
      </c>
      <c r="C7" s="4" t="s">
        <v>31</v>
      </c>
      <c r="D7" s="77">
        <f>IF(MatrizDeAdyacencia!D7=1, SUMIFS(tblRed[COSTE], tblRed[Nodo Inicial], $C7, tblRed[Nodo Final], D$3, tblRed[Activo], 1), 0)</f>
        <v>0</v>
      </c>
      <c r="E7" s="77">
        <f>IF(MatrizDeAdyacencia!E7=1, SUMIFS(tblRed[COSTE], tblRed[Nodo Inicial], $C7, tblRed[Nodo Final], E$3, tblRed[Activo], 1), 0)</f>
        <v>0</v>
      </c>
      <c r="F7" s="77">
        <f>IF(MatrizDeAdyacencia!F7=1, SUMIFS(tblRed[COSTE], tblRed[Nodo Inicial], $C7, tblRed[Nodo Final], F$3, tblRed[Activo], 1), 0)</f>
        <v>0</v>
      </c>
      <c r="G7" s="82">
        <f>IF(MatrizDeAdyacencia!G7=1, SUMIFS(tblRed[COSTE], tblRed[Nodo Inicial], $C7, tblRed[Nodo Final], G$3, tblRed[Activo], 1), 0)</f>
        <v>0</v>
      </c>
      <c r="H7" s="77">
        <f>IF(MatrizDeAdyacencia!H7=1, SUMIFS(tblRed[COSTE], tblRed[Nodo Inicial], $C7, tblRed[Nodo Final], H$3, tblRed[Activo], 1), 0)</f>
        <v>0</v>
      </c>
      <c r="I7" s="77">
        <f>IF(MatrizDeAdyacencia!I7=1, SUMIFS(tblRed[COSTE], tblRed[Nodo Inicial], $C7, tblRed[Nodo Final], I$3, tblRed[Activo], 1), 0)</f>
        <v>0</v>
      </c>
      <c r="J7" s="77">
        <f>IF(MatrizDeAdyacencia!J7=1, SUMIFS(tblRed[COSTE], tblRed[Nodo Inicial], $C7, tblRed[Nodo Final], J$3, tblRed[Activo], 1), 0)</f>
        <v>0</v>
      </c>
      <c r="K7" s="77">
        <f>IF(MatrizDeAdyacencia!K7=1, SUMIFS(tblRed[COSTE], tblRed[Nodo Inicial], $C7, tblRed[Nodo Final], K$3, tblRed[Activo], 1), 0)</f>
        <v>0</v>
      </c>
      <c r="L7" s="77">
        <f>IF(MatrizDeAdyacencia!L7=1, SUMIFS(tblRed[COSTE], tblRed[Nodo Inicial], $C7, tblRed[Nodo Final], L$3, tblRed[Activo], 1), 0)</f>
        <v>5</v>
      </c>
      <c r="M7" s="77">
        <f>IF(MatrizDeAdyacencia!M7=1, SUMIFS(tblRed[COSTE], tblRed[Nodo Inicial], $C7, tblRed[Nodo Final], M$3, tblRed[Activo], 1), 0)</f>
        <v>0</v>
      </c>
      <c r="N7" s="77">
        <f>IF(MatrizDeAdyacencia!N7=1, SUMIFS(tblRed[COSTE], tblRed[Nodo Inicial], $C7, tblRed[Nodo Final], N$3, tblRed[Activo], 1), 0)</f>
        <v>0</v>
      </c>
      <c r="O7" s="77">
        <f>IF(MatrizDeAdyacencia!O7=1, SUMIFS(tblRed[COSTE], tblRed[Nodo Inicial], $C7, tblRed[Nodo Final], O$3, tblRed[Activo], 1), 0)</f>
        <v>0</v>
      </c>
      <c r="P7" s="77">
        <f>IF(MatrizDeAdyacencia!P7=1, SUMIFS(tblRed[COSTE], tblRed[Nodo Inicial], $C7, tblRed[Nodo Final], P$3, tblRed[Activo], 1), 0)</f>
        <v>0</v>
      </c>
      <c r="Q7" s="77">
        <f>IF(MatrizDeAdyacencia!Q7=1, SUMIFS(tblRed[COSTE], tblRed[Nodo Inicial], $C7, tblRed[Nodo Final], Q$3, tblRed[Activo], 1), 0)</f>
        <v>0</v>
      </c>
      <c r="R7" s="77">
        <f>IF(MatrizDeAdyacencia!R7=1, SUMIFS(tblRed[COSTE], tblRed[Nodo Inicial], $C7, tblRed[Nodo Final], R$3, tblRed[Activo], 1), 0)</f>
        <v>0</v>
      </c>
      <c r="S7" s="77">
        <f>IF(MatrizDeAdyacencia!S7=1, SUMIFS(tblRed[COSTE], tblRed[Nodo Inicial], $C7, tblRed[Nodo Final], S$3, tblRed[Activo], 1), 0)</f>
        <v>0</v>
      </c>
      <c r="T7" s="77">
        <f>IF(MatrizDeAdyacencia!T7=1, SUMIFS(tblRed[COSTE], tblRed[Nodo Inicial], $C7, tblRed[Nodo Final], T$3, tblRed[Activo], 1), 0)</f>
        <v>0</v>
      </c>
      <c r="U7" s="77">
        <f>IF(MatrizDeAdyacencia!U7=1, SUMIFS(tblRed[COSTE], tblRed[Nodo Inicial], $C7, tblRed[Nodo Final], U$3, tblRed[Activo], 1), 0)</f>
        <v>0</v>
      </c>
      <c r="V7" s="79">
        <f>IF(MatrizDeAdyacencia!V7=1, SUMIFS(tblRed[COSTE], tblRed[Nodo Inicial], $C7, tblRed[Nodo Final], V$3, tblRed[Activo], 1), 0)</f>
        <v>0</v>
      </c>
      <c r="W7" s="77">
        <f>IF(MatrizDeAdyacencia!W7=1, SUMIFS(tblRed[COSTE], tblRed[Nodo Inicial], $C7, tblRed[Nodo Final], W$3, tblRed[Activo], 1), 0)</f>
        <v>0</v>
      </c>
      <c r="X7" s="77">
        <f>IF(MatrizDeAdyacencia!X7=1, SUMIFS(tblRed[COSTE], tblRed[Nodo Inicial], $C7, tblRed[Nodo Final], X$3, tblRed[Activo], 1), 0)</f>
        <v>0</v>
      </c>
      <c r="Y7" s="77">
        <f>IF(MatrizDeAdyacencia!Y7=1, SUMIFS(tblRed[COSTE], tblRed[Nodo Inicial], $C7, tblRed[Nodo Final], Y$3, tblRed[Activo], 1), 0)</f>
        <v>0</v>
      </c>
      <c r="Z7" s="77">
        <f>IF(MatrizDeAdyacencia!Z7=1, SUMIFS(tblRed[COSTE], tblRed[Nodo Inicial], $C7, tblRed[Nodo Final], Z$3, tblRed[Activo], 1), 0)</f>
        <v>0</v>
      </c>
      <c r="AA7" s="77">
        <f>IF(MatrizDeAdyacencia!AA7=1, SUMIFS(tblRed[COSTE], tblRed[Nodo Inicial], $C7, tblRed[Nodo Final], AA$3, tblRed[Activo], 1), 0)</f>
        <v>0</v>
      </c>
      <c r="AB7" s="77">
        <f>IF(MatrizDeAdyacencia!AB7=1, SUMIFS(tblRed[COSTE], tblRed[Nodo Inicial], $C7, tblRed[Nodo Final], AB$3, tblRed[Activo], 1), 0)</f>
        <v>0</v>
      </c>
      <c r="AC7" s="77">
        <f>IF(MatrizDeAdyacencia!AC7=1, SUMIFS(tblRed[COSTE], tblRed[Nodo Inicial], $C7, tblRed[Nodo Final], AC$3, tblRed[Activo], 1), 0)</f>
        <v>0</v>
      </c>
      <c r="AD7" s="77">
        <f>IF(MatrizDeAdyacencia!AD7=1, SUMIFS(tblRed[COSTE], tblRed[Nodo Inicial], $C7, tblRed[Nodo Final], AD$3, tblRed[Activo], 1), 0)</f>
        <v>0</v>
      </c>
      <c r="AE7" s="77">
        <f>IF(MatrizDeAdyacencia!AE7=1, SUMIFS(tblRed[COSTE], tblRed[Nodo Inicial], $C7, tblRed[Nodo Final], AE$3, tblRed[Activo], 1), 0)</f>
        <v>0</v>
      </c>
      <c r="AF7" s="77">
        <f>IF(MatrizDeAdyacencia!AF7=1, SUMIFS(tblRed[COSTE], tblRed[Nodo Inicial], $C7, tblRed[Nodo Final], AF$3, tblRed[Activo], 1), 0)</f>
        <v>0</v>
      </c>
      <c r="AG7" s="77">
        <f>IF(MatrizDeAdyacencia!AG7=1, SUMIFS(tblRed[COSTE], tblRed[Nodo Inicial], $C7, tblRed[Nodo Final], AG$3, tblRed[Activo], 1), 0)</f>
        <v>0</v>
      </c>
      <c r="AH7" s="77">
        <f>IF(MatrizDeAdyacencia!AH7=1, SUMIFS(tblRed[COSTE], tblRed[Nodo Inicial], $C7, tblRed[Nodo Final], AH$3, tblRed[Activo], 1), 0)</f>
        <v>0</v>
      </c>
    </row>
    <row r="8" spans="2:34" ht="14.25" customHeight="1" x14ac:dyDescent="0.25">
      <c r="B8" s="8" t="str">
        <f>VLOOKUP(tblMatrizPonderadaCostes[[#This Row],[Nodo Orig.\Dest.]],tblNodos[],2,FALSE)</f>
        <v>Explotación de personas y movilidad forzada</v>
      </c>
      <c r="C8" s="4" t="s">
        <v>33</v>
      </c>
      <c r="D8" s="77">
        <f>IF(MatrizDeAdyacencia!D8=1, SUMIFS(tblRed[COSTE], tblRed[Nodo Inicial], $C8, tblRed[Nodo Final], D$3, tblRed[Activo], 1), 0)</f>
        <v>0</v>
      </c>
      <c r="E8" s="77">
        <f>IF(MatrizDeAdyacencia!E8=1, SUMIFS(tblRed[COSTE], tblRed[Nodo Inicial], $C8, tblRed[Nodo Final], E$3, tblRed[Activo], 1), 0)</f>
        <v>0</v>
      </c>
      <c r="F8" s="77">
        <f>IF(MatrizDeAdyacencia!F8=1, SUMIFS(tblRed[COSTE], tblRed[Nodo Inicial], $C8, tblRed[Nodo Final], F$3, tblRed[Activo], 1), 0)</f>
        <v>0</v>
      </c>
      <c r="G8" s="77">
        <f>IF(MatrizDeAdyacencia!G8=1, SUMIFS(tblRed[COSTE], tblRed[Nodo Inicial], $C8, tblRed[Nodo Final], G$3, tblRed[Activo], 1), 0)</f>
        <v>0</v>
      </c>
      <c r="H8" s="82">
        <f>IF(MatrizDeAdyacencia!H8=1, SUMIFS(tblRed[COSTE], tblRed[Nodo Inicial], $C8, tblRed[Nodo Final], H$3, tblRed[Activo], 1), 0)</f>
        <v>0</v>
      </c>
      <c r="I8" s="77">
        <f>IF(MatrizDeAdyacencia!I8=1, SUMIFS(tblRed[COSTE], tblRed[Nodo Inicial], $C8, tblRed[Nodo Final], I$3, tblRed[Activo], 1), 0)</f>
        <v>0</v>
      </c>
      <c r="J8" s="77">
        <f>IF(MatrizDeAdyacencia!J8=1, SUMIFS(tblRed[COSTE], tblRed[Nodo Inicial], $C8, tblRed[Nodo Final], J$3, tblRed[Activo], 1), 0)</f>
        <v>0</v>
      </c>
      <c r="K8" s="77">
        <f>IF(MatrizDeAdyacencia!K8=1, SUMIFS(tblRed[COSTE], tblRed[Nodo Inicial], $C8, tblRed[Nodo Final], K$3, tblRed[Activo], 1), 0)</f>
        <v>0</v>
      </c>
      <c r="L8" s="77">
        <f>IF(MatrizDeAdyacencia!L8=1, SUMIFS(tblRed[COSTE], tblRed[Nodo Inicial], $C8, tblRed[Nodo Final], L$3, tblRed[Activo], 1), 0)</f>
        <v>4.2</v>
      </c>
      <c r="M8" s="77">
        <f>IF(MatrizDeAdyacencia!M8=1, SUMIFS(tblRed[COSTE], tblRed[Nodo Inicial], $C8, tblRed[Nodo Final], M$3, tblRed[Activo], 1), 0)</f>
        <v>0</v>
      </c>
      <c r="N8" s="77">
        <f>IF(MatrizDeAdyacencia!N8=1, SUMIFS(tblRed[COSTE], tblRed[Nodo Inicial], $C8, tblRed[Nodo Final], N$3, tblRed[Activo], 1), 0)</f>
        <v>0</v>
      </c>
      <c r="O8" s="77">
        <f>IF(MatrizDeAdyacencia!O8=1, SUMIFS(tblRed[COSTE], tblRed[Nodo Inicial], $C8, tblRed[Nodo Final], O$3, tblRed[Activo], 1), 0)</f>
        <v>0</v>
      </c>
      <c r="P8" s="77">
        <f>IF(MatrizDeAdyacencia!P8=1, SUMIFS(tblRed[COSTE], tblRed[Nodo Inicial], $C8, tblRed[Nodo Final], P$3, tblRed[Activo], 1), 0)</f>
        <v>0</v>
      </c>
      <c r="Q8" s="77">
        <f>IF(MatrizDeAdyacencia!Q8=1, SUMIFS(tblRed[COSTE], tblRed[Nodo Inicial], $C8, tblRed[Nodo Final], Q$3, tblRed[Activo], 1), 0)</f>
        <v>0</v>
      </c>
      <c r="R8" s="77">
        <f>IF(MatrizDeAdyacencia!R8=1, SUMIFS(tblRed[COSTE], tblRed[Nodo Inicial], $C8, tblRed[Nodo Final], R$3, tblRed[Activo], 1), 0)</f>
        <v>0</v>
      </c>
      <c r="S8" s="77">
        <f>IF(MatrizDeAdyacencia!S8=1, SUMIFS(tblRed[COSTE], tblRed[Nodo Inicial], $C8, tblRed[Nodo Final], S$3, tblRed[Activo], 1), 0)</f>
        <v>0</v>
      </c>
      <c r="T8" s="77">
        <f>IF(MatrizDeAdyacencia!T8=1, SUMIFS(tblRed[COSTE], tblRed[Nodo Inicial], $C8, tblRed[Nodo Final], T$3, tblRed[Activo], 1), 0)</f>
        <v>0</v>
      </c>
      <c r="U8" s="77">
        <f>IF(MatrizDeAdyacencia!U8=1, SUMIFS(tblRed[COSTE], tblRed[Nodo Inicial], $C8, tblRed[Nodo Final], U$3, tblRed[Activo], 1), 0)</f>
        <v>0</v>
      </c>
      <c r="V8" s="79">
        <f>IF(MatrizDeAdyacencia!V8=1, SUMIFS(tblRed[COSTE], tblRed[Nodo Inicial], $C8, tblRed[Nodo Final], V$3, tblRed[Activo], 1), 0)</f>
        <v>0</v>
      </c>
      <c r="W8" s="77">
        <f>IF(MatrizDeAdyacencia!W8=1, SUMIFS(tblRed[COSTE], tblRed[Nodo Inicial], $C8, tblRed[Nodo Final], W$3, tblRed[Activo], 1), 0)</f>
        <v>0</v>
      </c>
      <c r="X8" s="77">
        <f>IF(MatrizDeAdyacencia!X8=1, SUMIFS(tblRed[COSTE], tblRed[Nodo Inicial], $C8, tblRed[Nodo Final], X$3, tblRed[Activo], 1), 0)</f>
        <v>0</v>
      </c>
      <c r="Y8" s="77">
        <f>IF(MatrizDeAdyacencia!Y8=1, SUMIFS(tblRed[COSTE], tblRed[Nodo Inicial], $C8, tblRed[Nodo Final], Y$3, tblRed[Activo], 1), 0)</f>
        <v>0</v>
      </c>
      <c r="Z8" s="77">
        <f>IF(MatrizDeAdyacencia!Z8=1, SUMIFS(tblRed[COSTE], tblRed[Nodo Inicial], $C8, tblRed[Nodo Final], Z$3, tblRed[Activo], 1), 0)</f>
        <v>0</v>
      </c>
      <c r="AA8" s="77">
        <f>IF(MatrizDeAdyacencia!AA8=1, SUMIFS(tblRed[COSTE], tblRed[Nodo Inicial], $C8, tblRed[Nodo Final], AA$3, tblRed[Activo], 1), 0)</f>
        <v>0</v>
      </c>
      <c r="AB8" s="77">
        <f>IF(MatrizDeAdyacencia!AB8=1, SUMIFS(tblRed[COSTE], tblRed[Nodo Inicial], $C8, tblRed[Nodo Final], AB$3, tblRed[Activo], 1), 0)</f>
        <v>0</v>
      </c>
      <c r="AC8" s="77">
        <f>IF(MatrizDeAdyacencia!AC8=1, SUMIFS(tblRed[COSTE], tblRed[Nodo Inicial], $C8, tblRed[Nodo Final], AC$3, tblRed[Activo], 1), 0)</f>
        <v>2</v>
      </c>
      <c r="AD8" s="77">
        <f>IF(MatrizDeAdyacencia!AD8=1, SUMIFS(tblRed[COSTE], tblRed[Nodo Inicial], $C8, tblRed[Nodo Final], AD$3, tblRed[Activo], 1), 0)</f>
        <v>0</v>
      </c>
      <c r="AE8" s="77">
        <f>IF(MatrizDeAdyacencia!AE8=1, SUMIFS(tblRed[COSTE], tblRed[Nodo Inicial], $C8, tblRed[Nodo Final], AE$3, tblRed[Activo], 1), 0)</f>
        <v>0</v>
      </c>
      <c r="AF8" s="77">
        <f>IF(MatrizDeAdyacencia!AF8=1, SUMIFS(tblRed[COSTE], tblRed[Nodo Inicial], $C8, tblRed[Nodo Final], AF$3, tblRed[Activo], 1), 0)</f>
        <v>0</v>
      </c>
      <c r="AG8" s="77">
        <f>IF(MatrizDeAdyacencia!AG8=1, SUMIFS(tblRed[COSTE], tblRed[Nodo Inicial], $C8, tblRed[Nodo Final], AG$3, tblRed[Activo], 1), 0)</f>
        <v>0</v>
      </c>
      <c r="AH8" s="77">
        <f>IF(MatrizDeAdyacencia!AH8=1, SUMIFS(tblRed[COSTE], tblRed[Nodo Inicial], $C8, tblRed[Nodo Final], AH$3, tblRed[Activo], 1), 0)</f>
        <v>0</v>
      </c>
    </row>
    <row r="9" spans="2:34" ht="14.25" customHeight="1" x14ac:dyDescent="0.25">
      <c r="B9" s="8" t="str">
        <f>VLOOKUP(tblMatrizPonderadaCostes[[#This Row],[Nodo Orig.\Dest.]],tblNodos[],2,FALSE)</f>
        <v>Actividades criminales y mercados ilícitos</v>
      </c>
      <c r="C9" s="4" t="s">
        <v>35</v>
      </c>
      <c r="D9" s="77">
        <f>IF(MatrizDeAdyacencia!D9=1, SUMIFS(tblRed[COSTE], tblRed[Nodo Inicial], $C9, tblRed[Nodo Final], D$3, tblRed[Activo], 1), 0)</f>
        <v>0</v>
      </c>
      <c r="E9" s="77">
        <f>IF(MatrizDeAdyacencia!E9=1, SUMIFS(tblRed[COSTE], tblRed[Nodo Inicial], $C9, tblRed[Nodo Final], E$3, tblRed[Activo], 1), 0)</f>
        <v>0</v>
      </c>
      <c r="F9" s="77">
        <f>IF(MatrizDeAdyacencia!F9=1, SUMIFS(tblRed[COSTE], tblRed[Nodo Inicial], $C9, tblRed[Nodo Final], F$3, tblRed[Activo], 1), 0)</f>
        <v>0</v>
      </c>
      <c r="G9" s="77">
        <f>IF(MatrizDeAdyacencia!G9=1, SUMIFS(tblRed[COSTE], tblRed[Nodo Inicial], $C9, tblRed[Nodo Final], G$3, tblRed[Activo], 1), 0)</f>
        <v>0</v>
      </c>
      <c r="H9" s="77">
        <f>IF(MatrizDeAdyacencia!H9=1, SUMIFS(tblRed[COSTE], tblRed[Nodo Inicial], $C9, tblRed[Nodo Final], H$3, tblRed[Activo], 1), 0)</f>
        <v>0</v>
      </c>
      <c r="I9" s="82">
        <f>IF(MatrizDeAdyacencia!I9=1, SUMIFS(tblRed[COSTE], tblRed[Nodo Inicial], $C9, tblRed[Nodo Final], I$3, tblRed[Activo], 1), 0)</f>
        <v>0</v>
      </c>
      <c r="J9" s="77">
        <f>IF(MatrizDeAdyacencia!J9=1, SUMIFS(tblRed[COSTE], tblRed[Nodo Inicial], $C9, tblRed[Nodo Final], J$3, tblRed[Activo], 1), 0)</f>
        <v>0</v>
      </c>
      <c r="K9" s="77">
        <f>IF(MatrizDeAdyacencia!K9=1, SUMIFS(tblRed[COSTE], tblRed[Nodo Inicial], $C9, tblRed[Nodo Final], K$3, tblRed[Activo], 1), 0)</f>
        <v>0</v>
      </c>
      <c r="L9" s="77">
        <f>IF(MatrizDeAdyacencia!L9=1, SUMIFS(tblRed[COSTE], tblRed[Nodo Inicial], $C9, tblRed[Nodo Final], L$3, tblRed[Activo], 1), 0)</f>
        <v>0</v>
      </c>
      <c r="M9" s="77">
        <f>IF(MatrizDeAdyacencia!M9=1, SUMIFS(tblRed[COSTE], tblRed[Nodo Inicial], $C9, tblRed[Nodo Final], M$3, tblRed[Activo], 1), 0)</f>
        <v>0</v>
      </c>
      <c r="N9" s="77">
        <f>IF(MatrizDeAdyacencia!N9=1, SUMIFS(tblRed[COSTE], tblRed[Nodo Inicial], $C9, tblRed[Nodo Final], N$3, tblRed[Activo], 1), 0)</f>
        <v>0</v>
      </c>
      <c r="O9" s="77">
        <f>IF(MatrizDeAdyacencia!O9=1, SUMIFS(tblRed[COSTE], tblRed[Nodo Inicial], $C9, tblRed[Nodo Final], O$3, tblRed[Activo], 1), 0)</f>
        <v>0</v>
      </c>
      <c r="P9" s="77">
        <f>IF(MatrizDeAdyacencia!P9=1, SUMIFS(tblRed[COSTE], tblRed[Nodo Inicial], $C9, tblRed[Nodo Final], P$3, tblRed[Activo], 1), 0)</f>
        <v>0</v>
      </c>
      <c r="Q9" s="77">
        <f>IF(MatrizDeAdyacencia!Q9=1, SUMIFS(tblRed[COSTE], tblRed[Nodo Inicial], $C9, tblRed[Nodo Final], Q$3, tblRed[Activo], 1), 0)</f>
        <v>0</v>
      </c>
      <c r="R9" s="77">
        <f>IF(MatrizDeAdyacencia!R9=1, SUMIFS(tblRed[COSTE], tblRed[Nodo Inicial], $C9, tblRed[Nodo Final], R$3, tblRed[Activo], 1), 0)</f>
        <v>0</v>
      </c>
      <c r="S9" s="77">
        <f>IF(MatrizDeAdyacencia!S9=1, SUMIFS(tblRed[COSTE], tblRed[Nodo Inicial], $C9, tblRed[Nodo Final], S$3, tblRed[Activo], 1), 0)</f>
        <v>0</v>
      </c>
      <c r="T9" s="77">
        <f>IF(MatrizDeAdyacencia!T9=1, SUMIFS(tblRed[COSTE], tblRed[Nodo Inicial], $C9, tblRed[Nodo Final], T$3, tblRed[Activo], 1), 0)</f>
        <v>0</v>
      </c>
      <c r="U9" s="77">
        <f>IF(MatrizDeAdyacencia!U9=1, SUMIFS(tblRed[COSTE], tblRed[Nodo Inicial], $C9, tblRed[Nodo Final], U$3, tblRed[Activo], 1), 0)</f>
        <v>0</v>
      </c>
      <c r="V9" s="79">
        <f>IF(MatrizDeAdyacencia!V9=1, SUMIFS(tblRed[COSTE], tblRed[Nodo Inicial], $C9, tblRed[Nodo Final], V$3, tblRed[Activo], 1), 0)</f>
        <v>0</v>
      </c>
      <c r="W9" s="77">
        <f>IF(MatrizDeAdyacencia!W9=1, SUMIFS(tblRed[COSTE], tblRed[Nodo Inicial], $C9, tblRed[Nodo Final], W$3, tblRed[Activo], 1), 0)</f>
        <v>0</v>
      </c>
      <c r="X9" s="77">
        <f>IF(MatrizDeAdyacencia!X9=1, SUMIFS(tblRed[COSTE], tblRed[Nodo Inicial], $C9, tblRed[Nodo Final], X$3, tblRed[Activo], 1), 0)</f>
        <v>0</v>
      </c>
      <c r="Y9" s="77">
        <f>IF(MatrizDeAdyacencia!Y9=1, SUMIFS(tblRed[COSTE], tblRed[Nodo Inicial], $C9, tblRed[Nodo Final], Y$3, tblRed[Activo], 1), 0)</f>
        <v>0</v>
      </c>
      <c r="Z9" s="77">
        <f>IF(MatrizDeAdyacencia!Z9=1, SUMIFS(tblRed[COSTE], tblRed[Nodo Inicial], $C9, tblRed[Nodo Final], Z$3, tblRed[Activo], 1), 0)</f>
        <v>2.75</v>
      </c>
      <c r="AA9" s="77">
        <f>IF(MatrizDeAdyacencia!AA9=1, SUMIFS(tblRed[COSTE], tblRed[Nodo Inicial], $C9, tblRed[Nodo Final], AA$3, tblRed[Activo], 1), 0)</f>
        <v>0</v>
      </c>
      <c r="AB9" s="77">
        <f>IF(MatrizDeAdyacencia!AB9=1, SUMIFS(tblRed[COSTE], tblRed[Nodo Inicial], $C9, tblRed[Nodo Final], AB$3, tblRed[Activo], 1), 0)</f>
        <v>0</v>
      </c>
      <c r="AC9" s="77">
        <f>IF(MatrizDeAdyacencia!AC9=1, SUMIFS(tblRed[COSTE], tblRed[Nodo Inicial], $C9, tblRed[Nodo Final], AC$3, tblRed[Activo], 1), 0)</f>
        <v>0</v>
      </c>
      <c r="AD9" s="77">
        <f>IF(MatrizDeAdyacencia!AD9=1, SUMIFS(tblRed[COSTE], tblRed[Nodo Inicial], $C9, tblRed[Nodo Final], AD$3, tblRed[Activo], 1), 0)</f>
        <v>0</v>
      </c>
      <c r="AE9" s="77">
        <f>IF(MatrizDeAdyacencia!AE9=1, SUMIFS(tblRed[COSTE], tblRed[Nodo Inicial], $C9, tblRed[Nodo Final], AE$3, tblRed[Activo], 1), 0)</f>
        <v>0</v>
      </c>
      <c r="AF9" s="77">
        <f>IF(MatrizDeAdyacencia!AF9=1, SUMIFS(tblRed[COSTE], tblRed[Nodo Inicial], $C9, tblRed[Nodo Final], AF$3, tblRed[Activo], 1), 0)</f>
        <v>0</v>
      </c>
      <c r="AG9" s="77">
        <f>IF(MatrizDeAdyacencia!AG9=1, SUMIFS(tblRed[COSTE], tblRed[Nodo Inicial], $C9, tblRed[Nodo Final], AG$3, tblRed[Activo], 1), 0)</f>
        <v>0</v>
      </c>
      <c r="AH9" s="77">
        <f>IF(MatrizDeAdyacencia!AH9=1, SUMIFS(tblRed[COSTE], tblRed[Nodo Inicial], $C9, tblRed[Nodo Final], AH$3, tblRed[Activo], 1), 0)</f>
        <v>0</v>
      </c>
    </row>
    <row r="10" spans="2:34" ht="14.25" customHeight="1" x14ac:dyDescent="0.25">
      <c r="B10" s="8" t="str">
        <f>VLOOKUP(tblMatrizPonderadaCostes[[#This Row],[Nodo Orig.\Dest.]],tblNodos[],2,FALSE)</f>
        <v>Explotación de recursos naturales</v>
      </c>
      <c r="C10" s="4" t="s">
        <v>37</v>
      </c>
      <c r="D10" s="77">
        <f>IF(MatrizDeAdyacencia!D10=1, SUMIFS(tblRed[COSTE], tblRed[Nodo Inicial], $C10, tblRed[Nodo Final], D$3, tblRed[Activo], 1), 0)</f>
        <v>0</v>
      </c>
      <c r="E10" s="77">
        <f>IF(MatrizDeAdyacencia!E10=1, SUMIFS(tblRed[COSTE], tblRed[Nodo Inicial], $C10, tblRed[Nodo Final], E$3, tblRed[Activo], 1), 0)</f>
        <v>0</v>
      </c>
      <c r="F10" s="77">
        <f>IF(MatrizDeAdyacencia!F10=1, SUMIFS(tblRed[COSTE], tblRed[Nodo Inicial], $C10, tblRed[Nodo Final], F$3, tblRed[Activo], 1), 0)</f>
        <v>0</v>
      </c>
      <c r="G10" s="77">
        <f>IF(MatrizDeAdyacencia!G10=1, SUMIFS(tblRed[COSTE], tblRed[Nodo Inicial], $C10, tblRed[Nodo Final], G$3, tblRed[Activo], 1), 0)</f>
        <v>0</v>
      </c>
      <c r="H10" s="77">
        <f>IF(MatrizDeAdyacencia!H10=1, SUMIFS(tblRed[COSTE], tblRed[Nodo Inicial], $C10, tblRed[Nodo Final], H$3, tblRed[Activo], 1), 0)</f>
        <v>0</v>
      </c>
      <c r="I10" s="77">
        <f>IF(MatrizDeAdyacencia!I10=1, SUMIFS(tblRed[COSTE], tblRed[Nodo Inicial], $C10, tblRed[Nodo Final], I$3, tblRed[Activo], 1), 0)</f>
        <v>0</v>
      </c>
      <c r="J10" s="82">
        <f>IF(MatrizDeAdyacencia!J10=1, SUMIFS(tblRed[COSTE], tblRed[Nodo Inicial], $C10, tblRed[Nodo Final], J$3, tblRed[Activo], 1), 0)</f>
        <v>0</v>
      </c>
      <c r="K10" s="77">
        <f>IF(MatrizDeAdyacencia!K10=1, SUMIFS(tblRed[COSTE], tblRed[Nodo Inicial], $C10, tblRed[Nodo Final], K$3, tblRed[Activo], 1), 0)</f>
        <v>0</v>
      </c>
      <c r="L10" s="77">
        <f>IF(MatrizDeAdyacencia!L10=1, SUMIFS(tblRed[COSTE], tblRed[Nodo Inicial], $C10, tblRed[Nodo Final], L$3, tblRed[Activo], 1), 0)</f>
        <v>5</v>
      </c>
      <c r="M10" s="77">
        <f>IF(MatrizDeAdyacencia!M10=1, SUMIFS(tblRed[COSTE], tblRed[Nodo Inicial], $C10, tblRed[Nodo Final], M$3, tblRed[Activo], 1), 0)</f>
        <v>0</v>
      </c>
      <c r="N10" s="77">
        <f>IF(MatrizDeAdyacencia!N10=1, SUMIFS(tblRed[COSTE], tblRed[Nodo Inicial], $C10, tblRed[Nodo Final], N$3, tblRed[Activo], 1), 0)</f>
        <v>0</v>
      </c>
      <c r="O10" s="77">
        <f>IF(MatrizDeAdyacencia!O10=1, SUMIFS(tblRed[COSTE], tblRed[Nodo Inicial], $C10, tblRed[Nodo Final], O$3, tblRed[Activo], 1), 0)</f>
        <v>0</v>
      </c>
      <c r="P10" s="77">
        <f>IF(MatrizDeAdyacencia!P10=1, SUMIFS(tblRed[COSTE], tblRed[Nodo Inicial], $C10, tblRed[Nodo Final], P$3, tblRed[Activo], 1), 0)</f>
        <v>0</v>
      </c>
      <c r="Q10" s="77">
        <f>IF(MatrizDeAdyacencia!Q10=1, SUMIFS(tblRed[COSTE], tblRed[Nodo Inicial], $C10, tblRed[Nodo Final], Q$3, tblRed[Activo], 1), 0)</f>
        <v>0</v>
      </c>
      <c r="R10" s="77">
        <f>IF(MatrizDeAdyacencia!R10=1, SUMIFS(tblRed[COSTE], tblRed[Nodo Inicial], $C10, tblRed[Nodo Final], R$3, tblRed[Activo], 1), 0)</f>
        <v>0</v>
      </c>
      <c r="S10" s="77">
        <f>IF(MatrizDeAdyacencia!S10=1, SUMIFS(tblRed[COSTE], tblRed[Nodo Inicial], $C10, tblRed[Nodo Final], S$3, tblRed[Activo], 1), 0)</f>
        <v>0</v>
      </c>
      <c r="T10" s="77">
        <f>IF(MatrizDeAdyacencia!T10=1, SUMIFS(tblRed[COSTE], tblRed[Nodo Inicial], $C10, tblRed[Nodo Final], T$3, tblRed[Activo], 1), 0)</f>
        <v>0</v>
      </c>
      <c r="U10" s="77">
        <f>IF(MatrizDeAdyacencia!U10=1, SUMIFS(tblRed[COSTE], tblRed[Nodo Inicial], $C10, tblRed[Nodo Final], U$3, tblRed[Activo], 1), 0)</f>
        <v>0</v>
      </c>
      <c r="V10" s="79">
        <f>IF(MatrizDeAdyacencia!V10=1, SUMIFS(tblRed[COSTE], tblRed[Nodo Inicial], $C10, tblRed[Nodo Final], V$3, tblRed[Activo], 1), 0)</f>
        <v>0</v>
      </c>
      <c r="W10" s="77">
        <f>IF(MatrizDeAdyacencia!W10=1, SUMIFS(tblRed[COSTE], tblRed[Nodo Inicial], $C10, tblRed[Nodo Final], W$3, tblRed[Activo], 1), 0)</f>
        <v>0</v>
      </c>
      <c r="X10" s="77">
        <f>IF(MatrizDeAdyacencia!X10=1, SUMIFS(tblRed[COSTE], tblRed[Nodo Inicial], $C10, tblRed[Nodo Final], X$3, tblRed[Activo], 1), 0)</f>
        <v>0</v>
      </c>
      <c r="Y10" s="77">
        <f>IF(MatrizDeAdyacencia!Y10=1, SUMIFS(tblRed[COSTE], tblRed[Nodo Inicial], $C10, tblRed[Nodo Final], Y$3, tblRed[Activo], 1), 0)</f>
        <v>0</v>
      </c>
      <c r="Z10" s="77">
        <f>IF(MatrizDeAdyacencia!Z10=1, SUMIFS(tblRed[COSTE], tblRed[Nodo Inicial], $C10, tblRed[Nodo Final], Z$3, tblRed[Activo], 1), 0)</f>
        <v>2.666666666666667</v>
      </c>
      <c r="AA10" s="77">
        <f>IF(MatrizDeAdyacencia!AA10=1, SUMIFS(tblRed[COSTE], tblRed[Nodo Inicial], $C10, tblRed[Nodo Final], AA$3, tblRed[Activo], 1), 0)</f>
        <v>0</v>
      </c>
      <c r="AB10" s="77">
        <f>IF(MatrizDeAdyacencia!AB10=1, SUMIFS(tblRed[COSTE], tblRed[Nodo Inicial], $C10, tblRed[Nodo Final], AB$3, tblRed[Activo], 1), 0)</f>
        <v>0</v>
      </c>
      <c r="AC10" s="77">
        <f>IF(MatrizDeAdyacencia!AC10=1, SUMIFS(tblRed[COSTE], tblRed[Nodo Inicial], $C10, tblRed[Nodo Final], AC$3, tblRed[Activo], 1), 0)</f>
        <v>0</v>
      </c>
      <c r="AD10" s="77">
        <f>IF(MatrizDeAdyacencia!AD10=1, SUMIFS(tblRed[COSTE], tblRed[Nodo Inicial], $C10, tblRed[Nodo Final], AD$3, tblRed[Activo], 1), 0)</f>
        <v>0</v>
      </c>
      <c r="AE10" s="77">
        <f>IF(MatrizDeAdyacencia!AE10=1, SUMIFS(tblRed[COSTE], tblRed[Nodo Inicial], $C10, tblRed[Nodo Final], AE$3, tblRed[Activo], 1), 0)</f>
        <v>0</v>
      </c>
      <c r="AF10" s="77">
        <f>IF(MatrizDeAdyacencia!AF10=1, SUMIFS(tblRed[COSTE], tblRed[Nodo Inicial], $C10, tblRed[Nodo Final], AF$3, tblRed[Activo], 1), 0)</f>
        <v>0</v>
      </c>
      <c r="AG10" s="77">
        <f>IF(MatrizDeAdyacencia!AG10=1, SUMIFS(tblRed[COSTE], tblRed[Nodo Inicial], $C10, tblRed[Nodo Final], AG$3, tblRed[Activo], 1), 0)</f>
        <v>0</v>
      </c>
      <c r="AH10" s="77">
        <f>IF(MatrizDeAdyacencia!AH10=1, SUMIFS(tblRed[COSTE], tblRed[Nodo Inicial], $C10, tblRed[Nodo Final], AH$3, tblRed[Activo], 1), 0)</f>
        <v>0</v>
      </c>
    </row>
    <row r="11" spans="2:34" ht="14.25" customHeight="1" x14ac:dyDescent="0.25">
      <c r="B11" s="8" t="str">
        <f>VLOOKUP(tblMatrizPonderadaCostes[[#This Row],[Nodo Orig.\Dest.]],tblNodos[],2,FALSE)</f>
        <v>Valor digital</v>
      </c>
      <c r="C11" s="4" t="s">
        <v>39</v>
      </c>
      <c r="D11" s="77">
        <f>IF(MatrizDeAdyacencia!D11=1, SUMIFS(tblRed[COSTE], tblRed[Nodo Inicial], $C11, tblRed[Nodo Final], D$3, tblRed[Activo], 1), 0)</f>
        <v>0</v>
      </c>
      <c r="E11" s="77">
        <f>IF(MatrizDeAdyacencia!E11=1, SUMIFS(tblRed[COSTE], tblRed[Nodo Inicial], $C11, tblRed[Nodo Final], E$3, tblRed[Activo], 1), 0)</f>
        <v>0</v>
      </c>
      <c r="F11" s="77">
        <f>IF(MatrizDeAdyacencia!F11=1, SUMIFS(tblRed[COSTE], tblRed[Nodo Inicial], $C11, tblRed[Nodo Final], F$3, tblRed[Activo], 1), 0)</f>
        <v>0</v>
      </c>
      <c r="G11" s="77">
        <f>IF(MatrizDeAdyacencia!G11=1, SUMIFS(tblRed[COSTE], tblRed[Nodo Inicial], $C11, tblRed[Nodo Final], G$3, tblRed[Activo], 1), 0)</f>
        <v>0</v>
      </c>
      <c r="H11" s="77">
        <f>IF(MatrizDeAdyacencia!H11=1, SUMIFS(tblRed[COSTE], tblRed[Nodo Inicial], $C11, tblRed[Nodo Final], H$3, tblRed[Activo], 1), 0)</f>
        <v>0</v>
      </c>
      <c r="I11" s="77">
        <f>IF(MatrizDeAdyacencia!I11=1, SUMIFS(tblRed[COSTE], tblRed[Nodo Inicial], $C11, tblRed[Nodo Final], I$3, tblRed[Activo], 1), 0)</f>
        <v>0</v>
      </c>
      <c r="J11" s="77">
        <f>IF(MatrizDeAdyacencia!J11=1, SUMIFS(tblRed[COSTE], tblRed[Nodo Inicial], $C11, tblRed[Nodo Final], J$3, tblRed[Activo], 1), 0)</f>
        <v>0</v>
      </c>
      <c r="K11" s="82">
        <f>IF(MatrizDeAdyacencia!K11=1, SUMIFS(tblRed[COSTE], tblRed[Nodo Inicial], $C11, tblRed[Nodo Final], K$3, tblRed[Activo], 1), 0)</f>
        <v>0</v>
      </c>
      <c r="L11" s="77">
        <f>IF(MatrizDeAdyacencia!L11=1, SUMIFS(tblRed[COSTE], tblRed[Nodo Inicial], $C11, tblRed[Nodo Final], L$3, tblRed[Activo], 1), 0)</f>
        <v>0</v>
      </c>
      <c r="M11" s="77">
        <f>IF(MatrizDeAdyacencia!M11=1, SUMIFS(tblRed[COSTE], tblRed[Nodo Inicial], $C11, tblRed[Nodo Final], M$3, tblRed[Activo], 1), 0)</f>
        <v>0</v>
      </c>
      <c r="N11" s="77">
        <f>IF(MatrizDeAdyacencia!N11=1, SUMIFS(tblRed[COSTE], tblRed[Nodo Inicial], $C11, tblRed[Nodo Final], N$3, tblRed[Activo], 1), 0)</f>
        <v>0</v>
      </c>
      <c r="O11" s="77">
        <f>IF(MatrizDeAdyacencia!O11=1, SUMIFS(tblRed[COSTE], tblRed[Nodo Inicial], $C11, tblRed[Nodo Final], O$3, tblRed[Activo], 1), 0)</f>
        <v>5</v>
      </c>
      <c r="P11" s="77">
        <f>IF(MatrizDeAdyacencia!P11=1, SUMIFS(tblRed[COSTE], tblRed[Nodo Inicial], $C11, tblRed[Nodo Final], P$3, tblRed[Activo], 1), 0)</f>
        <v>0</v>
      </c>
      <c r="Q11" s="77">
        <f>IF(MatrizDeAdyacencia!Q11=1, SUMIFS(tblRed[COSTE], tblRed[Nodo Inicial], $C11, tblRed[Nodo Final], Q$3, tblRed[Activo], 1), 0)</f>
        <v>0</v>
      </c>
      <c r="R11" s="77">
        <f>IF(MatrizDeAdyacencia!R11=1, SUMIFS(tblRed[COSTE], tblRed[Nodo Inicial], $C11, tblRed[Nodo Final], R$3, tblRed[Activo], 1), 0)</f>
        <v>0</v>
      </c>
      <c r="S11" s="77">
        <f>IF(MatrizDeAdyacencia!S11=1, SUMIFS(tblRed[COSTE], tblRed[Nodo Inicial], $C11, tblRed[Nodo Final], S$3, tblRed[Activo], 1), 0)</f>
        <v>0</v>
      </c>
      <c r="T11" s="77">
        <f>IF(MatrizDeAdyacencia!T11=1, SUMIFS(tblRed[COSTE], tblRed[Nodo Inicial], $C11, tblRed[Nodo Final], T$3, tblRed[Activo], 1), 0)</f>
        <v>0</v>
      </c>
      <c r="U11" s="77">
        <f>IF(MatrizDeAdyacencia!U11=1, SUMIFS(tblRed[COSTE], tblRed[Nodo Inicial], $C11, tblRed[Nodo Final], U$3, tblRed[Activo], 1), 0)</f>
        <v>0</v>
      </c>
      <c r="V11" s="79">
        <f>IF(MatrizDeAdyacencia!V11=1, SUMIFS(tblRed[COSTE], tblRed[Nodo Inicial], $C11, tblRed[Nodo Final], V$3, tblRed[Activo], 1), 0)</f>
        <v>0</v>
      </c>
      <c r="W11" s="77">
        <f>IF(MatrizDeAdyacencia!W11=1, SUMIFS(tblRed[COSTE], tblRed[Nodo Inicial], $C11, tblRed[Nodo Final], W$3, tblRed[Activo], 1), 0)</f>
        <v>0</v>
      </c>
      <c r="X11" s="77">
        <f>IF(MatrizDeAdyacencia!X11=1, SUMIFS(tblRed[COSTE], tblRed[Nodo Inicial], $C11, tblRed[Nodo Final], X$3, tblRed[Activo], 1), 0)</f>
        <v>3.8888888888888884</v>
      </c>
      <c r="Y11" s="77">
        <f>IF(MatrizDeAdyacencia!Y11=1, SUMIFS(tblRed[COSTE], tblRed[Nodo Inicial], $C11, tblRed[Nodo Final], Y$3, tblRed[Activo], 1), 0)</f>
        <v>0</v>
      </c>
      <c r="Z11" s="77">
        <f>IF(MatrizDeAdyacencia!Z11=1, SUMIFS(tblRed[COSTE], tblRed[Nodo Inicial], $C11, tblRed[Nodo Final], Z$3, tblRed[Activo], 1), 0)</f>
        <v>0</v>
      </c>
      <c r="AA11" s="77">
        <f>IF(MatrizDeAdyacencia!AA11=1, SUMIFS(tblRed[COSTE], tblRed[Nodo Inicial], $C11, tblRed[Nodo Final], AA$3, tblRed[Activo], 1), 0)</f>
        <v>0</v>
      </c>
      <c r="AB11" s="77">
        <f>IF(MatrizDeAdyacencia!AB11=1, SUMIFS(tblRed[COSTE], tblRed[Nodo Inicial], $C11, tblRed[Nodo Final], AB$3, tblRed[Activo], 1), 0)</f>
        <v>0</v>
      </c>
      <c r="AC11" s="77">
        <f>IF(MatrizDeAdyacencia!AC11=1, SUMIFS(tblRed[COSTE], tblRed[Nodo Inicial], $C11, tblRed[Nodo Final], AC$3, tblRed[Activo], 1), 0)</f>
        <v>0</v>
      </c>
      <c r="AD11" s="77">
        <f>IF(MatrizDeAdyacencia!AD11=1, SUMIFS(tblRed[COSTE], tblRed[Nodo Inicial], $C11, tblRed[Nodo Final], AD$3, tblRed[Activo], 1), 0)</f>
        <v>0</v>
      </c>
      <c r="AE11" s="77">
        <f>IF(MatrizDeAdyacencia!AE11=1, SUMIFS(tblRed[COSTE], tblRed[Nodo Inicial], $C11, tblRed[Nodo Final], AE$3, tblRed[Activo], 1), 0)</f>
        <v>0</v>
      </c>
      <c r="AF11" s="77">
        <f>IF(MatrizDeAdyacencia!AF11=1, SUMIFS(tblRed[COSTE], tblRed[Nodo Inicial], $C11, tblRed[Nodo Final], AF$3, tblRed[Activo], 1), 0)</f>
        <v>0</v>
      </c>
      <c r="AG11" s="77">
        <f>IF(MatrizDeAdyacencia!AG11=1, SUMIFS(tblRed[COSTE], tblRed[Nodo Inicial], $C11, tblRed[Nodo Final], AG$3, tblRed[Activo], 1), 0)</f>
        <v>0</v>
      </c>
      <c r="AH11" s="77">
        <f>IF(MatrizDeAdyacencia!AH11=1, SUMIFS(tblRed[COSTE], tblRed[Nodo Inicial], $C11, tblRed[Nodo Final], AH$3, tblRed[Activo], 1), 0)</f>
        <v>0</v>
      </c>
    </row>
    <row r="12" spans="2:34" ht="14.25" customHeight="1" x14ac:dyDescent="0.25">
      <c r="B12" s="8" t="str">
        <f>VLOOKUP(tblMatrizPonderadaCostes[[#This Row],[Nodo Orig.\Dest.]],tblNodos[],2,FALSE)</f>
        <v>Recaudación directa</v>
      </c>
      <c r="C12" s="4" t="s">
        <v>41</v>
      </c>
      <c r="D12" s="77">
        <f>IF(MatrizDeAdyacencia!D12=1, SUMIFS(tblRed[COSTE], tblRed[Nodo Inicial], $C12, tblRed[Nodo Final], D$3, tblRed[Activo], 1), 0)</f>
        <v>0</v>
      </c>
      <c r="E12" s="77">
        <f>IF(MatrizDeAdyacencia!E12=1, SUMIFS(tblRed[COSTE], tblRed[Nodo Inicial], $C12, tblRed[Nodo Final], E$3, tblRed[Activo], 1), 0)</f>
        <v>0</v>
      </c>
      <c r="F12" s="77">
        <f>IF(MatrizDeAdyacencia!F12=1, SUMIFS(tblRed[COSTE], tblRed[Nodo Inicial], $C12, tblRed[Nodo Final], F$3, tblRed[Activo], 1), 0)</f>
        <v>0</v>
      </c>
      <c r="G12" s="77">
        <f>IF(MatrizDeAdyacencia!G12=1, SUMIFS(tblRed[COSTE], tblRed[Nodo Inicial], $C12, tblRed[Nodo Final], G$3, tblRed[Activo], 1), 0)</f>
        <v>0</v>
      </c>
      <c r="H12" s="77">
        <f>IF(MatrizDeAdyacencia!H12=1, SUMIFS(tblRed[COSTE], tblRed[Nodo Inicial], $C12, tblRed[Nodo Final], H$3, tblRed[Activo], 1), 0)</f>
        <v>0</v>
      </c>
      <c r="I12" s="77">
        <f>IF(MatrizDeAdyacencia!I12=1, SUMIFS(tblRed[COSTE], tblRed[Nodo Inicial], $C12, tblRed[Nodo Final], I$3, tblRed[Activo], 1), 0)</f>
        <v>0</v>
      </c>
      <c r="J12" s="77">
        <f>IF(MatrizDeAdyacencia!J12=1, SUMIFS(tblRed[COSTE], tblRed[Nodo Inicial], $C12, tblRed[Nodo Final], J$3, tblRed[Activo], 1), 0)</f>
        <v>0</v>
      </c>
      <c r="K12" s="77">
        <f>IF(MatrizDeAdyacencia!K12=1, SUMIFS(tblRed[COSTE], tblRed[Nodo Inicial], $C12, tblRed[Nodo Final], K$3, tblRed[Activo], 1), 0)</f>
        <v>0</v>
      </c>
      <c r="L12" s="82">
        <f>IF(MatrizDeAdyacencia!L12=1, SUMIFS(tblRed[COSTE], tblRed[Nodo Inicial], $C12, tblRed[Nodo Final], L$3, tblRed[Activo], 1), 0)</f>
        <v>0</v>
      </c>
      <c r="M12" s="77">
        <f>IF(MatrizDeAdyacencia!M12=1, SUMIFS(tblRed[COSTE], tblRed[Nodo Inicial], $C12, tblRed[Nodo Final], M$3, tblRed[Activo], 1), 0)</f>
        <v>0</v>
      </c>
      <c r="N12" s="77">
        <f>IF(MatrizDeAdyacencia!N12=1, SUMIFS(tblRed[COSTE], tblRed[Nodo Inicial], $C12, tblRed[Nodo Final], N$3, tblRed[Activo], 1), 0)</f>
        <v>0</v>
      </c>
      <c r="O12" s="77">
        <f>IF(MatrizDeAdyacencia!O12=1, SUMIFS(tblRed[COSTE], tblRed[Nodo Inicial], $C12, tblRed[Nodo Final], O$3, tblRed[Activo], 1), 0)</f>
        <v>0</v>
      </c>
      <c r="P12" s="77">
        <f>IF(MatrizDeAdyacencia!P12=1, SUMIFS(tblRed[COSTE], tblRed[Nodo Inicial], $C12, tblRed[Nodo Final], P$3, tblRed[Activo], 1), 0)</f>
        <v>0</v>
      </c>
      <c r="Q12" s="77">
        <f>IF(MatrizDeAdyacencia!Q12=1, SUMIFS(tblRed[COSTE], tblRed[Nodo Inicial], $C12, tblRed[Nodo Final], Q$3, tblRed[Activo], 1), 0)</f>
        <v>0</v>
      </c>
      <c r="R12" s="77">
        <f>IF(MatrizDeAdyacencia!R12=1, SUMIFS(tblRed[COSTE], tblRed[Nodo Inicial], $C12, tblRed[Nodo Final], R$3, tblRed[Activo], 1), 0)</f>
        <v>3.7692307692307692</v>
      </c>
      <c r="S12" s="77">
        <f>IF(MatrizDeAdyacencia!S12=1, SUMIFS(tblRed[COSTE], tblRed[Nodo Inicial], $C12, tblRed[Nodo Final], S$3, tblRed[Activo], 1), 0)</f>
        <v>0</v>
      </c>
      <c r="T12" s="77">
        <f>IF(MatrizDeAdyacencia!T12=1, SUMIFS(tblRed[COSTE], tblRed[Nodo Inicial], $C12, tblRed[Nodo Final], T$3, tblRed[Activo], 1), 0)</f>
        <v>0</v>
      </c>
      <c r="U12" s="77">
        <f>IF(MatrizDeAdyacencia!U12=1, SUMIFS(tblRed[COSTE], tblRed[Nodo Inicial], $C12, tblRed[Nodo Final], U$3, tblRed[Activo], 1), 0)</f>
        <v>0</v>
      </c>
      <c r="V12" s="79">
        <f>IF(MatrizDeAdyacencia!V12=1, SUMIFS(tblRed[COSTE], tblRed[Nodo Inicial], $C12, tblRed[Nodo Final], V$3, tblRed[Activo], 1), 0)</f>
        <v>0</v>
      </c>
      <c r="W12" s="77">
        <f>IF(MatrizDeAdyacencia!W12=1, SUMIFS(tblRed[COSTE], tblRed[Nodo Inicial], $C12, tblRed[Nodo Final], W$3, tblRed[Activo], 1), 0)</f>
        <v>0</v>
      </c>
      <c r="X12" s="77">
        <f>IF(MatrizDeAdyacencia!X12=1, SUMIFS(tblRed[COSTE], tblRed[Nodo Inicial], $C12, tblRed[Nodo Final], X$3, tblRed[Activo], 1), 0)</f>
        <v>0</v>
      </c>
      <c r="Y12" s="77">
        <f>IF(MatrizDeAdyacencia!Y12=1, SUMIFS(tblRed[COSTE], tblRed[Nodo Inicial], $C12, tblRed[Nodo Final], Y$3, tblRed[Activo], 1), 0)</f>
        <v>0</v>
      </c>
      <c r="Z12" s="77">
        <f>IF(MatrizDeAdyacencia!Z12=1, SUMIFS(tblRed[COSTE], tblRed[Nodo Inicial], $C12, tblRed[Nodo Final], Z$3, tblRed[Activo], 1), 0)</f>
        <v>0</v>
      </c>
      <c r="AA12" s="77">
        <f>IF(MatrizDeAdyacencia!AA12=1, SUMIFS(tblRed[COSTE], tblRed[Nodo Inicial], $C12, tblRed[Nodo Final], AA$3, tblRed[Activo], 1), 0)</f>
        <v>0</v>
      </c>
      <c r="AB12" s="77">
        <f>IF(MatrizDeAdyacencia!AB12=1, SUMIFS(tblRed[COSTE], tblRed[Nodo Inicial], $C12, tblRed[Nodo Final], AB$3, tblRed[Activo], 1), 0)</f>
        <v>0</v>
      </c>
      <c r="AC12" s="77">
        <f>IF(MatrizDeAdyacencia!AC12=1, SUMIFS(tblRed[COSTE], tblRed[Nodo Inicial], $C12, tblRed[Nodo Final], AC$3, tblRed[Activo], 1), 0)</f>
        <v>0</v>
      </c>
      <c r="AD12" s="77">
        <f>IF(MatrizDeAdyacencia!AD12=1, SUMIFS(tblRed[COSTE], tblRed[Nodo Inicial], $C12, tblRed[Nodo Final], AD$3, tblRed[Activo], 1), 0)</f>
        <v>5</v>
      </c>
      <c r="AE12" s="77">
        <f>IF(MatrizDeAdyacencia!AE12=1, SUMIFS(tblRed[COSTE], tblRed[Nodo Inicial], $C12, tblRed[Nodo Final], AE$3, tblRed[Activo], 1), 0)</f>
        <v>0</v>
      </c>
      <c r="AF12" s="77">
        <f>IF(MatrizDeAdyacencia!AF12=1, SUMIFS(tblRed[COSTE], tblRed[Nodo Inicial], $C12, tblRed[Nodo Final], AF$3, tblRed[Activo], 1), 0)</f>
        <v>0</v>
      </c>
      <c r="AG12" s="77">
        <f>IF(MatrizDeAdyacencia!AG12=1, SUMIFS(tblRed[COSTE], tblRed[Nodo Inicial], $C12, tblRed[Nodo Final], AG$3, tblRed[Activo], 1), 0)</f>
        <v>0</v>
      </c>
      <c r="AH12" s="77">
        <f>IF(MatrizDeAdyacencia!AH12=1, SUMIFS(tblRed[COSTE], tblRed[Nodo Inicial], $C12, tblRed[Nodo Final], AH$3, tblRed[Activo], 1), 0)</f>
        <v>0</v>
      </c>
    </row>
    <row r="13" spans="2:34" ht="14.25" customHeight="1" x14ac:dyDescent="0.25">
      <c r="B13" s="8" t="str">
        <f>VLOOKUP(tblMatrizPonderadaCostes[[#This Row],[Nodo Orig.\Dest.]],tblNodos[],2,FALSE)</f>
        <v>Agregadores de fondos</v>
      </c>
      <c r="C13" s="4" t="s">
        <v>43</v>
      </c>
      <c r="D13" s="77">
        <f>IF(MatrizDeAdyacencia!D13=1, SUMIFS(tblRed[COSTE], tblRed[Nodo Inicial], $C13, tblRed[Nodo Final], D$3, tblRed[Activo], 1), 0)</f>
        <v>0</v>
      </c>
      <c r="E13" s="77">
        <f>IF(MatrizDeAdyacencia!E13=1, SUMIFS(tblRed[COSTE], tblRed[Nodo Inicial], $C13, tblRed[Nodo Final], E$3, tblRed[Activo], 1), 0)</f>
        <v>0</v>
      </c>
      <c r="F13" s="77">
        <f>IF(MatrizDeAdyacencia!F13=1, SUMIFS(tblRed[COSTE], tblRed[Nodo Inicial], $C13, tblRed[Nodo Final], F$3, tblRed[Activo], 1), 0)</f>
        <v>0</v>
      </c>
      <c r="G13" s="77">
        <f>IF(MatrizDeAdyacencia!G13=1, SUMIFS(tblRed[COSTE], tblRed[Nodo Inicial], $C13, tblRed[Nodo Final], G$3, tblRed[Activo], 1), 0)</f>
        <v>0</v>
      </c>
      <c r="H13" s="77">
        <f>IF(MatrizDeAdyacencia!H13=1, SUMIFS(tblRed[COSTE], tblRed[Nodo Inicial], $C13, tblRed[Nodo Final], H$3, tblRed[Activo], 1), 0)</f>
        <v>0</v>
      </c>
      <c r="I13" s="77">
        <f>IF(MatrizDeAdyacencia!I13=1, SUMIFS(tblRed[COSTE], tblRed[Nodo Inicial], $C13, tblRed[Nodo Final], I$3, tblRed[Activo], 1), 0)</f>
        <v>0</v>
      </c>
      <c r="J13" s="77">
        <f>IF(MatrizDeAdyacencia!J13=1, SUMIFS(tblRed[COSTE], tblRed[Nodo Inicial], $C13, tblRed[Nodo Final], J$3, tblRed[Activo], 1), 0)</f>
        <v>0</v>
      </c>
      <c r="K13" s="77">
        <f>IF(MatrizDeAdyacencia!K13=1, SUMIFS(tblRed[COSTE], tblRed[Nodo Inicial], $C13, tblRed[Nodo Final], K$3, tblRed[Activo], 1), 0)</f>
        <v>0</v>
      </c>
      <c r="L13" s="77">
        <f>IF(MatrizDeAdyacencia!L13=1, SUMIFS(tblRed[COSTE], tblRed[Nodo Inicial], $C13, tblRed[Nodo Final], L$3, tblRed[Activo], 1), 0)</f>
        <v>0</v>
      </c>
      <c r="M13" s="82">
        <f>IF(MatrizDeAdyacencia!M13=1, SUMIFS(tblRed[COSTE], tblRed[Nodo Inicial], $C13, tblRed[Nodo Final], M$3, tblRed[Activo], 1), 0)</f>
        <v>0</v>
      </c>
      <c r="N13" s="77">
        <f>IF(MatrizDeAdyacencia!N13=1, SUMIFS(tblRed[COSTE], tblRed[Nodo Inicial], $C13, tblRed[Nodo Final], N$3, tblRed[Activo], 1), 0)</f>
        <v>0</v>
      </c>
      <c r="O13" s="77">
        <f>IF(MatrizDeAdyacencia!O13=1, SUMIFS(tblRed[COSTE], tblRed[Nodo Inicial], $C13, tblRed[Nodo Final], O$3, tblRed[Activo], 1), 0)</f>
        <v>0</v>
      </c>
      <c r="P13" s="77">
        <f>IF(MatrizDeAdyacencia!P13=1, SUMIFS(tblRed[COSTE], tblRed[Nodo Inicial], $C13, tblRed[Nodo Final], P$3, tblRed[Activo], 1), 0)</f>
        <v>0</v>
      </c>
      <c r="Q13" s="77">
        <f>IF(MatrizDeAdyacencia!Q13=1, SUMIFS(tblRed[COSTE], tblRed[Nodo Inicial], $C13, tblRed[Nodo Final], Q$3, tblRed[Activo], 1), 0)</f>
        <v>0</v>
      </c>
      <c r="R13" s="77">
        <f>IF(MatrizDeAdyacencia!R13=1, SUMIFS(tblRed[COSTE], tblRed[Nodo Inicial], $C13, tblRed[Nodo Final], R$3, tblRed[Activo], 1), 0)</f>
        <v>0</v>
      </c>
      <c r="S13" s="77">
        <f>IF(MatrizDeAdyacencia!S13=1, SUMIFS(tblRed[COSTE], tblRed[Nodo Inicial], $C13, tblRed[Nodo Final], S$3, tblRed[Activo], 1), 0)</f>
        <v>5</v>
      </c>
      <c r="T13" s="77">
        <f>IF(MatrizDeAdyacencia!T13=1, SUMIFS(tblRed[COSTE], tblRed[Nodo Inicial], $C13, tblRed[Nodo Final], T$3, tblRed[Activo], 1), 0)</f>
        <v>4</v>
      </c>
      <c r="U13" s="77">
        <f>IF(MatrizDeAdyacencia!U13=1, SUMIFS(tblRed[COSTE], tblRed[Nodo Inicial], $C13, tblRed[Nodo Final], U$3, tblRed[Activo], 1), 0)</f>
        <v>0</v>
      </c>
      <c r="V13" s="79">
        <f>IF(MatrizDeAdyacencia!V13=1, SUMIFS(tblRed[COSTE], tblRed[Nodo Inicial], $C13, tblRed[Nodo Final], V$3, tblRed[Activo], 1), 0)</f>
        <v>0</v>
      </c>
      <c r="W13" s="77">
        <f>IF(MatrizDeAdyacencia!W13=1, SUMIFS(tblRed[COSTE], tblRed[Nodo Inicial], $C13, tblRed[Nodo Final], W$3, tblRed[Activo], 1), 0)</f>
        <v>0</v>
      </c>
      <c r="X13" s="77">
        <f>IF(MatrizDeAdyacencia!X13=1, SUMIFS(tblRed[COSTE], tblRed[Nodo Inicial], $C13, tblRed[Nodo Final], X$3, tblRed[Activo], 1), 0)</f>
        <v>3.9333333333333327</v>
      </c>
      <c r="Y13" s="77">
        <f>IF(MatrizDeAdyacencia!Y13=1, SUMIFS(tblRed[COSTE], tblRed[Nodo Inicial], $C13, tblRed[Nodo Final], Y$3, tblRed[Activo], 1), 0)</f>
        <v>0</v>
      </c>
      <c r="Z13" s="77">
        <f>IF(MatrizDeAdyacencia!Z13=1, SUMIFS(tblRed[COSTE], tblRed[Nodo Inicial], $C13, tblRed[Nodo Final], Z$3, tblRed[Activo], 1), 0)</f>
        <v>0</v>
      </c>
      <c r="AA13" s="77">
        <f>IF(MatrizDeAdyacencia!AA13=1, SUMIFS(tblRed[COSTE], tblRed[Nodo Inicial], $C13, tblRed[Nodo Final], AA$3, tblRed[Activo], 1), 0)</f>
        <v>0</v>
      </c>
      <c r="AB13" s="77">
        <f>IF(MatrizDeAdyacencia!AB13=1, SUMIFS(tblRed[COSTE], tblRed[Nodo Inicial], $C13, tblRed[Nodo Final], AB$3, tblRed[Activo], 1), 0)</f>
        <v>4.75</v>
      </c>
      <c r="AC13" s="77">
        <f>IF(MatrizDeAdyacencia!AC13=1, SUMIFS(tblRed[COSTE], tblRed[Nodo Inicial], $C13, tblRed[Nodo Final], AC$3, tblRed[Activo], 1), 0)</f>
        <v>0</v>
      </c>
      <c r="AD13" s="77">
        <f>IF(MatrizDeAdyacencia!AD13=1, SUMIFS(tblRed[COSTE], tblRed[Nodo Inicial], $C13, tblRed[Nodo Final], AD$3, tblRed[Activo], 1), 0)</f>
        <v>0</v>
      </c>
      <c r="AE13" s="77">
        <f>IF(MatrizDeAdyacencia!AE13=1, SUMIFS(tblRed[COSTE], tblRed[Nodo Inicial], $C13, tblRed[Nodo Final], AE$3, tblRed[Activo], 1), 0)</f>
        <v>0</v>
      </c>
      <c r="AF13" s="77">
        <f>IF(MatrizDeAdyacencia!AF13=1, SUMIFS(tblRed[COSTE], tblRed[Nodo Inicial], $C13, tblRed[Nodo Final], AF$3, tblRed[Activo], 1), 0)</f>
        <v>0</v>
      </c>
      <c r="AG13" s="77">
        <f>IF(MatrizDeAdyacencia!AG13=1, SUMIFS(tblRed[COSTE], tblRed[Nodo Inicial], $C13, tblRed[Nodo Final], AG$3, tblRed[Activo], 1), 0)</f>
        <v>0</v>
      </c>
      <c r="AH13" s="77">
        <f>IF(MatrizDeAdyacencia!AH13=1, SUMIFS(tblRed[COSTE], tblRed[Nodo Inicial], $C13, tblRed[Nodo Final], AH$3, tblRed[Activo], 1), 0)</f>
        <v>0</v>
      </c>
    </row>
    <row r="14" spans="2:34" ht="14.25" customHeight="1" x14ac:dyDescent="0.25">
      <c r="B14" s="8" t="str">
        <f>VLOOKUP(tblMatrizPonderadaCostes[[#This Row],[Nodo Orig.\Dest.]],tblNodos[],2,FALSE)</f>
        <v>Estructuras organizadas de captación</v>
      </c>
      <c r="C14" s="4" t="s">
        <v>45</v>
      </c>
      <c r="D14" s="77">
        <f>IF(MatrizDeAdyacencia!D14=1, SUMIFS(tblRed[COSTE], tblRed[Nodo Inicial], $C14, tblRed[Nodo Final], D$3, tblRed[Activo], 1), 0)</f>
        <v>0</v>
      </c>
      <c r="E14" s="77">
        <f>IF(MatrizDeAdyacencia!E14=1, SUMIFS(tblRed[COSTE], tblRed[Nodo Inicial], $C14, tblRed[Nodo Final], E$3, tblRed[Activo], 1), 0)</f>
        <v>0</v>
      </c>
      <c r="F14" s="77">
        <f>IF(MatrizDeAdyacencia!F14=1, SUMIFS(tblRed[COSTE], tblRed[Nodo Inicial], $C14, tblRed[Nodo Final], F$3, tblRed[Activo], 1), 0)</f>
        <v>0</v>
      </c>
      <c r="G14" s="77">
        <f>IF(MatrizDeAdyacencia!G14=1, SUMIFS(tblRed[COSTE], tblRed[Nodo Inicial], $C14, tblRed[Nodo Final], G$3, tblRed[Activo], 1), 0)</f>
        <v>0</v>
      </c>
      <c r="H14" s="77">
        <f>IF(MatrizDeAdyacencia!H14=1, SUMIFS(tblRed[COSTE], tblRed[Nodo Inicial], $C14, tblRed[Nodo Final], H$3, tblRed[Activo], 1), 0)</f>
        <v>0</v>
      </c>
      <c r="I14" s="77">
        <f>IF(MatrizDeAdyacencia!I14=1, SUMIFS(tblRed[COSTE], tblRed[Nodo Inicial], $C14, tblRed[Nodo Final], I$3, tblRed[Activo], 1), 0)</f>
        <v>0</v>
      </c>
      <c r="J14" s="77">
        <f>IF(MatrizDeAdyacencia!J14=1, SUMIFS(tblRed[COSTE], tblRed[Nodo Inicial], $C14, tblRed[Nodo Final], J$3, tblRed[Activo], 1), 0)</f>
        <v>0</v>
      </c>
      <c r="K14" s="77">
        <f>IF(MatrizDeAdyacencia!K14=1, SUMIFS(tblRed[COSTE], tblRed[Nodo Inicial], $C14, tblRed[Nodo Final], K$3, tblRed[Activo], 1), 0)</f>
        <v>0</v>
      </c>
      <c r="L14" s="77">
        <f>IF(MatrizDeAdyacencia!L14=1, SUMIFS(tblRed[COSTE], tblRed[Nodo Inicial], $C14, tblRed[Nodo Final], L$3, tblRed[Activo], 1), 0)</f>
        <v>0</v>
      </c>
      <c r="M14" s="77">
        <f>IF(MatrizDeAdyacencia!M14=1, SUMIFS(tblRed[COSTE], tblRed[Nodo Inicial], $C14, tblRed[Nodo Final], M$3, tblRed[Activo], 1), 0)</f>
        <v>0</v>
      </c>
      <c r="N14" s="82">
        <f>IF(MatrizDeAdyacencia!N14=1, SUMIFS(tblRed[COSTE], tblRed[Nodo Inicial], $C14, tblRed[Nodo Final], N$3, tblRed[Activo], 1), 0)</f>
        <v>0</v>
      </c>
      <c r="O14" s="77">
        <f>IF(MatrizDeAdyacencia!O14=1, SUMIFS(tblRed[COSTE], tblRed[Nodo Inicial], $C14, tblRed[Nodo Final], O$3, tblRed[Activo], 1), 0)</f>
        <v>0</v>
      </c>
      <c r="P14" s="77">
        <f>IF(MatrizDeAdyacencia!P14=1, SUMIFS(tblRed[COSTE], tblRed[Nodo Inicial], $C14, tblRed[Nodo Final], P$3, tblRed[Activo], 1), 0)</f>
        <v>0</v>
      </c>
      <c r="Q14" s="77">
        <f>IF(MatrizDeAdyacencia!Q14=1, SUMIFS(tblRed[COSTE], tblRed[Nodo Inicial], $C14, tblRed[Nodo Final], Q$3, tblRed[Activo], 1), 0)</f>
        <v>0</v>
      </c>
      <c r="R14" s="77">
        <f>IF(MatrizDeAdyacencia!R14=1, SUMIFS(tblRed[COSTE], tblRed[Nodo Inicial], $C14, tblRed[Nodo Final], R$3, tblRed[Activo], 1), 0)</f>
        <v>0</v>
      </c>
      <c r="S14" s="77">
        <f>IF(MatrizDeAdyacencia!S14=1, SUMIFS(tblRed[COSTE], tblRed[Nodo Inicial], $C14, tblRed[Nodo Final], S$3, tblRed[Activo], 1), 0)</f>
        <v>4.7142857142857144</v>
      </c>
      <c r="T14" s="77">
        <f>IF(MatrizDeAdyacencia!T14=1, SUMIFS(tblRed[COSTE], tblRed[Nodo Inicial], $C14, tblRed[Nodo Final], T$3, tblRed[Activo], 1), 0)</f>
        <v>0</v>
      </c>
      <c r="U14" s="77">
        <f>IF(MatrizDeAdyacencia!U14=1, SUMIFS(tblRed[COSTE], tblRed[Nodo Inicial], $C14, tblRed[Nodo Final], U$3, tblRed[Activo], 1), 0)</f>
        <v>0</v>
      </c>
      <c r="V14" s="79">
        <f>IF(MatrizDeAdyacencia!V14=1, SUMIFS(tblRed[COSTE], tblRed[Nodo Inicial], $C14, tblRed[Nodo Final], V$3, tblRed[Activo], 1), 0)</f>
        <v>0</v>
      </c>
      <c r="W14" s="77">
        <f>IF(MatrizDeAdyacencia!W14=1, SUMIFS(tblRed[COSTE], tblRed[Nodo Inicial], $C14, tblRed[Nodo Final], W$3, tblRed[Activo], 1), 0)</f>
        <v>5</v>
      </c>
      <c r="X14" s="77">
        <f>IF(MatrizDeAdyacencia!X14=1, SUMIFS(tblRed[COSTE], tblRed[Nodo Inicial], $C14, tblRed[Nodo Final], X$3, tblRed[Activo], 1), 0)</f>
        <v>0</v>
      </c>
      <c r="Y14" s="77">
        <f>IF(MatrizDeAdyacencia!Y14=1, SUMIFS(tblRed[COSTE], tblRed[Nodo Inicial], $C14, tblRed[Nodo Final], Y$3, tblRed[Activo], 1), 0)</f>
        <v>0</v>
      </c>
      <c r="Z14" s="77">
        <f>IF(MatrizDeAdyacencia!Z14=1, SUMIFS(tblRed[COSTE], tblRed[Nodo Inicial], $C14, tblRed[Nodo Final], Z$3, tblRed[Activo], 1), 0)</f>
        <v>0</v>
      </c>
      <c r="AA14" s="77">
        <f>IF(MatrizDeAdyacencia!AA14=1, SUMIFS(tblRed[COSTE], tblRed[Nodo Inicial], $C14, tblRed[Nodo Final], AA$3, tblRed[Activo], 1), 0)</f>
        <v>0</v>
      </c>
      <c r="AB14" s="77">
        <f>IF(MatrizDeAdyacencia!AB14=1, SUMIFS(tblRed[COSTE], tblRed[Nodo Inicial], $C14, tblRed[Nodo Final], AB$3, tblRed[Activo], 1), 0)</f>
        <v>0</v>
      </c>
      <c r="AC14" s="77">
        <f>IF(MatrizDeAdyacencia!AC14=1, SUMIFS(tblRed[COSTE], tblRed[Nodo Inicial], $C14, tblRed[Nodo Final], AC$3, tblRed[Activo], 1), 0)</f>
        <v>0</v>
      </c>
      <c r="AD14" s="77">
        <f>IF(MatrizDeAdyacencia!AD14=1, SUMIFS(tblRed[COSTE], tblRed[Nodo Inicial], $C14, tblRed[Nodo Final], AD$3, tblRed[Activo], 1), 0)</f>
        <v>0</v>
      </c>
      <c r="AE14" s="77">
        <f>IF(MatrizDeAdyacencia!AE14=1, SUMIFS(tblRed[COSTE], tblRed[Nodo Inicial], $C14, tblRed[Nodo Final], AE$3, tblRed[Activo], 1), 0)</f>
        <v>0</v>
      </c>
      <c r="AF14" s="77">
        <f>IF(MatrizDeAdyacencia!AF14=1, SUMIFS(tblRed[COSTE], tblRed[Nodo Inicial], $C14, tblRed[Nodo Final], AF$3, tblRed[Activo], 1), 0)</f>
        <v>0</v>
      </c>
      <c r="AG14" s="77">
        <f>IF(MatrizDeAdyacencia!AG14=1, SUMIFS(tblRed[COSTE], tblRed[Nodo Inicial], $C14, tblRed[Nodo Final], AG$3, tblRed[Activo], 1), 0)</f>
        <v>5</v>
      </c>
      <c r="AH14" s="77">
        <f>IF(MatrizDeAdyacencia!AH14=1, SUMIFS(tblRed[COSTE], tblRed[Nodo Inicial], $C14, tblRed[Nodo Final], AH$3, tblRed[Activo], 1), 0)</f>
        <v>0</v>
      </c>
    </row>
    <row r="15" spans="2:34" ht="14.25" customHeight="1" x14ac:dyDescent="0.25">
      <c r="B15" s="8" t="str">
        <f>VLOOKUP(tblMatrizPonderadaCostes[[#This Row],[Nodo Orig.\Dest.]],tblNodos[],2,FALSE)</f>
        <v>Colectores digitales instrumentales</v>
      </c>
      <c r="C15" s="4" t="s">
        <v>47</v>
      </c>
      <c r="D15" s="77">
        <f>IF(MatrizDeAdyacencia!D15=1, SUMIFS(tblRed[COSTE], tblRed[Nodo Inicial], $C15, tblRed[Nodo Final], D$3, tblRed[Activo], 1), 0)</f>
        <v>0</v>
      </c>
      <c r="E15" s="77">
        <f>IF(MatrizDeAdyacencia!E15=1, SUMIFS(tblRed[COSTE], tblRed[Nodo Inicial], $C15, tblRed[Nodo Final], E$3, tblRed[Activo], 1), 0)</f>
        <v>0</v>
      </c>
      <c r="F15" s="77">
        <f>IF(MatrizDeAdyacencia!F15=1, SUMIFS(tblRed[COSTE], tblRed[Nodo Inicial], $C15, tblRed[Nodo Final], F$3, tblRed[Activo], 1), 0)</f>
        <v>0</v>
      </c>
      <c r="G15" s="77">
        <f>IF(MatrizDeAdyacencia!G15=1, SUMIFS(tblRed[COSTE], tblRed[Nodo Inicial], $C15, tblRed[Nodo Final], G$3, tblRed[Activo], 1), 0)</f>
        <v>0</v>
      </c>
      <c r="H15" s="77">
        <f>IF(MatrizDeAdyacencia!H15=1, SUMIFS(tblRed[COSTE], tblRed[Nodo Inicial], $C15, tblRed[Nodo Final], H$3, tblRed[Activo], 1), 0)</f>
        <v>0</v>
      </c>
      <c r="I15" s="77">
        <f>IF(MatrizDeAdyacencia!I15=1, SUMIFS(tblRed[COSTE], tblRed[Nodo Inicial], $C15, tblRed[Nodo Final], I$3, tblRed[Activo], 1), 0)</f>
        <v>0</v>
      </c>
      <c r="J15" s="77">
        <f>IF(MatrizDeAdyacencia!J15=1, SUMIFS(tblRed[COSTE], tblRed[Nodo Inicial], $C15, tblRed[Nodo Final], J$3, tblRed[Activo], 1), 0)</f>
        <v>0</v>
      </c>
      <c r="K15" s="77">
        <f>IF(MatrizDeAdyacencia!K15=1, SUMIFS(tblRed[COSTE], tblRed[Nodo Inicial], $C15, tblRed[Nodo Final], K$3, tblRed[Activo], 1), 0)</f>
        <v>0</v>
      </c>
      <c r="L15" s="77">
        <f>IF(MatrizDeAdyacencia!L15=1, SUMIFS(tblRed[COSTE], tblRed[Nodo Inicial], $C15, tblRed[Nodo Final], L$3, tblRed[Activo], 1), 0)</f>
        <v>0</v>
      </c>
      <c r="M15" s="77">
        <f>IF(MatrizDeAdyacencia!M15=1, SUMIFS(tblRed[COSTE], tblRed[Nodo Inicial], $C15, tblRed[Nodo Final], M$3, tblRed[Activo], 1), 0)</f>
        <v>0</v>
      </c>
      <c r="N15" s="77">
        <f>IF(MatrizDeAdyacencia!N15=1, SUMIFS(tblRed[COSTE], tblRed[Nodo Inicial], $C15, tblRed[Nodo Final], N$3, tblRed[Activo], 1), 0)</f>
        <v>0</v>
      </c>
      <c r="O15" s="82">
        <f>IF(MatrizDeAdyacencia!O15=1, SUMIFS(tblRed[COSTE], tblRed[Nodo Inicial], $C15, tblRed[Nodo Final], O$3, tblRed[Activo], 1), 0)</f>
        <v>0</v>
      </c>
      <c r="P15" s="77">
        <f>IF(MatrizDeAdyacencia!P15=1, SUMIFS(tblRed[COSTE], tblRed[Nodo Inicial], $C15, tblRed[Nodo Final], P$3, tblRed[Activo], 1), 0)</f>
        <v>0</v>
      </c>
      <c r="Q15" s="77">
        <f>IF(MatrizDeAdyacencia!Q15=1, SUMIFS(tblRed[COSTE], tblRed[Nodo Inicial], $C15, tblRed[Nodo Final], Q$3, tblRed[Activo], 1), 0)</f>
        <v>0</v>
      </c>
      <c r="R15" s="77">
        <f>IF(MatrizDeAdyacencia!R15=1, SUMIFS(tblRed[COSTE], tblRed[Nodo Inicial], $C15, tblRed[Nodo Final], R$3, tblRed[Activo], 1), 0)</f>
        <v>0</v>
      </c>
      <c r="S15" s="77">
        <f>IF(MatrizDeAdyacencia!S15=1, SUMIFS(tblRed[COSTE], tblRed[Nodo Inicial], $C15, tblRed[Nodo Final], S$3, tblRed[Activo], 1), 0)</f>
        <v>0</v>
      </c>
      <c r="T15" s="77">
        <f>IF(MatrizDeAdyacencia!T15=1, SUMIFS(tblRed[COSTE], tblRed[Nodo Inicial], $C15, tblRed[Nodo Final], T$3, tblRed[Activo], 1), 0)</f>
        <v>0</v>
      </c>
      <c r="U15" s="77">
        <f>IF(MatrizDeAdyacencia!U15=1, SUMIFS(tblRed[COSTE], tblRed[Nodo Inicial], $C15, tblRed[Nodo Final], U$3, tblRed[Activo], 1), 0)</f>
        <v>0</v>
      </c>
      <c r="V15" s="79">
        <f>IF(MatrizDeAdyacencia!V15=1, SUMIFS(tblRed[COSTE], tblRed[Nodo Inicial], $C15, tblRed[Nodo Final], V$3, tblRed[Activo], 1), 0)</f>
        <v>0</v>
      </c>
      <c r="W15" s="77">
        <f>IF(MatrizDeAdyacencia!W15=1, SUMIFS(tblRed[COSTE], tblRed[Nodo Inicial], $C15, tblRed[Nodo Final], W$3, tblRed[Activo], 1), 0)</f>
        <v>5</v>
      </c>
      <c r="X15" s="77">
        <f>IF(MatrizDeAdyacencia!X15=1, SUMIFS(tblRed[COSTE], tblRed[Nodo Inicial], $C15, tblRed[Nodo Final], X$3, tblRed[Activo], 1), 0)</f>
        <v>4.1666666666666661</v>
      </c>
      <c r="Y15" s="77">
        <f>IF(MatrizDeAdyacencia!Y15=1, SUMIFS(tblRed[COSTE], tblRed[Nodo Inicial], $C15, tblRed[Nodo Final], Y$3, tblRed[Activo], 1), 0)</f>
        <v>0</v>
      </c>
      <c r="Z15" s="77">
        <f>IF(MatrizDeAdyacencia!Z15=1, SUMIFS(tblRed[COSTE], tblRed[Nodo Inicial], $C15, tblRed[Nodo Final], Z$3, tblRed[Activo], 1), 0)</f>
        <v>0</v>
      </c>
      <c r="AA15" s="77">
        <f>IF(MatrizDeAdyacencia!AA15=1, SUMIFS(tblRed[COSTE], tblRed[Nodo Inicial], $C15, tblRed[Nodo Final], AA$3, tblRed[Activo], 1), 0)</f>
        <v>0</v>
      </c>
      <c r="AB15" s="77">
        <f>IF(MatrizDeAdyacencia!AB15=1, SUMIFS(tblRed[COSTE], tblRed[Nodo Inicial], $C15, tblRed[Nodo Final], AB$3, tblRed[Activo], 1), 0)</f>
        <v>0</v>
      </c>
      <c r="AC15" s="77">
        <f>IF(MatrizDeAdyacencia!AC15=1, SUMIFS(tblRed[COSTE], tblRed[Nodo Inicial], $C15, tblRed[Nodo Final], AC$3, tblRed[Activo], 1), 0)</f>
        <v>0</v>
      </c>
      <c r="AD15" s="77">
        <f>IF(MatrizDeAdyacencia!AD15=1, SUMIFS(tblRed[COSTE], tblRed[Nodo Inicial], $C15, tblRed[Nodo Final], AD$3, tblRed[Activo], 1), 0)</f>
        <v>0</v>
      </c>
      <c r="AE15" s="77">
        <f>IF(MatrizDeAdyacencia!AE15=1, SUMIFS(tblRed[COSTE], tblRed[Nodo Inicial], $C15, tblRed[Nodo Final], AE$3, tblRed[Activo], 1), 0)</f>
        <v>0</v>
      </c>
      <c r="AF15" s="77">
        <f>IF(MatrizDeAdyacencia!AF15=1, SUMIFS(tblRed[COSTE], tblRed[Nodo Inicial], $C15, tblRed[Nodo Final], AF$3, tblRed[Activo], 1), 0)</f>
        <v>0</v>
      </c>
      <c r="AG15" s="77">
        <f>IF(MatrizDeAdyacencia!AG15=1, SUMIFS(tblRed[COSTE], tblRed[Nodo Inicial], $C15, tblRed[Nodo Final], AG$3, tblRed[Activo], 1), 0)</f>
        <v>5</v>
      </c>
      <c r="AH15" s="77">
        <f>IF(MatrizDeAdyacencia!AH15=1, SUMIFS(tblRed[COSTE], tblRed[Nodo Inicial], $C15, tblRed[Nodo Final], AH$3, tblRed[Activo], 1), 0)</f>
        <v>0</v>
      </c>
    </row>
    <row r="16" spans="2:34" ht="14.25" customHeight="1" x14ac:dyDescent="0.25">
      <c r="B16" s="8" t="str">
        <f>VLOOKUP(tblMatrizPonderadaCostes[[#This Row],[Nodo Orig.\Dest.]],tblNodos[],2,FALSE)</f>
        <v>Colectores empresariales y vehiculares</v>
      </c>
      <c r="C16" s="4" t="s">
        <v>49</v>
      </c>
      <c r="D16" s="77">
        <f>IF(MatrizDeAdyacencia!D16=1, SUMIFS(tblRed[COSTE], tblRed[Nodo Inicial], $C16, tblRed[Nodo Final], D$3, tblRed[Activo], 1), 0)</f>
        <v>0</v>
      </c>
      <c r="E16" s="77">
        <f>IF(MatrizDeAdyacencia!E16=1, SUMIFS(tblRed[COSTE], tblRed[Nodo Inicial], $C16, tblRed[Nodo Final], E$3, tblRed[Activo], 1), 0)</f>
        <v>0</v>
      </c>
      <c r="F16" s="77">
        <f>IF(MatrizDeAdyacencia!F16=1, SUMIFS(tblRed[COSTE], tblRed[Nodo Inicial], $C16, tblRed[Nodo Final], F$3, tblRed[Activo], 1), 0)</f>
        <v>0</v>
      </c>
      <c r="G16" s="77">
        <f>IF(MatrizDeAdyacencia!G16=1, SUMIFS(tblRed[COSTE], tblRed[Nodo Inicial], $C16, tblRed[Nodo Final], G$3, tblRed[Activo], 1), 0)</f>
        <v>0</v>
      </c>
      <c r="H16" s="77">
        <f>IF(MatrizDeAdyacencia!H16=1, SUMIFS(tblRed[COSTE], tblRed[Nodo Inicial], $C16, tblRed[Nodo Final], H$3, tblRed[Activo], 1), 0)</f>
        <v>0</v>
      </c>
      <c r="I16" s="77">
        <f>IF(MatrizDeAdyacencia!I16=1, SUMIFS(tblRed[COSTE], tblRed[Nodo Inicial], $C16, tblRed[Nodo Final], I$3, tblRed[Activo], 1), 0)</f>
        <v>0</v>
      </c>
      <c r="J16" s="77">
        <f>IF(MatrizDeAdyacencia!J16=1, SUMIFS(tblRed[COSTE], tblRed[Nodo Inicial], $C16, tblRed[Nodo Final], J$3, tblRed[Activo], 1), 0)</f>
        <v>0</v>
      </c>
      <c r="K16" s="77">
        <f>IF(MatrizDeAdyacencia!K16=1, SUMIFS(tblRed[COSTE], tblRed[Nodo Inicial], $C16, tblRed[Nodo Final], K$3, tblRed[Activo], 1), 0)</f>
        <v>0</v>
      </c>
      <c r="L16" s="77">
        <f>IF(MatrizDeAdyacencia!L16=1, SUMIFS(tblRed[COSTE], tblRed[Nodo Inicial], $C16, tblRed[Nodo Final], L$3, tblRed[Activo], 1), 0)</f>
        <v>0</v>
      </c>
      <c r="M16" s="77">
        <f>IF(MatrizDeAdyacencia!M16=1, SUMIFS(tblRed[COSTE], tblRed[Nodo Inicial], $C16, tblRed[Nodo Final], M$3, tblRed[Activo], 1), 0)</f>
        <v>0</v>
      </c>
      <c r="N16" s="77">
        <f>IF(MatrizDeAdyacencia!N16=1, SUMIFS(tblRed[COSTE], tblRed[Nodo Inicial], $C16, tblRed[Nodo Final], N$3, tblRed[Activo], 1), 0)</f>
        <v>0</v>
      </c>
      <c r="O16" s="77">
        <f>IF(MatrizDeAdyacencia!O16=1, SUMIFS(tblRed[COSTE], tblRed[Nodo Inicial], $C16, tblRed[Nodo Final], O$3, tblRed[Activo], 1), 0)</f>
        <v>0</v>
      </c>
      <c r="P16" s="82">
        <f>IF(MatrizDeAdyacencia!P16=1, SUMIFS(tblRed[COSTE], tblRed[Nodo Inicial], $C16, tblRed[Nodo Final], P$3, tblRed[Activo], 1), 0)</f>
        <v>0</v>
      </c>
      <c r="Q16" s="77">
        <f>IF(MatrizDeAdyacencia!Q16=1, SUMIFS(tblRed[COSTE], tblRed[Nodo Inicial], $C16, tblRed[Nodo Final], Q$3, tblRed[Activo], 1), 0)</f>
        <v>0</v>
      </c>
      <c r="R16" s="77">
        <f>IF(MatrizDeAdyacencia!R16=1, SUMIFS(tblRed[COSTE], tblRed[Nodo Inicial], $C16, tblRed[Nodo Final], R$3, tblRed[Activo], 1), 0)</f>
        <v>0</v>
      </c>
      <c r="S16" s="77">
        <f>IF(MatrizDeAdyacencia!S16=1, SUMIFS(tblRed[COSTE], tblRed[Nodo Inicial], $C16, tblRed[Nodo Final], S$3, tblRed[Activo], 1), 0)</f>
        <v>0</v>
      </c>
      <c r="T16" s="77">
        <f>IF(MatrizDeAdyacencia!T16=1, SUMIFS(tblRed[COSTE], tblRed[Nodo Inicial], $C16, tblRed[Nodo Final], T$3, tblRed[Activo], 1), 0)</f>
        <v>0</v>
      </c>
      <c r="U16" s="77">
        <f>IF(MatrizDeAdyacencia!U16=1, SUMIFS(tblRed[COSTE], tblRed[Nodo Inicial], $C16, tblRed[Nodo Final], U$3, tblRed[Activo], 1), 0)</f>
        <v>0</v>
      </c>
      <c r="V16" s="79">
        <f>IF(MatrizDeAdyacencia!V16=1, SUMIFS(tblRed[COSTE], tblRed[Nodo Inicial], $C16, tblRed[Nodo Final], V$3, tblRed[Activo], 1), 0)</f>
        <v>4.5</v>
      </c>
      <c r="W16" s="77">
        <f>IF(MatrizDeAdyacencia!W16=1, SUMIFS(tblRed[COSTE], tblRed[Nodo Inicial], $C16, tblRed[Nodo Final], W$3, tblRed[Activo], 1), 0)</f>
        <v>4.9999999999999991</v>
      </c>
      <c r="X16" s="77">
        <f>IF(MatrizDeAdyacencia!X16=1, SUMIFS(tblRed[COSTE], tblRed[Nodo Inicial], $C16, tblRed[Nodo Final], X$3, tblRed[Activo], 1), 0)</f>
        <v>0</v>
      </c>
      <c r="Y16" s="77">
        <f>IF(MatrizDeAdyacencia!Y16=1, SUMIFS(tblRed[COSTE], tblRed[Nodo Inicial], $C16, tblRed[Nodo Final], Y$3, tblRed[Activo], 1), 0)</f>
        <v>3.9999999999999996</v>
      </c>
      <c r="Z16" s="77">
        <f>IF(MatrizDeAdyacencia!Z16=1, SUMIFS(tblRed[COSTE], tblRed[Nodo Inicial], $C16, tblRed[Nodo Final], Z$3, tblRed[Activo], 1), 0)</f>
        <v>0</v>
      </c>
      <c r="AA16" s="77">
        <f>IF(MatrizDeAdyacencia!AA16=1, SUMIFS(tblRed[COSTE], tblRed[Nodo Inicial], $C16, tblRed[Nodo Final], AA$3, tblRed[Activo], 1), 0)</f>
        <v>0</v>
      </c>
      <c r="AB16" s="77">
        <f>IF(MatrizDeAdyacencia!AB16=1, SUMIFS(tblRed[COSTE], tblRed[Nodo Inicial], $C16, tblRed[Nodo Final], AB$3, tblRed[Activo], 1), 0)</f>
        <v>4.75</v>
      </c>
      <c r="AC16" s="77">
        <f>IF(MatrizDeAdyacencia!AC16=1, SUMIFS(tblRed[COSTE], tblRed[Nodo Inicial], $C16, tblRed[Nodo Final], AC$3, tblRed[Activo], 1), 0)</f>
        <v>0</v>
      </c>
      <c r="AD16" s="77">
        <f>IF(MatrizDeAdyacencia!AD16=1, SUMIFS(tblRed[COSTE], tblRed[Nodo Inicial], $C16, tblRed[Nodo Final], AD$3, tblRed[Activo], 1), 0)</f>
        <v>0</v>
      </c>
      <c r="AE16" s="77">
        <f>IF(MatrizDeAdyacencia!AE16=1, SUMIFS(tblRed[COSTE], tblRed[Nodo Inicial], $C16, tblRed[Nodo Final], AE$3, tblRed[Activo], 1), 0)</f>
        <v>0</v>
      </c>
      <c r="AF16" s="77">
        <f>IF(MatrizDeAdyacencia!AF16=1, SUMIFS(tblRed[COSTE], tblRed[Nodo Inicial], $C16, tblRed[Nodo Final], AF$3, tblRed[Activo], 1), 0)</f>
        <v>0</v>
      </c>
      <c r="AG16" s="77">
        <f>IF(MatrizDeAdyacencia!AG16=1, SUMIFS(tblRed[COSTE], tblRed[Nodo Inicial], $C16, tblRed[Nodo Final], AG$3, tblRed[Activo], 1), 0)</f>
        <v>0</v>
      </c>
      <c r="AH16" s="77">
        <f>IF(MatrizDeAdyacencia!AH16=1, SUMIFS(tblRed[COSTE], tblRed[Nodo Inicial], $C16, tblRed[Nodo Final], AH$3, tblRed[Activo], 1), 0)</f>
        <v>0</v>
      </c>
    </row>
    <row r="17" spans="2:34" ht="14.25" customHeight="1" x14ac:dyDescent="0.25">
      <c r="B17" s="8" t="str">
        <f>VLOOKUP(tblMatrizPonderadaCostes[[#This Row],[Nodo Orig.\Dest.]],tblNodos[],2,FALSE)</f>
        <v>Colectores instrumentales / de ocultación</v>
      </c>
      <c r="C17" s="4" t="s">
        <v>51</v>
      </c>
      <c r="D17" s="77">
        <f>IF(MatrizDeAdyacencia!D17=1, SUMIFS(tblRed[COSTE], tblRed[Nodo Inicial], $C17, tblRed[Nodo Final], D$3, tblRed[Activo], 1), 0)</f>
        <v>0</v>
      </c>
      <c r="E17" s="77">
        <f>IF(MatrizDeAdyacencia!E17=1, SUMIFS(tblRed[COSTE], tblRed[Nodo Inicial], $C17, tblRed[Nodo Final], E$3, tblRed[Activo], 1), 0)</f>
        <v>0</v>
      </c>
      <c r="F17" s="77">
        <f>IF(MatrizDeAdyacencia!F17=1, SUMIFS(tblRed[COSTE], tblRed[Nodo Inicial], $C17, tblRed[Nodo Final], F$3, tblRed[Activo], 1), 0)</f>
        <v>0</v>
      </c>
      <c r="G17" s="77">
        <f>IF(MatrizDeAdyacencia!G17=1, SUMIFS(tblRed[COSTE], tblRed[Nodo Inicial], $C17, tblRed[Nodo Final], G$3, tblRed[Activo], 1), 0)</f>
        <v>0</v>
      </c>
      <c r="H17" s="77">
        <f>IF(MatrizDeAdyacencia!H17=1, SUMIFS(tblRed[COSTE], tblRed[Nodo Inicial], $C17, tblRed[Nodo Final], H$3, tblRed[Activo], 1), 0)</f>
        <v>0</v>
      </c>
      <c r="I17" s="77">
        <f>IF(MatrizDeAdyacencia!I17=1, SUMIFS(tblRed[COSTE], tblRed[Nodo Inicial], $C17, tblRed[Nodo Final], I$3, tblRed[Activo], 1), 0)</f>
        <v>0</v>
      </c>
      <c r="J17" s="77">
        <f>IF(MatrizDeAdyacencia!J17=1, SUMIFS(tblRed[COSTE], tblRed[Nodo Inicial], $C17, tblRed[Nodo Final], J$3, tblRed[Activo], 1), 0)</f>
        <v>0</v>
      </c>
      <c r="K17" s="77">
        <f>IF(MatrizDeAdyacencia!K17=1, SUMIFS(tblRed[COSTE], tblRed[Nodo Inicial], $C17, tblRed[Nodo Final], K$3, tblRed[Activo], 1), 0)</f>
        <v>0</v>
      </c>
      <c r="L17" s="77">
        <f>IF(MatrizDeAdyacencia!L17=1, SUMIFS(tblRed[COSTE], tblRed[Nodo Inicial], $C17, tblRed[Nodo Final], L$3, tblRed[Activo], 1), 0)</f>
        <v>0</v>
      </c>
      <c r="M17" s="77">
        <f>IF(MatrizDeAdyacencia!M17=1, SUMIFS(tblRed[COSTE], tblRed[Nodo Inicial], $C17, tblRed[Nodo Final], M$3, tblRed[Activo], 1), 0)</f>
        <v>0</v>
      </c>
      <c r="N17" s="77">
        <f>IF(MatrizDeAdyacencia!N17=1, SUMIFS(tblRed[COSTE], tblRed[Nodo Inicial], $C17, tblRed[Nodo Final], N$3, tblRed[Activo], 1), 0)</f>
        <v>0</v>
      </c>
      <c r="O17" s="77">
        <f>IF(MatrizDeAdyacencia!O17=1, SUMIFS(tblRed[COSTE], tblRed[Nodo Inicial], $C17, tblRed[Nodo Final], O$3, tblRed[Activo], 1), 0)</f>
        <v>0</v>
      </c>
      <c r="P17" s="77">
        <f>IF(MatrizDeAdyacencia!P17=1, SUMIFS(tblRed[COSTE], tblRed[Nodo Inicial], $C17, tblRed[Nodo Final], P$3, tblRed[Activo], 1), 0)</f>
        <v>0</v>
      </c>
      <c r="Q17" s="82">
        <f>IF(MatrizDeAdyacencia!Q17=1, SUMIFS(tblRed[COSTE], tblRed[Nodo Inicial], $C17, tblRed[Nodo Final], Q$3, tblRed[Activo], 1), 0)</f>
        <v>0</v>
      </c>
      <c r="R17" s="77">
        <f>IF(MatrizDeAdyacencia!R17=1, SUMIFS(tblRed[COSTE], tblRed[Nodo Inicial], $C17, tblRed[Nodo Final], R$3, tblRed[Activo], 1), 0)</f>
        <v>0</v>
      </c>
      <c r="S17" s="77">
        <f>IF(MatrizDeAdyacencia!S17=1, SUMIFS(tblRed[COSTE], tblRed[Nodo Inicial], $C17, tblRed[Nodo Final], S$3, tblRed[Activo], 1), 0)</f>
        <v>0</v>
      </c>
      <c r="T17" s="77">
        <f>IF(MatrizDeAdyacencia!T17=1, SUMIFS(tblRed[COSTE], tblRed[Nodo Inicial], $C17, tblRed[Nodo Final], T$3, tblRed[Activo], 1), 0)</f>
        <v>4</v>
      </c>
      <c r="U17" s="77">
        <f>IF(MatrizDeAdyacencia!U17=1, SUMIFS(tblRed[COSTE], tblRed[Nodo Inicial], $C17, tblRed[Nodo Final], U$3, tblRed[Activo], 1), 0)</f>
        <v>0</v>
      </c>
      <c r="V17" s="79">
        <f>IF(MatrizDeAdyacencia!V17=1, SUMIFS(tblRed[COSTE], tblRed[Nodo Inicial], $C17, tblRed[Nodo Final], V$3, tblRed[Activo], 1), 0)</f>
        <v>4.5</v>
      </c>
      <c r="W17" s="77">
        <f>IF(MatrizDeAdyacencia!W17=1, SUMIFS(tblRed[COSTE], tblRed[Nodo Inicial], $C17, tblRed[Nodo Final], W$3, tblRed[Activo], 1), 0)</f>
        <v>5</v>
      </c>
      <c r="X17" s="77">
        <f>IF(MatrizDeAdyacencia!X17=1, SUMIFS(tblRed[COSTE], tblRed[Nodo Inicial], $C17, tblRed[Nodo Final], X$3, tblRed[Activo], 1), 0)</f>
        <v>0</v>
      </c>
      <c r="Y17" s="77">
        <f>IF(MatrizDeAdyacencia!Y17=1, SUMIFS(tblRed[COSTE], tblRed[Nodo Inicial], $C17, tblRed[Nodo Final], Y$3, tblRed[Activo], 1), 0)</f>
        <v>0</v>
      </c>
      <c r="Z17" s="77">
        <f>IF(MatrizDeAdyacencia!Z17=1, SUMIFS(tblRed[COSTE], tblRed[Nodo Inicial], $C17, tblRed[Nodo Final], Z$3, tblRed[Activo], 1), 0)</f>
        <v>0</v>
      </c>
      <c r="AA17" s="77">
        <f>IF(MatrizDeAdyacencia!AA17=1, SUMIFS(tblRed[COSTE], tblRed[Nodo Inicial], $C17, tblRed[Nodo Final], AA$3, tblRed[Activo], 1), 0)</f>
        <v>2.333333333333333</v>
      </c>
      <c r="AB17" s="77">
        <f>IF(MatrizDeAdyacencia!AB17=1, SUMIFS(tblRed[COSTE], tblRed[Nodo Inicial], $C17, tblRed[Nodo Final], AB$3, tblRed[Activo], 1), 0)</f>
        <v>0</v>
      </c>
      <c r="AC17" s="77">
        <f>IF(MatrizDeAdyacencia!AC17=1, SUMIFS(tblRed[COSTE], tblRed[Nodo Inicial], $C17, tblRed[Nodo Final], AC$3, tblRed[Activo], 1), 0)</f>
        <v>0</v>
      </c>
      <c r="AD17" s="77">
        <f>IF(MatrizDeAdyacencia!AD17=1, SUMIFS(tblRed[COSTE], tblRed[Nodo Inicial], $C17, tblRed[Nodo Final], AD$3, tblRed[Activo], 1), 0)</f>
        <v>0</v>
      </c>
      <c r="AE17" s="77">
        <f>IF(MatrizDeAdyacencia!AE17=1, SUMIFS(tblRed[COSTE], tblRed[Nodo Inicial], $C17, tblRed[Nodo Final], AE$3, tblRed[Activo], 1), 0)</f>
        <v>0</v>
      </c>
      <c r="AF17" s="77">
        <f>IF(MatrizDeAdyacencia!AF17=1, SUMIFS(tblRed[COSTE], tblRed[Nodo Inicial], $C17, tblRed[Nodo Final], AF$3, tblRed[Activo], 1), 0)</f>
        <v>0</v>
      </c>
      <c r="AG17" s="77">
        <f>IF(MatrizDeAdyacencia!AG17=1, SUMIFS(tblRed[COSTE], tblRed[Nodo Inicial], $C17, tblRed[Nodo Final], AG$3, tblRed[Activo], 1), 0)</f>
        <v>0</v>
      </c>
      <c r="AH17" s="77">
        <f>IF(MatrizDeAdyacencia!AH17=1, SUMIFS(tblRed[COSTE], tblRed[Nodo Inicial], $C17, tblRed[Nodo Final], AH$3, tblRed[Activo], 1), 0)</f>
        <v>0</v>
      </c>
    </row>
    <row r="18" spans="2:34" ht="14.25" customHeight="1" x14ac:dyDescent="0.25">
      <c r="B18" s="8" t="str">
        <f>VLOOKUP(tblMatrizPonderadaCostes[[#This Row],[Nodo Orig.\Dest.]],tblNodos[],2,FALSE)</f>
        <v>Intermediarios físicos de transporte de valor</v>
      </c>
      <c r="C18" s="4" t="s">
        <v>53</v>
      </c>
      <c r="D18" s="77">
        <f>IF(MatrizDeAdyacencia!D18=1, SUMIFS(tblRed[COSTE], tblRed[Nodo Inicial], $C18, tblRed[Nodo Final], D$3, tblRed[Activo], 1), 0)</f>
        <v>0</v>
      </c>
      <c r="E18" s="77">
        <f>IF(MatrizDeAdyacencia!E18=1, SUMIFS(tblRed[COSTE], tblRed[Nodo Inicial], $C18, tblRed[Nodo Final], E$3, tblRed[Activo], 1), 0)</f>
        <v>0</v>
      </c>
      <c r="F18" s="77">
        <f>IF(MatrizDeAdyacencia!F18=1, SUMIFS(tblRed[COSTE], tblRed[Nodo Inicial], $C18, tblRed[Nodo Final], F$3, tblRed[Activo], 1), 0)</f>
        <v>0</v>
      </c>
      <c r="G18" s="77">
        <f>IF(MatrizDeAdyacencia!G18=1, SUMIFS(tblRed[COSTE], tblRed[Nodo Inicial], $C18, tblRed[Nodo Final], G$3, tblRed[Activo], 1), 0)</f>
        <v>0</v>
      </c>
      <c r="H18" s="77">
        <f>IF(MatrizDeAdyacencia!H18=1, SUMIFS(tblRed[COSTE], tblRed[Nodo Inicial], $C18, tblRed[Nodo Final], H$3, tblRed[Activo], 1), 0)</f>
        <v>0</v>
      </c>
      <c r="I18" s="77">
        <f>IF(MatrizDeAdyacencia!I18=1, SUMIFS(tblRed[COSTE], tblRed[Nodo Inicial], $C18, tblRed[Nodo Final], I$3, tblRed[Activo], 1), 0)</f>
        <v>0</v>
      </c>
      <c r="J18" s="77">
        <f>IF(MatrizDeAdyacencia!J18=1, SUMIFS(tblRed[COSTE], tblRed[Nodo Inicial], $C18, tblRed[Nodo Final], J$3, tblRed[Activo], 1), 0)</f>
        <v>0</v>
      </c>
      <c r="K18" s="77">
        <f>IF(MatrizDeAdyacencia!K18=1, SUMIFS(tblRed[COSTE], tblRed[Nodo Inicial], $C18, tblRed[Nodo Final], K$3, tblRed[Activo], 1), 0)</f>
        <v>0</v>
      </c>
      <c r="L18" s="77">
        <f>IF(MatrizDeAdyacencia!L18=1, SUMIFS(tblRed[COSTE], tblRed[Nodo Inicial], $C18, tblRed[Nodo Final], L$3, tblRed[Activo], 1), 0)</f>
        <v>0</v>
      </c>
      <c r="M18" s="77">
        <f>IF(MatrizDeAdyacencia!M18=1, SUMIFS(tblRed[COSTE], tblRed[Nodo Inicial], $C18, tblRed[Nodo Final], M$3, tblRed[Activo], 1), 0)</f>
        <v>0</v>
      </c>
      <c r="N18" s="77">
        <f>IF(MatrizDeAdyacencia!N18=1, SUMIFS(tblRed[COSTE], tblRed[Nodo Inicial], $C18, tblRed[Nodo Final], N$3, tblRed[Activo], 1), 0)</f>
        <v>0</v>
      </c>
      <c r="O18" s="77">
        <f>IF(MatrizDeAdyacencia!O18=1, SUMIFS(tblRed[COSTE], tblRed[Nodo Inicial], $C18, tblRed[Nodo Final], O$3, tblRed[Activo], 1), 0)</f>
        <v>0</v>
      </c>
      <c r="P18" s="77">
        <f>IF(MatrizDeAdyacencia!P18=1, SUMIFS(tblRed[COSTE], tblRed[Nodo Inicial], $C18, tblRed[Nodo Final], P$3, tblRed[Activo], 1), 0)</f>
        <v>0</v>
      </c>
      <c r="Q18" s="77">
        <f>IF(MatrizDeAdyacencia!Q18=1, SUMIFS(tblRed[COSTE], tblRed[Nodo Inicial], $C18, tblRed[Nodo Final], Q$3, tblRed[Activo], 1), 0)</f>
        <v>0</v>
      </c>
      <c r="R18" s="82">
        <f>IF(MatrizDeAdyacencia!R18=1, SUMIFS(tblRed[COSTE], tblRed[Nodo Inicial], $C18, tblRed[Nodo Final], R$3, tblRed[Activo], 1), 0)</f>
        <v>0</v>
      </c>
      <c r="S18" s="77">
        <f>IF(MatrizDeAdyacencia!S18=1, SUMIFS(tblRed[COSTE], tblRed[Nodo Inicial], $C18, tblRed[Nodo Final], S$3, tblRed[Activo], 1), 0)</f>
        <v>0</v>
      </c>
      <c r="T18" s="77">
        <f>IF(MatrizDeAdyacencia!T18=1, SUMIFS(tblRed[COSTE], tblRed[Nodo Inicial], $C18, tblRed[Nodo Final], T$3, tblRed[Activo], 1), 0)</f>
        <v>0</v>
      </c>
      <c r="U18" s="77">
        <f>IF(MatrizDeAdyacencia!U18=1, SUMIFS(tblRed[COSTE], tblRed[Nodo Inicial], $C18, tblRed[Nodo Final], U$3, tblRed[Activo], 1), 0)</f>
        <v>0</v>
      </c>
      <c r="V18" s="79">
        <f>IF(MatrizDeAdyacencia!V18=1, SUMIFS(tblRed[COSTE], tblRed[Nodo Inicial], $C18, tblRed[Nodo Final], V$3, tblRed[Activo], 1), 0)</f>
        <v>0</v>
      </c>
      <c r="W18" s="77">
        <f>IF(MatrizDeAdyacencia!W18=1, SUMIFS(tblRed[COSTE], tblRed[Nodo Inicial], $C18, tblRed[Nodo Final], W$3, tblRed[Activo], 1), 0)</f>
        <v>0</v>
      </c>
      <c r="X18" s="77">
        <f>IF(MatrizDeAdyacencia!X18=1, SUMIFS(tblRed[COSTE], tblRed[Nodo Inicial], $C18, tblRed[Nodo Final], X$3, tblRed[Activo], 1), 0)</f>
        <v>0</v>
      </c>
      <c r="Y18" s="77">
        <f>IF(MatrizDeAdyacencia!Y18=1, SUMIFS(tblRed[COSTE], tblRed[Nodo Inicial], $C18, tblRed[Nodo Final], Y$3, tblRed[Activo], 1), 0)</f>
        <v>0</v>
      </c>
      <c r="Z18" s="77">
        <f>IF(MatrizDeAdyacencia!Z18=1, SUMIFS(tblRed[COSTE], tblRed[Nodo Inicial], $C18, tblRed[Nodo Final], Z$3, tblRed[Activo], 1), 0)</f>
        <v>0</v>
      </c>
      <c r="AA18" s="77">
        <f>IF(MatrizDeAdyacencia!AA18=1, SUMIFS(tblRed[COSTE], tblRed[Nodo Inicial], $C18, tblRed[Nodo Final], AA$3, tblRed[Activo], 1), 0)</f>
        <v>0</v>
      </c>
      <c r="AB18" s="77">
        <f>IF(MatrizDeAdyacencia!AB18=1, SUMIFS(tblRed[COSTE], tblRed[Nodo Inicial], $C18, tblRed[Nodo Final], AB$3, tblRed[Activo], 1), 0)</f>
        <v>0</v>
      </c>
      <c r="AC18" s="77">
        <f>IF(MatrizDeAdyacencia!AC18=1, SUMIFS(tblRed[COSTE], tblRed[Nodo Inicial], $C18, tblRed[Nodo Final], AC$3, tblRed[Activo], 1), 0)</f>
        <v>0</v>
      </c>
      <c r="AD18" s="77">
        <f>IF(MatrizDeAdyacencia!AD18=1, SUMIFS(tblRed[COSTE], tblRed[Nodo Inicial], $C18, tblRed[Nodo Final], AD$3, tblRed[Activo], 1), 0)</f>
        <v>3.96875</v>
      </c>
      <c r="AE18" s="77">
        <f>IF(MatrizDeAdyacencia!AE18=1, SUMIFS(tblRed[COSTE], tblRed[Nodo Inicial], $C18, tblRed[Nodo Final], AE$3, tblRed[Activo], 1), 0)</f>
        <v>2.8000000000000003</v>
      </c>
      <c r="AF18" s="77">
        <f>IF(MatrizDeAdyacencia!AF18=1, SUMIFS(tblRed[COSTE], tblRed[Nodo Inicial], $C18, tblRed[Nodo Final], AF$3, tblRed[Activo], 1), 0)</f>
        <v>0</v>
      </c>
      <c r="AG18" s="77">
        <f>IF(MatrizDeAdyacencia!AG18=1, SUMIFS(tblRed[COSTE], tblRed[Nodo Inicial], $C18, tblRed[Nodo Final], AG$3, tblRed[Activo], 1), 0)</f>
        <v>0</v>
      </c>
      <c r="AH18" s="77">
        <f>IF(MatrizDeAdyacencia!AH18=1, SUMIFS(tblRed[COSTE], tblRed[Nodo Inicial], $C18, tblRed[Nodo Final], AH$3, tblRed[Activo], 1), 0)</f>
        <v>0</v>
      </c>
    </row>
    <row r="19" spans="2:34" ht="14.25" customHeight="1" x14ac:dyDescent="0.25">
      <c r="B19" s="8" t="str">
        <f>VLOOKUP(tblMatrizPonderadaCostes[[#This Row],[Nodo Orig.\Dest.]],tblNodos[],2,FALSE)</f>
        <v>Intermediarios informales y paralelos</v>
      </c>
      <c r="C19" s="4" t="s">
        <v>55</v>
      </c>
      <c r="D19" s="77">
        <f>IF(MatrizDeAdyacencia!D19=1, SUMIFS(tblRed[COSTE], tblRed[Nodo Inicial], $C19, tblRed[Nodo Final], D$3, tblRed[Activo], 1), 0)</f>
        <v>0</v>
      </c>
      <c r="E19" s="77">
        <f>IF(MatrizDeAdyacencia!E19=1, SUMIFS(tblRed[COSTE], tblRed[Nodo Inicial], $C19, tblRed[Nodo Final], E$3, tblRed[Activo], 1), 0)</f>
        <v>0</v>
      </c>
      <c r="F19" s="77">
        <f>IF(MatrizDeAdyacencia!F19=1, SUMIFS(tblRed[COSTE], tblRed[Nodo Inicial], $C19, tblRed[Nodo Final], F$3, tblRed[Activo], 1), 0)</f>
        <v>0</v>
      </c>
      <c r="G19" s="77">
        <f>IF(MatrizDeAdyacencia!G19=1, SUMIFS(tblRed[COSTE], tblRed[Nodo Inicial], $C19, tblRed[Nodo Final], G$3, tblRed[Activo], 1), 0)</f>
        <v>0</v>
      </c>
      <c r="H19" s="77">
        <f>IF(MatrizDeAdyacencia!H19=1, SUMIFS(tblRed[COSTE], tblRed[Nodo Inicial], $C19, tblRed[Nodo Final], H$3, tblRed[Activo], 1), 0)</f>
        <v>0</v>
      </c>
      <c r="I19" s="77">
        <f>IF(MatrizDeAdyacencia!I19=1, SUMIFS(tblRed[COSTE], tblRed[Nodo Inicial], $C19, tblRed[Nodo Final], I$3, tblRed[Activo], 1), 0)</f>
        <v>0</v>
      </c>
      <c r="J19" s="77">
        <f>IF(MatrizDeAdyacencia!J19=1, SUMIFS(tblRed[COSTE], tblRed[Nodo Inicial], $C19, tblRed[Nodo Final], J$3, tblRed[Activo], 1), 0)</f>
        <v>0</v>
      </c>
      <c r="K19" s="77">
        <f>IF(MatrizDeAdyacencia!K19=1, SUMIFS(tblRed[COSTE], tblRed[Nodo Inicial], $C19, tblRed[Nodo Final], K$3, tblRed[Activo], 1), 0)</f>
        <v>0</v>
      </c>
      <c r="L19" s="77">
        <f>IF(MatrizDeAdyacencia!L19=1, SUMIFS(tblRed[COSTE], tblRed[Nodo Inicial], $C19, tblRed[Nodo Final], L$3, tblRed[Activo], 1), 0)</f>
        <v>0</v>
      </c>
      <c r="M19" s="77">
        <f>IF(MatrizDeAdyacencia!M19=1, SUMIFS(tblRed[COSTE], tblRed[Nodo Inicial], $C19, tblRed[Nodo Final], M$3, tblRed[Activo], 1), 0)</f>
        <v>0</v>
      </c>
      <c r="N19" s="77">
        <f>IF(MatrizDeAdyacencia!N19=1, SUMIFS(tblRed[COSTE], tblRed[Nodo Inicial], $C19, tblRed[Nodo Final], N$3, tblRed[Activo], 1), 0)</f>
        <v>0</v>
      </c>
      <c r="O19" s="77">
        <f>IF(MatrizDeAdyacencia!O19=1, SUMIFS(tblRed[COSTE], tblRed[Nodo Inicial], $C19, tblRed[Nodo Final], O$3, tblRed[Activo], 1), 0)</f>
        <v>0</v>
      </c>
      <c r="P19" s="77">
        <f>IF(MatrizDeAdyacencia!P19=1, SUMIFS(tblRed[COSTE], tblRed[Nodo Inicial], $C19, tblRed[Nodo Final], P$3, tblRed[Activo], 1), 0)</f>
        <v>0</v>
      </c>
      <c r="Q19" s="77">
        <f>IF(MatrizDeAdyacencia!Q19=1, SUMIFS(tblRed[COSTE], tblRed[Nodo Inicial], $C19, tblRed[Nodo Final], Q$3, tblRed[Activo], 1), 0)</f>
        <v>0</v>
      </c>
      <c r="R19" s="77">
        <f>IF(MatrizDeAdyacencia!R19=1, SUMIFS(tblRed[COSTE], tblRed[Nodo Inicial], $C19, tblRed[Nodo Final], R$3, tblRed[Activo], 1), 0)</f>
        <v>0</v>
      </c>
      <c r="S19" s="82">
        <f>IF(MatrizDeAdyacencia!S19=1, SUMIFS(tblRed[COSTE], tblRed[Nodo Inicial], $C19, tblRed[Nodo Final], S$3, tblRed[Activo], 1), 0)</f>
        <v>0</v>
      </c>
      <c r="T19" s="77">
        <f>IF(MatrizDeAdyacencia!T19=1, SUMIFS(tblRed[COSTE], tblRed[Nodo Inicial], $C19, tblRed[Nodo Final], T$3, tblRed[Activo], 1), 0)</f>
        <v>0</v>
      </c>
      <c r="U19" s="77">
        <f>IF(MatrizDeAdyacencia!U19=1, SUMIFS(tblRed[COSTE], tblRed[Nodo Inicial], $C19, tblRed[Nodo Final], U$3, tblRed[Activo], 1), 0)</f>
        <v>0</v>
      </c>
      <c r="V19" s="79">
        <f>IF(MatrizDeAdyacencia!V19=1, SUMIFS(tblRed[COSTE], tblRed[Nodo Inicial], $C19, tblRed[Nodo Final], V$3, tblRed[Activo], 1), 0)</f>
        <v>0</v>
      </c>
      <c r="W19" s="77">
        <f>IF(MatrizDeAdyacencia!W19=1, SUMIFS(tblRed[COSTE], tblRed[Nodo Inicial], $C19, tblRed[Nodo Final], W$3, tblRed[Activo], 1), 0)</f>
        <v>0</v>
      </c>
      <c r="X19" s="77">
        <f>IF(MatrizDeAdyacencia!X19=1, SUMIFS(tblRed[COSTE], tblRed[Nodo Inicial], $C19, tblRed[Nodo Final], X$3, tblRed[Activo], 1), 0)</f>
        <v>0</v>
      </c>
      <c r="Y19" s="77">
        <f>IF(MatrizDeAdyacencia!Y19=1, SUMIFS(tblRed[COSTE], tblRed[Nodo Inicial], $C19, tblRed[Nodo Final], Y$3, tblRed[Activo], 1), 0)</f>
        <v>0</v>
      </c>
      <c r="Z19" s="77">
        <f>IF(MatrizDeAdyacencia!Z19=1, SUMIFS(tblRed[COSTE], tblRed[Nodo Inicial], $C19, tblRed[Nodo Final], Z$3, tblRed[Activo], 1), 0)</f>
        <v>0</v>
      </c>
      <c r="AA19" s="77">
        <f>IF(MatrizDeAdyacencia!AA19=1, SUMIFS(tblRed[COSTE], tblRed[Nodo Inicial], $C19, tblRed[Nodo Final], AA$3, tblRed[Activo], 1), 0)</f>
        <v>0</v>
      </c>
      <c r="AB19" s="77">
        <f>IF(MatrizDeAdyacencia!AB19=1, SUMIFS(tblRed[COSTE], tblRed[Nodo Inicial], $C19, tblRed[Nodo Final], AB$3, tblRed[Activo], 1), 0)</f>
        <v>0</v>
      </c>
      <c r="AC19" s="77">
        <f>IF(MatrizDeAdyacencia!AC19=1, SUMIFS(tblRed[COSTE], tblRed[Nodo Inicial], $C19, tblRed[Nodo Final], AC$3, tblRed[Activo], 1), 0)</f>
        <v>0</v>
      </c>
      <c r="AD19" s="77">
        <f>IF(MatrizDeAdyacencia!AD19=1, SUMIFS(tblRed[COSTE], tblRed[Nodo Inicial], $C19, tblRed[Nodo Final], AD$3, tblRed[Activo], 1), 0)</f>
        <v>0</v>
      </c>
      <c r="AE19" s="77">
        <f>IF(MatrizDeAdyacencia!AE19=1, SUMIFS(tblRed[COSTE], tblRed[Nodo Inicial], $C19, tblRed[Nodo Final], AE$3, tblRed[Activo], 1), 0)</f>
        <v>0</v>
      </c>
      <c r="AF19" s="77">
        <f>IF(MatrizDeAdyacencia!AF19=1, SUMIFS(tblRed[COSTE], tblRed[Nodo Inicial], $C19, tblRed[Nodo Final], AF$3, tblRed[Activo], 1), 0)</f>
        <v>4.7142857142857144</v>
      </c>
      <c r="AG19" s="77">
        <f>IF(MatrizDeAdyacencia!AG19=1, SUMIFS(tblRed[COSTE], tblRed[Nodo Inicial], $C19, tblRed[Nodo Final], AG$3, tblRed[Activo], 1), 0)</f>
        <v>0</v>
      </c>
      <c r="AH19" s="77">
        <f>IF(MatrizDeAdyacencia!AH19=1, SUMIFS(tblRed[COSTE], tblRed[Nodo Inicial], $C19, tblRed[Nodo Final], AH$3, tblRed[Activo], 1), 0)</f>
        <v>0</v>
      </c>
    </row>
    <row r="20" spans="2:34" ht="14.25" customHeight="1" x14ac:dyDescent="0.25">
      <c r="B20" s="8" t="str">
        <f>VLOOKUP(tblMatrizPonderadaCostes[[#This Row],[Nodo Orig.\Dest.]],tblNodos[],2,FALSE)</f>
        <v>Intermediarios MVTS y remesas</v>
      </c>
      <c r="C20" s="4" t="s">
        <v>57</v>
      </c>
      <c r="D20" s="77">
        <f>IF(MatrizDeAdyacencia!D20=1, SUMIFS(tblRed[COSTE], tblRed[Nodo Inicial], $C20, tblRed[Nodo Final], D$3, tblRed[Activo], 1), 0)</f>
        <v>0</v>
      </c>
      <c r="E20" s="77">
        <f>IF(MatrizDeAdyacencia!E20=1, SUMIFS(tblRed[COSTE], tblRed[Nodo Inicial], $C20, tblRed[Nodo Final], E$3, tblRed[Activo], 1), 0)</f>
        <v>0</v>
      </c>
      <c r="F20" s="77">
        <f>IF(MatrizDeAdyacencia!F20=1, SUMIFS(tblRed[COSTE], tblRed[Nodo Inicial], $C20, tblRed[Nodo Final], F$3, tblRed[Activo], 1), 0)</f>
        <v>0</v>
      </c>
      <c r="G20" s="77">
        <f>IF(MatrizDeAdyacencia!G20=1, SUMIFS(tblRed[COSTE], tblRed[Nodo Inicial], $C20, tblRed[Nodo Final], G$3, tblRed[Activo], 1), 0)</f>
        <v>0</v>
      </c>
      <c r="H20" s="77">
        <f>IF(MatrizDeAdyacencia!H20=1, SUMIFS(tblRed[COSTE], tblRed[Nodo Inicial], $C20, tblRed[Nodo Final], H$3, tblRed[Activo], 1), 0)</f>
        <v>0</v>
      </c>
      <c r="I20" s="77">
        <f>IF(MatrizDeAdyacencia!I20=1, SUMIFS(tblRed[COSTE], tblRed[Nodo Inicial], $C20, tblRed[Nodo Final], I$3, tblRed[Activo], 1), 0)</f>
        <v>0</v>
      </c>
      <c r="J20" s="77">
        <f>IF(MatrizDeAdyacencia!J20=1, SUMIFS(tblRed[COSTE], tblRed[Nodo Inicial], $C20, tblRed[Nodo Final], J$3, tblRed[Activo], 1), 0)</f>
        <v>0</v>
      </c>
      <c r="K20" s="77">
        <f>IF(MatrizDeAdyacencia!K20=1, SUMIFS(tblRed[COSTE], tblRed[Nodo Inicial], $C20, tblRed[Nodo Final], K$3, tblRed[Activo], 1), 0)</f>
        <v>0</v>
      </c>
      <c r="L20" s="77">
        <f>IF(MatrizDeAdyacencia!L20=1, SUMIFS(tblRed[COSTE], tblRed[Nodo Inicial], $C20, tblRed[Nodo Final], L$3, tblRed[Activo], 1), 0)</f>
        <v>0</v>
      </c>
      <c r="M20" s="77">
        <f>IF(MatrizDeAdyacencia!M20=1, SUMIFS(tblRed[COSTE], tblRed[Nodo Inicial], $C20, tblRed[Nodo Final], M$3, tblRed[Activo], 1), 0)</f>
        <v>0</v>
      </c>
      <c r="N20" s="77">
        <f>IF(MatrizDeAdyacencia!N20=1, SUMIFS(tblRed[COSTE], tblRed[Nodo Inicial], $C20, tblRed[Nodo Final], N$3, tblRed[Activo], 1), 0)</f>
        <v>0</v>
      </c>
      <c r="O20" s="77">
        <f>IF(MatrizDeAdyacencia!O20=1, SUMIFS(tblRed[COSTE], tblRed[Nodo Inicial], $C20, tblRed[Nodo Final], O$3, tblRed[Activo], 1), 0)</f>
        <v>0</v>
      </c>
      <c r="P20" s="77">
        <f>IF(MatrizDeAdyacencia!P20=1, SUMIFS(tblRed[COSTE], tblRed[Nodo Inicial], $C20, tblRed[Nodo Final], P$3, tblRed[Activo], 1), 0)</f>
        <v>0</v>
      </c>
      <c r="Q20" s="77">
        <f>IF(MatrizDeAdyacencia!Q20=1, SUMIFS(tblRed[COSTE], tblRed[Nodo Inicial], $C20, tblRed[Nodo Final], Q$3, tblRed[Activo], 1), 0)</f>
        <v>0</v>
      </c>
      <c r="R20" s="77">
        <f>IF(MatrizDeAdyacencia!R20=1, SUMIFS(tblRed[COSTE], tblRed[Nodo Inicial], $C20, tblRed[Nodo Final], R$3, tblRed[Activo], 1), 0)</f>
        <v>0</v>
      </c>
      <c r="S20" s="77">
        <f>IF(MatrizDeAdyacencia!S20=1, SUMIFS(tblRed[COSTE], tblRed[Nodo Inicial], $C20, tblRed[Nodo Final], S$3, tblRed[Activo], 1), 0)</f>
        <v>0</v>
      </c>
      <c r="T20" s="82">
        <f>IF(MatrizDeAdyacencia!T20=1, SUMIFS(tblRed[COSTE], tblRed[Nodo Inicial], $C20, tblRed[Nodo Final], T$3, tblRed[Activo], 1), 0)</f>
        <v>0</v>
      </c>
      <c r="U20" s="77">
        <f>IF(MatrizDeAdyacencia!U20=1, SUMIFS(tblRed[COSTE], tblRed[Nodo Inicial], $C20, tblRed[Nodo Final], U$3, tblRed[Activo], 1), 0)</f>
        <v>0</v>
      </c>
      <c r="V20" s="79">
        <f>IF(MatrizDeAdyacencia!V20=1, SUMIFS(tblRed[COSTE], tblRed[Nodo Inicial], $C20, tblRed[Nodo Final], V$3, tblRed[Activo], 1), 0)</f>
        <v>0</v>
      </c>
      <c r="W20" s="77">
        <f>IF(MatrizDeAdyacencia!W20=1, SUMIFS(tblRed[COSTE], tblRed[Nodo Inicial], $C20, tblRed[Nodo Final], W$3, tblRed[Activo], 1), 0)</f>
        <v>0</v>
      </c>
      <c r="X20" s="77">
        <f>IF(MatrizDeAdyacencia!X20=1, SUMIFS(tblRed[COSTE], tblRed[Nodo Inicial], $C20, tblRed[Nodo Final], X$3, tblRed[Activo], 1), 0)</f>
        <v>0</v>
      </c>
      <c r="Y20" s="77">
        <f>IF(MatrizDeAdyacencia!Y20=1, SUMIFS(tblRed[COSTE], tblRed[Nodo Inicial], $C20, tblRed[Nodo Final], Y$3, tblRed[Activo], 1), 0)</f>
        <v>0</v>
      </c>
      <c r="Z20" s="77">
        <f>IF(MatrizDeAdyacencia!Z20=1, SUMIFS(tblRed[COSTE], tblRed[Nodo Inicial], $C20, tblRed[Nodo Final], Z$3, tblRed[Activo], 1), 0)</f>
        <v>0</v>
      </c>
      <c r="AA20" s="77">
        <f>IF(MatrizDeAdyacencia!AA20=1, SUMIFS(tblRed[COSTE], tblRed[Nodo Inicial], $C20, tblRed[Nodo Final], AA$3, tblRed[Activo], 1), 0)</f>
        <v>0</v>
      </c>
      <c r="AB20" s="77">
        <f>IF(MatrizDeAdyacencia!AB20=1, SUMIFS(tblRed[COSTE], tblRed[Nodo Inicial], $C20, tblRed[Nodo Final], AB$3, tblRed[Activo], 1), 0)</f>
        <v>0</v>
      </c>
      <c r="AC20" s="77">
        <f>IF(MatrizDeAdyacencia!AC20=1, SUMIFS(tblRed[COSTE], tblRed[Nodo Inicial], $C20, tblRed[Nodo Final], AC$3, tblRed[Activo], 1), 0)</f>
        <v>0</v>
      </c>
      <c r="AD20" s="77">
        <f>IF(MatrizDeAdyacencia!AD20=1, SUMIFS(tblRed[COSTE], tblRed[Nodo Inicial], $C20, tblRed[Nodo Final], AD$3, tblRed[Activo], 1), 0)</f>
        <v>0</v>
      </c>
      <c r="AE20" s="77">
        <f>IF(MatrizDeAdyacencia!AE20=1, SUMIFS(tblRed[COSTE], tblRed[Nodo Inicial], $C20, tblRed[Nodo Final], AE$3, tblRed[Activo], 1), 0)</f>
        <v>0</v>
      </c>
      <c r="AF20" s="77">
        <f>IF(MatrizDeAdyacencia!AF20=1, SUMIFS(tblRed[COSTE], tblRed[Nodo Inicial], $C20, tblRed[Nodo Final], AF$3, tblRed[Activo], 1), 0)</f>
        <v>0</v>
      </c>
      <c r="AG20" s="77">
        <f>IF(MatrizDeAdyacencia!AG20=1, SUMIFS(tblRed[COSTE], tblRed[Nodo Inicial], $C20, tblRed[Nodo Final], AG$3, tblRed[Activo], 1), 0)</f>
        <v>4</v>
      </c>
      <c r="AH20" s="77">
        <f>IF(MatrizDeAdyacencia!AH20=1, SUMIFS(tblRed[COSTE], tblRed[Nodo Inicial], $C20, tblRed[Nodo Final], AH$3, tblRed[Activo], 1), 0)</f>
        <v>0</v>
      </c>
    </row>
    <row r="21" spans="2:34" ht="14.25" customHeight="1" x14ac:dyDescent="0.25">
      <c r="B21" s="8" t="str">
        <f>VLOOKUP(tblMatrizPonderadaCostes[[#This Row],[Nodo Orig.\Dest.]],tblNodos[],2,FALSE)</f>
        <v>Intermediarios de dinero móvil</v>
      </c>
      <c r="C21" s="4" t="s">
        <v>59</v>
      </c>
      <c r="D21" s="77">
        <f>IF(MatrizDeAdyacencia!D21=1, SUMIFS(tblRed[COSTE], tblRed[Nodo Inicial], $C21, tblRed[Nodo Final], D$3, tblRed[Activo], 1), 0)</f>
        <v>0</v>
      </c>
      <c r="E21" s="77">
        <f>IF(MatrizDeAdyacencia!E21=1, SUMIFS(tblRed[COSTE], tblRed[Nodo Inicial], $C21, tblRed[Nodo Final], E$3, tblRed[Activo], 1), 0)</f>
        <v>0</v>
      </c>
      <c r="F21" s="77">
        <f>IF(MatrizDeAdyacencia!F21=1, SUMIFS(tblRed[COSTE], tblRed[Nodo Inicial], $C21, tblRed[Nodo Final], F$3, tblRed[Activo], 1), 0)</f>
        <v>0</v>
      </c>
      <c r="G21" s="77">
        <f>IF(MatrizDeAdyacencia!G21=1, SUMIFS(tblRed[COSTE], tblRed[Nodo Inicial], $C21, tblRed[Nodo Final], G$3, tblRed[Activo], 1), 0)</f>
        <v>0</v>
      </c>
      <c r="H21" s="77">
        <f>IF(MatrizDeAdyacencia!H21=1, SUMIFS(tblRed[COSTE], tblRed[Nodo Inicial], $C21, tblRed[Nodo Final], H$3, tblRed[Activo], 1), 0)</f>
        <v>0</v>
      </c>
      <c r="I21" s="77">
        <f>IF(MatrizDeAdyacencia!I21=1, SUMIFS(tblRed[COSTE], tblRed[Nodo Inicial], $C21, tblRed[Nodo Final], I$3, tblRed[Activo], 1), 0)</f>
        <v>0</v>
      </c>
      <c r="J21" s="77">
        <f>IF(MatrizDeAdyacencia!J21=1, SUMIFS(tblRed[COSTE], tblRed[Nodo Inicial], $C21, tblRed[Nodo Final], J$3, tblRed[Activo], 1), 0)</f>
        <v>0</v>
      </c>
      <c r="K21" s="77">
        <f>IF(MatrizDeAdyacencia!K21=1, SUMIFS(tblRed[COSTE], tblRed[Nodo Inicial], $C21, tblRed[Nodo Final], K$3, tblRed[Activo], 1), 0)</f>
        <v>0</v>
      </c>
      <c r="L21" s="77">
        <f>IF(MatrizDeAdyacencia!L21=1, SUMIFS(tblRed[COSTE], tblRed[Nodo Inicial], $C21, tblRed[Nodo Final], L$3, tblRed[Activo], 1), 0)</f>
        <v>0</v>
      </c>
      <c r="M21" s="77">
        <f>IF(MatrizDeAdyacencia!M21=1, SUMIFS(tblRed[COSTE], tblRed[Nodo Inicial], $C21, tblRed[Nodo Final], M$3, tblRed[Activo], 1), 0)</f>
        <v>0</v>
      </c>
      <c r="N21" s="77">
        <f>IF(MatrizDeAdyacencia!N21=1, SUMIFS(tblRed[COSTE], tblRed[Nodo Inicial], $C21, tblRed[Nodo Final], N$3, tblRed[Activo], 1), 0)</f>
        <v>0</v>
      </c>
      <c r="O21" s="77">
        <f>IF(MatrizDeAdyacencia!O21=1, SUMIFS(tblRed[COSTE], tblRed[Nodo Inicial], $C21, tblRed[Nodo Final], O$3, tblRed[Activo], 1), 0)</f>
        <v>0</v>
      </c>
      <c r="P21" s="77">
        <f>IF(MatrizDeAdyacencia!P21=1, SUMIFS(tblRed[COSTE], tblRed[Nodo Inicial], $C21, tblRed[Nodo Final], P$3, tblRed[Activo], 1), 0)</f>
        <v>0</v>
      </c>
      <c r="Q21" s="77">
        <f>IF(MatrizDeAdyacencia!Q21=1, SUMIFS(tblRed[COSTE], tblRed[Nodo Inicial], $C21, tblRed[Nodo Final], Q$3, tblRed[Activo], 1), 0)</f>
        <v>0</v>
      </c>
      <c r="R21" s="77">
        <f>IF(MatrizDeAdyacencia!R21=1, SUMIFS(tblRed[COSTE], tblRed[Nodo Inicial], $C21, tblRed[Nodo Final], R$3, tblRed[Activo], 1), 0)</f>
        <v>0</v>
      </c>
      <c r="S21" s="77">
        <f>IF(MatrizDeAdyacencia!S21=1, SUMIFS(tblRed[COSTE], tblRed[Nodo Inicial], $C21, tblRed[Nodo Final], S$3, tblRed[Activo], 1), 0)</f>
        <v>0</v>
      </c>
      <c r="T21" s="77">
        <f>IF(MatrizDeAdyacencia!T21=1, SUMIFS(tblRed[COSTE], tblRed[Nodo Inicial], $C21, tblRed[Nodo Final], T$3, tblRed[Activo], 1), 0)</f>
        <v>0</v>
      </c>
      <c r="U21" s="82">
        <f>IF(MatrizDeAdyacencia!U21=1, SUMIFS(tblRed[COSTE], tblRed[Nodo Inicial], $C21, tblRed[Nodo Final], U$3, tblRed[Activo], 1), 0)</f>
        <v>0</v>
      </c>
      <c r="V21" s="79">
        <f>IF(MatrizDeAdyacencia!V21=1, SUMIFS(tblRed[COSTE], tblRed[Nodo Inicial], $C21, tblRed[Nodo Final], V$3, tblRed[Activo], 1), 0)</f>
        <v>0</v>
      </c>
      <c r="W21" s="77">
        <f>IF(MatrizDeAdyacencia!W21=1, SUMIFS(tblRed[COSTE], tblRed[Nodo Inicial], $C21, tblRed[Nodo Final], W$3, tblRed[Activo], 1), 0)</f>
        <v>0</v>
      </c>
      <c r="X21" s="77">
        <f>IF(MatrizDeAdyacencia!X21=1, SUMIFS(tblRed[COSTE], tblRed[Nodo Inicial], $C21, tblRed[Nodo Final], X$3, tblRed[Activo], 1), 0)</f>
        <v>0</v>
      </c>
      <c r="Y21" s="77">
        <f>IF(MatrizDeAdyacencia!Y21=1, SUMIFS(tblRed[COSTE], tblRed[Nodo Inicial], $C21, tblRed[Nodo Final], Y$3, tblRed[Activo], 1), 0)</f>
        <v>0</v>
      </c>
      <c r="Z21" s="77">
        <f>IF(MatrizDeAdyacencia!Z21=1, SUMIFS(tblRed[COSTE], tblRed[Nodo Inicial], $C21, tblRed[Nodo Final], Z$3, tblRed[Activo], 1), 0)</f>
        <v>0</v>
      </c>
      <c r="AA21" s="77">
        <f>IF(MatrizDeAdyacencia!AA21=1, SUMIFS(tblRed[COSTE], tblRed[Nodo Inicial], $C21, tblRed[Nodo Final], AA$3, tblRed[Activo], 1), 0)</f>
        <v>0</v>
      </c>
      <c r="AB21" s="77">
        <f>IF(MatrizDeAdyacencia!AB21=1, SUMIFS(tblRed[COSTE], tblRed[Nodo Inicial], $C21, tblRed[Nodo Final], AB$3, tblRed[Activo], 1), 0)</f>
        <v>0</v>
      </c>
      <c r="AC21" s="77">
        <f>IF(MatrizDeAdyacencia!AC21=1, SUMIFS(tblRed[COSTE], tblRed[Nodo Inicial], $C21, tblRed[Nodo Final], AC$3, tblRed[Activo], 1), 0)</f>
        <v>0</v>
      </c>
      <c r="AD21" s="77">
        <f>IF(MatrizDeAdyacencia!AD21=1, SUMIFS(tblRed[COSTE], tblRed[Nodo Inicial], $C21, tblRed[Nodo Final], AD$3, tblRed[Activo], 1), 0)</f>
        <v>0</v>
      </c>
      <c r="AE21" s="77">
        <f>IF(MatrizDeAdyacencia!AE21=1, SUMIFS(tblRed[COSTE], tblRed[Nodo Inicial], $C21, tblRed[Nodo Final], AE$3, tblRed[Activo], 1), 0)</f>
        <v>5</v>
      </c>
      <c r="AF21" s="77">
        <f>IF(MatrizDeAdyacencia!AF21=1, SUMIFS(tblRed[COSTE], tblRed[Nodo Inicial], $C21, tblRed[Nodo Final], AF$3, tblRed[Activo], 1), 0)</f>
        <v>0</v>
      </c>
      <c r="AG21" s="77">
        <f>IF(MatrizDeAdyacencia!AG21=1, SUMIFS(tblRed[COSTE], tblRed[Nodo Inicial], $C21, tblRed[Nodo Final], AG$3, tblRed[Activo], 1), 0)</f>
        <v>0</v>
      </c>
      <c r="AH21" s="77">
        <f>IF(MatrizDeAdyacencia!AH21=1, SUMIFS(tblRed[COSTE], tblRed[Nodo Inicial], $C21, tblRed[Nodo Final], AH$3, tblRed[Activo], 1), 0)</f>
        <v>0</v>
      </c>
    </row>
    <row r="22" spans="2:34" ht="14.25" customHeight="1" x14ac:dyDescent="0.25">
      <c r="B22" s="9" t="str">
        <f>VLOOKUP(tblMatrizPonderadaCostes[[#This Row],[Nodo Orig.\Dest.]],tblNodos[],2,FALSE)</f>
        <v>Intermediarios bancarios formales</v>
      </c>
      <c r="C22" s="6" t="s">
        <v>61</v>
      </c>
      <c r="D22" s="80">
        <f>IF(MatrizDeAdyacencia!D22=1, SUMIFS(tblRed[COSTE], tblRed[Nodo Inicial], $C22, tblRed[Nodo Final], D$3, tblRed[Activo], 1), 0)</f>
        <v>0</v>
      </c>
      <c r="E22" s="80">
        <f>IF(MatrizDeAdyacencia!E22=1, SUMIFS(tblRed[COSTE], tblRed[Nodo Inicial], $C22, tblRed[Nodo Final], E$3, tblRed[Activo], 1), 0)</f>
        <v>0</v>
      </c>
      <c r="F22" s="80">
        <f>IF(MatrizDeAdyacencia!F22=1, SUMIFS(tblRed[COSTE], tblRed[Nodo Inicial], $C22, tblRed[Nodo Final], F$3, tblRed[Activo], 1), 0)</f>
        <v>0</v>
      </c>
      <c r="G22" s="80">
        <f>IF(MatrizDeAdyacencia!G22=1, SUMIFS(tblRed[COSTE], tblRed[Nodo Inicial], $C22, tblRed[Nodo Final], G$3, tblRed[Activo], 1), 0)</f>
        <v>0</v>
      </c>
      <c r="H22" s="80">
        <f>IF(MatrizDeAdyacencia!H22=1, SUMIFS(tblRed[COSTE], tblRed[Nodo Inicial], $C22, tblRed[Nodo Final], H$3, tblRed[Activo], 1), 0)</f>
        <v>0</v>
      </c>
      <c r="I22" s="80">
        <f>IF(MatrizDeAdyacencia!I22=1, SUMIFS(tblRed[COSTE], tblRed[Nodo Inicial], $C22, tblRed[Nodo Final], I$3, tblRed[Activo], 1), 0)</f>
        <v>0</v>
      </c>
      <c r="J22" s="80">
        <f>IF(MatrizDeAdyacencia!J22=1, SUMIFS(tblRed[COSTE], tblRed[Nodo Inicial], $C22, tblRed[Nodo Final], J$3, tblRed[Activo], 1), 0)</f>
        <v>0</v>
      </c>
      <c r="K22" s="80">
        <f>IF(MatrizDeAdyacencia!K22=1, SUMIFS(tblRed[COSTE], tblRed[Nodo Inicial], $C22, tblRed[Nodo Final], K$3, tblRed[Activo], 1), 0)</f>
        <v>0</v>
      </c>
      <c r="L22" s="80">
        <f>IF(MatrizDeAdyacencia!L22=1, SUMIFS(tblRed[COSTE], tblRed[Nodo Inicial], $C22, tblRed[Nodo Final], L$3, tblRed[Activo], 1), 0)</f>
        <v>0</v>
      </c>
      <c r="M22" s="80">
        <f>IF(MatrizDeAdyacencia!M22=1, SUMIFS(tblRed[COSTE], tblRed[Nodo Inicial], $C22, tblRed[Nodo Final], M$3, tblRed[Activo], 1), 0)</f>
        <v>0</v>
      </c>
      <c r="N22" s="80">
        <f>IF(MatrizDeAdyacencia!N22=1, SUMIFS(tblRed[COSTE], tblRed[Nodo Inicial], $C22, tblRed[Nodo Final], N$3, tblRed[Activo], 1), 0)</f>
        <v>0</v>
      </c>
      <c r="O22" s="80">
        <f>IF(MatrizDeAdyacencia!O22=1, SUMIFS(tblRed[COSTE], tblRed[Nodo Inicial], $C22, tblRed[Nodo Final], O$3, tblRed[Activo], 1), 0)</f>
        <v>0</v>
      </c>
      <c r="P22" s="80">
        <f>IF(MatrizDeAdyacencia!P22=1, SUMIFS(tblRed[COSTE], tblRed[Nodo Inicial], $C22, tblRed[Nodo Final], P$3, tblRed[Activo], 1), 0)</f>
        <v>0</v>
      </c>
      <c r="Q22" s="80">
        <f>IF(MatrizDeAdyacencia!Q22=1, SUMIFS(tblRed[COSTE], tblRed[Nodo Inicial], $C22, tblRed[Nodo Final], Q$3, tblRed[Activo], 1), 0)</f>
        <v>0</v>
      </c>
      <c r="R22" s="80">
        <f>IF(MatrizDeAdyacencia!R22=1, SUMIFS(tblRed[COSTE], tblRed[Nodo Inicial], $C22, tblRed[Nodo Final], R$3, tblRed[Activo], 1), 0)</f>
        <v>0</v>
      </c>
      <c r="S22" s="80">
        <f>IF(MatrizDeAdyacencia!S22=1, SUMIFS(tblRed[COSTE], tblRed[Nodo Inicial], $C22, tblRed[Nodo Final], S$3, tblRed[Activo], 1), 0)</f>
        <v>0</v>
      </c>
      <c r="T22" s="80">
        <f>IF(MatrizDeAdyacencia!T22=1, SUMIFS(tblRed[COSTE], tblRed[Nodo Inicial], $C22, tblRed[Nodo Final], T$3, tblRed[Activo], 1), 0)</f>
        <v>0</v>
      </c>
      <c r="U22" s="80">
        <f>IF(MatrizDeAdyacencia!U22=1, SUMIFS(tblRed[COSTE], tblRed[Nodo Inicial], $C22, tblRed[Nodo Final], U$3, tblRed[Activo], 1), 0)</f>
        <v>0</v>
      </c>
      <c r="V22" s="83">
        <f>IF(MatrizDeAdyacencia!V22=1, SUMIFS(tblRed[COSTE], tblRed[Nodo Inicial], $C22, tblRed[Nodo Final], V$3, tblRed[Activo], 1), 0)</f>
        <v>0</v>
      </c>
      <c r="W22" s="77">
        <f>IF(MatrizDeAdyacencia!W22=1, SUMIFS(tblRed[COSTE], tblRed[Nodo Inicial], $C22, tblRed[Nodo Final], W$3, tblRed[Activo], 1), 0)</f>
        <v>0</v>
      </c>
      <c r="X22" s="77">
        <f>IF(MatrizDeAdyacencia!X22=1, SUMIFS(tblRed[COSTE], tblRed[Nodo Inicial], $C22, tblRed[Nodo Final], X$3, tblRed[Activo], 1), 0)</f>
        <v>0</v>
      </c>
      <c r="Y22" s="77">
        <f>IF(MatrizDeAdyacencia!Y22=1, SUMIFS(tblRed[COSTE], tblRed[Nodo Inicial], $C22, tblRed[Nodo Final], Y$3, tblRed[Activo], 1), 0)</f>
        <v>0</v>
      </c>
      <c r="Z22" s="77">
        <f>IF(MatrizDeAdyacencia!Z22=1, SUMIFS(tblRed[COSTE], tblRed[Nodo Inicial], $C22, tblRed[Nodo Final], Z$3, tblRed[Activo], 1), 0)</f>
        <v>0</v>
      </c>
      <c r="AA22" s="77">
        <f>IF(MatrizDeAdyacencia!AA22=1, SUMIFS(tblRed[COSTE], tblRed[Nodo Inicial], $C22, tblRed[Nodo Final], AA$3, tblRed[Activo], 1), 0)</f>
        <v>0</v>
      </c>
      <c r="AB22" s="77">
        <f>IF(MatrizDeAdyacencia!AB22=1, SUMIFS(tblRed[COSTE], tblRed[Nodo Inicial], $C22, tblRed[Nodo Final], AB$3, tblRed[Activo], 1), 0)</f>
        <v>0</v>
      </c>
      <c r="AC22" s="77">
        <f>IF(MatrizDeAdyacencia!AC22=1, SUMIFS(tblRed[COSTE], tblRed[Nodo Inicial], $C22, tblRed[Nodo Final], AC$3, tblRed[Activo], 1), 0)</f>
        <v>0</v>
      </c>
      <c r="AD22" s="77">
        <f>IF(MatrizDeAdyacencia!AD22=1, SUMIFS(tblRed[COSTE], tblRed[Nodo Inicial], $C22, tblRed[Nodo Final], AD$3, tblRed[Activo], 1), 0)</f>
        <v>0</v>
      </c>
      <c r="AE22" s="77">
        <f>IF(MatrizDeAdyacencia!AE22=1, SUMIFS(tblRed[COSTE], tblRed[Nodo Inicial], $C22, tblRed[Nodo Final], AE$3, tblRed[Activo], 1), 0)</f>
        <v>4.25</v>
      </c>
      <c r="AF22" s="77">
        <f>IF(MatrizDeAdyacencia!AF22=1, SUMIFS(tblRed[COSTE], tblRed[Nodo Inicial], $C22, tblRed[Nodo Final], AF$3, tblRed[Activo], 1), 0)</f>
        <v>0</v>
      </c>
      <c r="AG22" s="77">
        <f>IF(MatrizDeAdyacencia!AG22=1, SUMIFS(tblRed[COSTE], tblRed[Nodo Inicial], $C22, tblRed[Nodo Final], AG$3, tblRed[Activo], 1), 0)</f>
        <v>4.5</v>
      </c>
      <c r="AH22" s="77">
        <f>IF(MatrizDeAdyacencia!AH22=1, SUMIFS(tblRed[COSTE], tblRed[Nodo Inicial], $C22, tblRed[Nodo Final], AH$3, tblRed[Activo], 1), 0)</f>
        <v>0</v>
      </c>
    </row>
    <row r="23" spans="2:34" ht="14.25" customHeight="1" x14ac:dyDescent="0.25">
      <c r="B23" s="48" t="str">
        <f>VLOOKUP(tblMatrizPonderadaCostes[[#This Row],[Nodo Orig.\Dest.]],tblNodos[],2,FALSE)</f>
        <v>Intermediarios de pago digital (PSP /FinTech)</v>
      </c>
      <c r="C23" s="49" t="s">
        <v>63</v>
      </c>
      <c r="D23" s="77">
        <f>IF(MatrizDeAdyacencia!D23=1, SUMIFS(tblRed[COSTE], tblRed[Nodo Inicial], $C23, tblRed[Nodo Final], D$3, tblRed[Activo], 1), 0)</f>
        <v>0</v>
      </c>
      <c r="E23" s="77">
        <f>IF(MatrizDeAdyacencia!E23=1, SUMIFS(tblRed[COSTE], tblRed[Nodo Inicial], $C23, tblRed[Nodo Final], E$3, tblRed[Activo], 1), 0)</f>
        <v>0</v>
      </c>
      <c r="F23" s="77">
        <f>IF(MatrizDeAdyacencia!F23=1, SUMIFS(tblRed[COSTE], tblRed[Nodo Inicial], $C23, tblRed[Nodo Final], F$3, tblRed[Activo], 1), 0)</f>
        <v>0</v>
      </c>
      <c r="G23" s="77">
        <f>IF(MatrizDeAdyacencia!G23=1, SUMIFS(tblRed[COSTE], tblRed[Nodo Inicial], $C23, tblRed[Nodo Final], G$3, tblRed[Activo], 1), 0)</f>
        <v>0</v>
      </c>
      <c r="H23" s="77">
        <f>IF(MatrizDeAdyacencia!H23=1, SUMIFS(tblRed[COSTE], tblRed[Nodo Inicial], $C23, tblRed[Nodo Final], H$3, tblRed[Activo], 1), 0)</f>
        <v>0</v>
      </c>
      <c r="I23" s="77">
        <f>IF(MatrizDeAdyacencia!I23=1, SUMIFS(tblRed[COSTE], tblRed[Nodo Inicial], $C23, tblRed[Nodo Final], I$3, tblRed[Activo], 1), 0)</f>
        <v>0</v>
      </c>
      <c r="J23" s="77">
        <f>IF(MatrizDeAdyacencia!J23=1, SUMIFS(tblRed[COSTE], tblRed[Nodo Inicial], $C23, tblRed[Nodo Final], J$3, tblRed[Activo], 1), 0)</f>
        <v>0</v>
      </c>
      <c r="K23" s="77">
        <f>IF(MatrizDeAdyacencia!K23=1, SUMIFS(tblRed[COSTE], tblRed[Nodo Inicial], $C23, tblRed[Nodo Final], K$3, tblRed[Activo], 1), 0)</f>
        <v>0</v>
      </c>
      <c r="L23" s="77">
        <f>IF(MatrizDeAdyacencia!L23=1, SUMIFS(tblRed[COSTE], tblRed[Nodo Inicial], $C23, tblRed[Nodo Final], L$3, tblRed[Activo], 1), 0)</f>
        <v>0</v>
      </c>
      <c r="M23" s="77">
        <f>IF(MatrizDeAdyacencia!M23=1, SUMIFS(tblRed[COSTE], tblRed[Nodo Inicial], $C23, tblRed[Nodo Final], M$3, tblRed[Activo], 1), 0)</f>
        <v>0</v>
      </c>
      <c r="N23" s="77">
        <f>IF(MatrizDeAdyacencia!N23=1, SUMIFS(tblRed[COSTE], tblRed[Nodo Inicial], $C23, tblRed[Nodo Final], N$3, tblRed[Activo], 1), 0)</f>
        <v>0</v>
      </c>
      <c r="O23" s="77">
        <f>IF(MatrizDeAdyacencia!O23=1, SUMIFS(tblRed[COSTE], tblRed[Nodo Inicial], $C23, tblRed[Nodo Final], O$3, tblRed[Activo], 1), 0)</f>
        <v>0</v>
      </c>
      <c r="P23" s="77">
        <f>IF(MatrizDeAdyacencia!P23=1, SUMIFS(tblRed[COSTE], tblRed[Nodo Inicial], $C23, tblRed[Nodo Final], P$3, tblRed[Activo], 1), 0)</f>
        <v>0</v>
      </c>
      <c r="Q23" s="77">
        <f>IF(MatrizDeAdyacencia!Q23=1, SUMIFS(tblRed[COSTE], tblRed[Nodo Inicial], $C23, tblRed[Nodo Final], Q$3, tblRed[Activo], 1), 0)</f>
        <v>0</v>
      </c>
      <c r="R23" s="77">
        <f>IF(MatrizDeAdyacencia!R23=1, SUMIFS(tblRed[COSTE], tblRed[Nodo Inicial], $C23, tblRed[Nodo Final], R$3, tblRed[Activo], 1), 0)</f>
        <v>0</v>
      </c>
      <c r="S23" s="77">
        <f>IF(MatrizDeAdyacencia!S23=1, SUMIFS(tblRed[COSTE], tblRed[Nodo Inicial], $C23, tblRed[Nodo Final], S$3, tblRed[Activo], 1), 0)</f>
        <v>0</v>
      </c>
      <c r="T23" s="77">
        <f>IF(MatrizDeAdyacencia!T23=1, SUMIFS(tblRed[COSTE], tblRed[Nodo Inicial], $C23, tblRed[Nodo Final], T$3, tblRed[Activo], 1), 0)</f>
        <v>0</v>
      </c>
      <c r="U23" s="77">
        <f>IF(MatrizDeAdyacencia!U23=1, SUMIFS(tblRed[COSTE], tblRed[Nodo Inicial], $C23, tblRed[Nodo Final], U$3, tblRed[Activo], 1), 0)</f>
        <v>0</v>
      </c>
      <c r="V23" s="79">
        <f>IF(MatrizDeAdyacencia!V23=1, SUMIFS(tblRed[COSTE], tblRed[Nodo Inicial], $C23, tblRed[Nodo Final], V$3, tblRed[Activo], 1), 0)</f>
        <v>0</v>
      </c>
      <c r="W23" s="82">
        <f>IF(MatrizDeAdyacencia!W23=1, SUMIFS(tblRed[COSTE], tblRed[Nodo Inicial], $C23, tblRed[Nodo Final], W$3, tblRed[Activo], 1), 0)</f>
        <v>0</v>
      </c>
      <c r="X23" s="77">
        <f>IF(MatrizDeAdyacencia!X23=1, SUMIFS(tblRed[COSTE], tblRed[Nodo Inicial], $C23, tblRed[Nodo Final], X$3, tblRed[Activo], 1), 0)</f>
        <v>0</v>
      </c>
      <c r="Y23" s="77">
        <f>IF(MatrizDeAdyacencia!Y23=1, SUMIFS(tblRed[COSTE], tblRed[Nodo Inicial], $C23, tblRed[Nodo Final], Y$3, tblRed[Activo], 1), 0)</f>
        <v>0</v>
      </c>
      <c r="Z23" s="77">
        <f>IF(MatrizDeAdyacencia!Z23=1, SUMIFS(tblRed[COSTE], tblRed[Nodo Inicial], $C23, tblRed[Nodo Final], Z$3, tblRed[Activo], 1), 0)</f>
        <v>0</v>
      </c>
      <c r="AA23" s="77">
        <f>IF(MatrizDeAdyacencia!AA23=1, SUMIFS(tblRed[COSTE], tblRed[Nodo Inicial], $C23, tblRed[Nodo Final], AA$3, tblRed[Activo], 1), 0)</f>
        <v>0</v>
      </c>
      <c r="AB23" s="77">
        <f>IF(MatrizDeAdyacencia!AB23=1, SUMIFS(tblRed[COSTE], tblRed[Nodo Inicial], $C23, tblRed[Nodo Final], AB$3, tblRed[Activo], 1), 0)</f>
        <v>0</v>
      </c>
      <c r="AC23" s="77">
        <f>IF(MatrizDeAdyacencia!AC23=1, SUMIFS(tblRed[COSTE], tblRed[Nodo Inicial], $C23, tblRed[Nodo Final], AC$3, tblRed[Activo], 1), 0)</f>
        <v>0</v>
      </c>
      <c r="AD23" s="77">
        <f>IF(MatrizDeAdyacencia!AD23=1, SUMIFS(tblRed[COSTE], tblRed[Nodo Inicial], $C23, tblRed[Nodo Final], AD$3, tblRed[Activo], 1), 0)</f>
        <v>0</v>
      </c>
      <c r="AE23" s="77">
        <f>IF(MatrizDeAdyacencia!AE23=1, SUMIFS(tblRed[COSTE], tblRed[Nodo Inicial], $C23, tblRed[Nodo Final], AE$3, tblRed[Activo], 1), 0)</f>
        <v>0</v>
      </c>
      <c r="AF23" s="77">
        <f>IF(MatrizDeAdyacencia!AF23=1, SUMIFS(tblRed[COSTE], tblRed[Nodo Inicial], $C23, tblRed[Nodo Final], AF$3, tblRed[Activo], 1), 0)</f>
        <v>0</v>
      </c>
      <c r="AG23" s="77">
        <f>IF(MatrizDeAdyacencia!AG23=1, SUMIFS(tblRed[COSTE], tblRed[Nodo Inicial], $C23, tblRed[Nodo Final], AG$3, tblRed[Activo], 1), 0)</f>
        <v>5</v>
      </c>
      <c r="AH23" s="77">
        <f>IF(MatrizDeAdyacencia!AH23=1, SUMIFS(tblRed[COSTE], tblRed[Nodo Inicial], $C23, tblRed[Nodo Final], AH$3, tblRed[Activo], 1), 0)</f>
        <v>0</v>
      </c>
    </row>
    <row r="24" spans="2:34" ht="14.25" customHeight="1" x14ac:dyDescent="0.25">
      <c r="B24" s="48" t="str">
        <f>VLOOKUP(tblMatrizPonderadaCostes[[#This Row],[Nodo Orig.\Dest.]],tblNodos[],2,FALSE)</f>
        <v>Intermediarios de activos virtuales y conversión</v>
      </c>
      <c r="C24" s="49" t="s">
        <v>65</v>
      </c>
      <c r="D24" s="77">
        <f>IF(MatrizDeAdyacencia!D24=1, SUMIFS(tblRed[COSTE], tblRed[Nodo Inicial], $C24, tblRed[Nodo Final], D$3, tblRed[Activo], 1), 0)</f>
        <v>0</v>
      </c>
      <c r="E24" s="77">
        <f>IF(MatrizDeAdyacencia!E24=1, SUMIFS(tblRed[COSTE], tblRed[Nodo Inicial], $C24, tblRed[Nodo Final], E$3, tblRed[Activo], 1), 0)</f>
        <v>0</v>
      </c>
      <c r="F24" s="77">
        <f>IF(MatrizDeAdyacencia!F24=1, SUMIFS(tblRed[COSTE], tblRed[Nodo Inicial], $C24, tblRed[Nodo Final], F$3, tblRed[Activo], 1), 0)</f>
        <v>0</v>
      </c>
      <c r="G24" s="77">
        <f>IF(MatrizDeAdyacencia!G24=1, SUMIFS(tblRed[COSTE], tblRed[Nodo Inicial], $C24, tblRed[Nodo Final], G$3, tblRed[Activo], 1), 0)</f>
        <v>0</v>
      </c>
      <c r="H24" s="77">
        <f>IF(MatrizDeAdyacencia!H24=1, SUMIFS(tblRed[COSTE], tblRed[Nodo Inicial], $C24, tblRed[Nodo Final], H$3, tblRed[Activo], 1), 0)</f>
        <v>0</v>
      </c>
      <c r="I24" s="77">
        <f>IF(MatrizDeAdyacencia!I24=1, SUMIFS(tblRed[COSTE], tblRed[Nodo Inicial], $C24, tblRed[Nodo Final], I$3, tblRed[Activo], 1), 0)</f>
        <v>0</v>
      </c>
      <c r="J24" s="77">
        <f>IF(MatrizDeAdyacencia!J24=1, SUMIFS(tblRed[COSTE], tblRed[Nodo Inicial], $C24, tblRed[Nodo Final], J$3, tblRed[Activo], 1), 0)</f>
        <v>0</v>
      </c>
      <c r="K24" s="77">
        <f>IF(MatrizDeAdyacencia!K24=1, SUMIFS(tblRed[COSTE], tblRed[Nodo Inicial], $C24, tblRed[Nodo Final], K$3, tblRed[Activo], 1), 0)</f>
        <v>0</v>
      </c>
      <c r="L24" s="77">
        <f>IF(MatrizDeAdyacencia!L24=1, SUMIFS(tblRed[COSTE], tblRed[Nodo Inicial], $C24, tblRed[Nodo Final], L$3, tblRed[Activo], 1), 0)</f>
        <v>0</v>
      </c>
      <c r="M24" s="77">
        <f>IF(MatrizDeAdyacencia!M24=1, SUMIFS(tblRed[COSTE], tblRed[Nodo Inicial], $C24, tblRed[Nodo Final], M$3, tblRed[Activo], 1), 0)</f>
        <v>0</v>
      </c>
      <c r="N24" s="77">
        <f>IF(MatrizDeAdyacencia!N24=1, SUMIFS(tblRed[COSTE], tblRed[Nodo Inicial], $C24, tblRed[Nodo Final], N$3, tblRed[Activo], 1), 0)</f>
        <v>0</v>
      </c>
      <c r="O24" s="77">
        <f>IF(MatrizDeAdyacencia!O24=1, SUMIFS(tblRed[COSTE], tblRed[Nodo Inicial], $C24, tblRed[Nodo Final], O$3, tblRed[Activo], 1), 0)</f>
        <v>0</v>
      </c>
      <c r="P24" s="77">
        <f>IF(MatrizDeAdyacencia!P24=1, SUMIFS(tblRed[COSTE], tblRed[Nodo Inicial], $C24, tblRed[Nodo Final], P$3, tblRed[Activo], 1), 0)</f>
        <v>0</v>
      </c>
      <c r="Q24" s="77">
        <f>IF(MatrizDeAdyacencia!Q24=1, SUMIFS(tblRed[COSTE], tblRed[Nodo Inicial], $C24, tblRed[Nodo Final], Q$3, tblRed[Activo], 1), 0)</f>
        <v>0</v>
      </c>
      <c r="R24" s="77">
        <f>IF(MatrizDeAdyacencia!R24=1, SUMIFS(tblRed[COSTE], tblRed[Nodo Inicial], $C24, tblRed[Nodo Final], R$3, tblRed[Activo], 1), 0)</f>
        <v>0</v>
      </c>
      <c r="S24" s="77">
        <f>IF(MatrizDeAdyacencia!S24=1, SUMIFS(tblRed[COSTE], tblRed[Nodo Inicial], $C24, tblRed[Nodo Final], S$3, tblRed[Activo], 1), 0)</f>
        <v>0</v>
      </c>
      <c r="T24" s="77">
        <f>IF(MatrizDeAdyacencia!T24=1, SUMIFS(tblRed[COSTE], tblRed[Nodo Inicial], $C24, tblRed[Nodo Final], T$3, tblRed[Activo], 1), 0)</f>
        <v>0</v>
      </c>
      <c r="U24" s="77">
        <f>IF(MatrizDeAdyacencia!U24=1, SUMIFS(tblRed[COSTE], tblRed[Nodo Inicial], $C24, tblRed[Nodo Final], U$3, tblRed[Activo], 1), 0)</f>
        <v>0</v>
      </c>
      <c r="V24" s="79">
        <f>IF(MatrizDeAdyacencia!V24=1, SUMIFS(tblRed[COSTE], tblRed[Nodo Inicial], $C24, tblRed[Nodo Final], V$3, tblRed[Activo], 1), 0)</f>
        <v>0</v>
      </c>
      <c r="W24" s="77">
        <f>IF(MatrizDeAdyacencia!W24=1, SUMIFS(tblRed[COSTE], tblRed[Nodo Inicial], $C24, tblRed[Nodo Final], W$3, tblRed[Activo], 1), 0)</f>
        <v>0</v>
      </c>
      <c r="X24" s="82">
        <f>IF(MatrizDeAdyacencia!X24=1, SUMIFS(tblRed[COSTE], tblRed[Nodo Inicial], $C24, tblRed[Nodo Final], X$3, tblRed[Activo], 1), 0)</f>
        <v>0</v>
      </c>
      <c r="Y24" s="77">
        <f>IF(MatrizDeAdyacencia!Y24=1, SUMIFS(tblRed[COSTE], tblRed[Nodo Inicial], $C24, tblRed[Nodo Final], Y$3, tblRed[Activo], 1), 0)</f>
        <v>0</v>
      </c>
      <c r="Z24" s="77">
        <f>IF(MatrizDeAdyacencia!Z24=1, SUMIFS(tblRed[COSTE], tblRed[Nodo Inicial], $C24, tblRed[Nodo Final], Z$3, tblRed[Activo], 1), 0)</f>
        <v>0</v>
      </c>
      <c r="AA24" s="77">
        <f>IF(MatrizDeAdyacencia!AA24=1, SUMIFS(tblRed[COSTE], tblRed[Nodo Inicial], $C24, tblRed[Nodo Final], AA$3, tblRed[Activo], 1), 0)</f>
        <v>0</v>
      </c>
      <c r="AB24" s="77">
        <f>IF(MatrizDeAdyacencia!AB24=1, SUMIFS(tblRed[COSTE], tblRed[Nodo Inicial], $C24, tblRed[Nodo Final], AB$3, tblRed[Activo], 1), 0)</f>
        <v>0</v>
      </c>
      <c r="AC24" s="77">
        <f>IF(MatrizDeAdyacencia!AC24=1, SUMIFS(tblRed[COSTE], tblRed[Nodo Inicial], $C24, tblRed[Nodo Final], AC$3, tblRed[Activo], 1), 0)</f>
        <v>0</v>
      </c>
      <c r="AD24" s="77">
        <f>IF(MatrizDeAdyacencia!AD24=1, SUMIFS(tblRed[COSTE], tblRed[Nodo Inicial], $C24, tblRed[Nodo Final], AD$3, tblRed[Activo], 1), 0)</f>
        <v>0</v>
      </c>
      <c r="AE24" s="77">
        <f>IF(MatrizDeAdyacencia!AE24=1, SUMIFS(tblRed[COSTE], tblRed[Nodo Inicial], $C24, tblRed[Nodo Final], AE$3, tblRed[Activo], 1), 0)</f>
        <v>0</v>
      </c>
      <c r="AF24" s="77">
        <f>IF(MatrizDeAdyacencia!AF24=1, SUMIFS(tblRed[COSTE], tblRed[Nodo Inicial], $C24, tblRed[Nodo Final], AF$3, tblRed[Activo], 1), 0)</f>
        <v>3.9999999999999996</v>
      </c>
      <c r="AG24" s="77">
        <f>IF(MatrizDeAdyacencia!AG24=1, SUMIFS(tblRed[COSTE], tblRed[Nodo Inicial], $C24, tblRed[Nodo Final], AG$3, tblRed[Activo], 1), 0)</f>
        <v>4.4000000000000004</v>
      </c>
      <c r="AH24" s="77">
        <f>IF(MatrizDeAdyacencia!AH24=1, SUMIFS(tblRed[COSTE], tblRed[Nodo Inicial], $C24, tblRed[Nodo Final], AH$3, tblRed[Activo], 1), 0)</f>
        <v>0</v>
      </c>
    </row>
    <row r="25" spans="2:34" ht="14.25" customHeight="1" x14ac:dyDescent="0.25">
      <c r="B25" s="48" t="str">
        <f>VLOOKUP(tblMatrizPonderadaCostes[[#This Row],[Nodo Orig.\Dest.]],tblNodos[],2,FALSE)</f>
        <v>Intermediarios comerciales y transaccionales</v>
      </c>
      <c r="C25" s="49" t="s">
        <v>67</v>
      </c>
      <c r="D25" s="77">
        <f>IF(MatrizDeAdyacencia!D25=1, SUMIFS(tblRed[COSTE], tblRed[Nodo Inicial], $C25, tblRed[Nodo Final], D$3, tblRed[Activo], 1), 0)</f>
        <v>0</v>
      </c>
      <c r="E25" s="77">
        <f>IF(MatrizDeAdyacencia!E25=1, SUMIFS(tblRed[COSTE], tblRed[Nodo Inicial], $C25, tblRed[Nodo Final], E$3, tblRed[Activo], 1), 0)</f>
        <v>0</v>
      </c>
      <c r="F25" s="77">
        <f>IF(MatrizDeAdyacencia!F25=1, SUMIFS(tblRed[COSTE], tblRed[Nodo Inicial], $C25, tblRed[Nodo Final], F$3, tblRed[Activo], 1), 0)</f>
        <v>0</v>
      </c>
      <c r="G25" s="77">
        <f>IF(MatrizDeAdyacencia!G25=1, SUMIFS(tblRed[COSTE], tblRed[Nodo Inicial], $C25, tblRed[Nodo Final], G$3, tblRed[Activo], 1), 0)</f>
        <v>0</v>
      </c>
      <c r="H25" s="77">
        <f>IF(MatrizDeAdyacencia!H25=1, SUMIFS(tblRed[COSTE], tblRed[Nodo Inicial], $C25, tblRed[Nodo Final], H$3, tblRed[Activo], 1), 0)</f>
        <v>0</v>
      </c>
      <c r="I25" s="77">
        <f>IF(MatrizDeAdyacencia!I25=1, SUMIFS(tblRed[COSTE], tblRed[Nodo Inicial], $C25, tblRed[Nodo Final], I$3, tblRed[Activo], 1), 0)</f>
        <v>0</v>
      </c>
      <c r="J25" s="77">
        <f>IF(MatrizDeAdyacencia!J25=1, SUMIFS(tblRed[COSTE], tblRed[Nodo Inicial], $C25, tblRed[Nodo Final], J$3, tblRed[Activo], 1), 0)</f>
        <v>0</v>
      </c>
      <c r="K25" s="77">
        <f>IF(MatrizDeAdyacencia!K25=1, SUMIFS(tblRed[COSTE], tblRed[Nodo Inicial], $C25, tblRed[Nodo Final], K$3, tblRed[Activo], 1), 0)</f>
        <v>0</v>
      </c>
      <c r="L25" s="77">
        <f>IF(MatrizDeAdyacencia!L25=1, SUMIFS(tblRed[COSTE], tblRed[Nodo Inicial], $C25, tblRed[Nodo Final], L$3, tblRed[Activo], 1), 0)</f>
        <v>0</v>
      </c>
      <c r="M25" s="77">
        <f>IF(MatrizDeAdyacencia!M25=1, SUMIFS(tblRed[COSTE], tblRed[Nodo Inicial], $C25, tblRed[Nodo Final], M$3, tblRed[Activo], 1), 0)</f>
        <v>0</v>
      </c>
      <c r="N25" s="77">
        <f>IF(MatrizDeAdyacencia!N25=1, SUMIFS(tblRed[COSTE], tblRed[Nodo Inicial], $C25, tblRed[Nodo Final], N$3, tblRed[Activo], 1), 0)</f>
        <v>0</v>
      </c>
      <c r="O25" s="77">
        <f>IF(MatrizDeAdyacencia!O25=1, SUMIFS(tblRed[COSTE], tblRed[Nodo Inicial], $C25, tblRed[Nodo Final], O$3, tblRed[Activo], 1), 0)</f>
        <v>0</v>
      </c>
      <c r="P25" s="77">
        <f>IF(MatrizDeAdyacencia!P25=1, SUMIFS(tblRed[COSTE], tblRed[Nodo Inicial], $C25, tblRed[Nodo Final], P$3, tblRed[Activo], 1), 0)</f>
        <v>0</v>
      </c>
      <c r="Q25" s="77">
        <f>IF(MatrizDeAdyacencia!Q25=1, SUMIFS(tblRed[COSTE], tblRed[Nodo Inicial], $C25, tblRed[Nodo Final], Q$3, tblRed[Activo], 1), 0)</f>
        <v>0</v>
      </c>
      <c r="R25" s="77">
        <f>IF(MatrizDeAdyacencia!R25=1, SUMIFS(tblRed[COSTE], tblRed[Nodo Inicial], $C25, tblRed[Nodo Final], R$3, tblRed[Activo], 1), 0)</f>
        <v>0</v>
      </c>
      <c r="S25" s="77">
        <f>IF(MatrizDeAdyacencia!S25=1, SUMIFS(tblRed[COSTE], tblRed[Nodo Inicial], $C25, tblRed[Nodo Final], S$3, tblRed[Activo], 1), 0)</f>
        <v>0</v>
      </c>
      <c r="T25" s="77">
        <f>IF(MatrizDeAdyacencia!T25=1, SUMIFS(tblRed[COSTE], tblRed[Nodo Inicial], $C25, tblRed[Nodo Final], T$3, tblRed[Activo], 1), 0)</f>
        <v>0</v>
      </c>
      <c r="U25" s="77">
        <f>IF(MatrizDeAdyacencia!U25=1, SUMIFS(tblRed[COSTE], tblRed[Nodo Inicial], $C25, tblRed[Nodo Final], U$3, tblRed[Activo], 1), 0)</f>
        <v>0</v>
      </c>
      <c r="V25" s="79">
        <f>IF(MatrizDeAdyacencia!V25=1, SUMIFS(tblRed[COSTE], tblRed[Nodo Inicial], $C25, tblRed[Nodo Final], V$3, tblRed[Activo], 1), 0)</f>
        <v>0</v>
      </c>
      <c r="W25" s="77">
        <f>IF(MatrizDeAdyacencia!W25=1, SUMIFS(tblRed[COSTE], tblRed[Nodo Inicial], $C25, tblRed[Nodo Final], W$3, tblRed[Activo], 1), 0)</f>
        <v>0</v>
      </c>
      <c r="X25" s="77">
        <f>IF(MatrizDeAdyacencia!X25=1, SUMIFS(tblRed[COSTE], tblRed[Nodo Inicial], $C25, tblRed[Nodo Final], X$3, tblRed[Activo], 1), 0)</f>
        <v>0</v>
      </c>
      <c r="Y25" s="82">
        <f>IF(MatrizDeAdyacencia!Y25=1, SUMIFS(tblRed[COSTE], tblRed[Nodo Inicial], $C25, tblRed[Nodo Final], Y$3, tblRed[Activo], 1), 0)</f>
        <v>0</v>
      </c>
      <c r="Z25" s="77">
        <f>IF(MatrizDeAdyacencia!Z25=1, SUMIFS(tblRed[COSTE], tblRed[Nodo Inicial], $C25, tblRed[Nodo Final], Z$3, tblRed[Activo], 1), 0)</f>
        <v>0</v>
      </c>
      <c r="AA25" s="77">
        <f>IF(MatrizDeAdyacencia!AA25=1, SUMIFS(tblRed[COSTE], tblRed[Nodo Inicial], $C25, tblRed[Nodo Final], AA$3, tblRed[Activo], 1), 0)</f>
        <v>0</v>
      </c>
      <c r="AB25" s="77">
        <f>IF(MatrizDeAdyacencia!AB25=1, SUMIFS(tblRed[COSTE], tblRed[Nodo Inicial], $C25, tblRed[Nodo Final], AB$3, tblRed[Activo], 1), 0)</f>
        <v>0</v>
      </c>
      <c r="AC25" s="77">
        <f>IF(MatrizDeAdyacencia!AC25=1, SUMIFS(tblRed[COSTE], tblRed[Nodo Inicial], $C25, tblRed[Nodo Final], AC$3, tblRed[Activo], 1), 0)</f>
        <v>0</v>
      </c>
      <c r="AD25" s="77">
        <f>IF(MatrizDeAdyacencia!AD25=1, SUMIFS(tblRed[COSTE], tblRed[Nodo Inicial], $C25, tblRed[Nodo Final], AD$3, tblRed[Activo], 1), 0)</f>
        <v>3.9130434782608692</v>
      </c>
      <c r="AE25" s="77">
        <f>IF(MatrizDeAdyacencia!AE25=1, SUMIFS(tblRed[COSTE], tblRed[Nodo Inicial], $C25, tblRed[Nodo Final], AE$3, tblRed[Activo], 1), 0)</f>
        <v>1.9999999999999998</v>
      </c>
      <c r="AF25" s="77">
        <f>IF(MatrizDeAdyacencia!AF25=1, SUMIFS(tblRed[COSTE], tblRed[Nodo Inicial], $C25, tblRed[Nodo Final], AF$3, tblRed[Activo], 1), 0)</f>
        <v>3.6666666666666665</v>
      </c>
      <c r="AG25" s="77">
        <f>IF(MatrizDeAdyacencia!AG25=1, SUMIFS(tblRed[COSTE], tblRed[Nodo Inicial], $C25, tblRed[Nodo Final], AG$3, tblRed[Activo], 1), 0)</f>
        <v>0</v>
      </c>
      <c r="AH25" s="77">
        <f>IF(MatrizDeAdyacencia!AH25=1, SUMIFS(tblRed[COSTE], tblRed[Nodo Inicial], $C25, tblRed[Nodo Final], AH$3, tblRed[Activo], 1), 0)</f>
        <v>0</v>
      </c>
    </row>
    <row r="26" spans="2:34" ht="14.25" customHeight="1" x14ac:dyDescent="0.25">
      <c r="B26" s="48" t="str">
        <f>VLOOKUP(tblMatrizPonderadaCostes[[#This Row],[Nodo Orig.\Dest.]],tblNodos[],2,FALSE)</f>
        <v>Intermediarios logísticos del contrabando</v>
      </c>
      <c r="C26" s="49" t="s">
        <v>69</v>
      </c>
      <c r="D26" s="77">
        <f>IF(MatrizDeAdyacencia!D26=1, SUMIFS(tblRed[COSTE], tblRed[Nodo Inicial], $C26, tblRed[Nodo Final], D$3, tblRed[Activo], 1), 0)</f>
        <v>0</v>
      </c>
      <c r="E26" s="77">
        <f>IF(MatrizDeAdyacencia!E26=1, SUMIFS(tblRed[COSTE], tblRed[Nodo Inicial], $C26, tblRed[Nodo Final], E$3, tblRed[Activo], 1), 0)</f>
        <v>0</v>
      </c>
      <c r="F26" s="77">
        <f>IF(MatrizDeAdyacencia!F26=1, SUMIFS(tblRed[COSTE], tblRed[Nodo Inicial], $C26, tblRed[Nodo Final], F$3, tblRed[Activo], 1), 0)</f>
        <v>0</v>
      </c>
      <c r="G26" s="77">
        <f>IF(MatrizDeAdyacencia!G26=1, SUMIFS(tblRed[COSTE], tblRed[Nodo Inicial], $C26, tblRed[Nodo Final], G$3, tblRed[Activo], 1), 0)</f>
        <v>0</v>
      </c>
      <c r="H26" s="77">
        <f>IF(MatrizDeAdyacencia!H26=1, SUMIFS(tblRed[COSTE], tblRed[Nodo Inicial], $C26, tblRed[Nodo Final], H$3, tblRed[Activo], 1), 0)</f>
        <v>0</v>
      </c>
      <c r="I26" s="77">
        <f>IF(MatrizDeAdyacencia!I26=1, SUMIFS(tblRed[COSTE], tblRed[Nodo Inicial], $C26, tblRed[Nodo Final], I$3, tblRed[Activo], 1), 0)</f>
        <v>0</v>
      </c>
      <c r="J26" s="77">
        <f>IF(MatrizDeAdyacencia!J26=1, SUMIFS(tblRed[COSTE], tblRed[Nodo Inicial], $C26, tblRed[Nodo Final], J$3, tblRed[Activo], 1), 0)</f>
        <v>0</v>
      </c>
      <c r="K26" s="77">
        <f>IF(MatrizDeAdyacencia!K26=1, SUMIFS(tblRed[COSTE], tblRed[Nodo Inicial], $C26, tblRed[Nodo Final], K$3, tblRed[Activo], 1), 0)</f>
        <v>0</v>
      </c>
      <c r="L26" s="77">
        <f>IF(MatrizDeAdyacencia!L26=1, SUMIFS(tblRed[COSTE], tblRed[Nodo Inicial], $C26, tblRed[Nodo Final], L$3, tblRed[Activo], 1), 0)</f>
        <v>0</v>
      </c>
      <c r="M26" s="77">
        <f>IF(MatrizDeAdyacencia!M26=1, SUMIFS(tblRed[COSTE], tblRed[Nodo Inicial], $C26, tblRed[Nodo Final], M$3, tblRed[Activo], 1), 0)</f>
        <v>0</v>
      </c>
      <c r="N26" s="77">
        <f>IF(MatrizDeAdyacencia!N26=1, SUMIFS(tblRed[COSTE], tblRed[Nodo Inicial], $C26, tblRed[Nodo Final], N$3, tblRed[Activo], 1), 0)</f>
        <v>0</v>
      </c>
      <c r="O26" s="77">
        <f>IF(MatrizDeAdyacencia!O26=1, SUMIFS(tblRed[COSTE], tblRed[Nodo Inicial], $C26, tblRed[Nodo Final], O$3, tblRed[Activo], 1), 0)</f>
        <v>0</v>
      </c>
      <c r="P26" s="77">
        <f>IF(MatrizDeAdyacencia!P26=1, SUMIFS(tblRed[COSTE], tblRed[Nodo Inicial], $C26, tblRed[Nodo Final], P$3, tblRed[Activo], 1), 0)</f>
        <v>0</v>
      </c>
      <c r="Q26" s="77">
        <f>IF(MatrizDeAdyacencia!Q26=1, SUMIFS(tblRed[COSTE], tblRed[Nodo Inicial], $C26, tblRed[Nodo Final], Q$3, tblRed[Activo], 1), 0)</f>
        <v>0</v>
      </c>
      <c r="R26" s="77">
        <f>IF(MatrizDeAdyacencia!R26=1, SUMIFS(tblRed[COSTE], tblRed[Nodo Inicial], $C26, tblRed[Nodo Final], R$3, tblRed[Activo], 1), 0)</f>
        <v>0</v>
      </c>
      <c r="S26" s="77">
        <f>IF(MatrizDeAdyacencia!S26=1, SUMIFS(tblRed[COSTE], tblRed[Nodo Inicial], $C26, tblRed[Nodo Final], S$3, tblRed[Activo], 1), 0)</f>
        <v>0</v>
      </c>
      <c r="T26" s="77">
        <f>IF(MatrizDeAdyacencia!T26=1, SUMIFS(tblRed[COSTE], tblRed[Nodo Inicial], $C26, tblRed[Nodo Final], T$3, tblRed[Activo], 1), 0)</f>
        <v>0</v>
      </c>
      <c r="U26" s="77">
        <f>IF(MatrizDeAdyacencia!U26=1, SUMIFS(tblRed[COSTE], tblRed[Nodo Inicial], $C26, tblRed[Nodo Final], U$3, tblRed[Activo], 1), 0)</f>
        <v>0</v>
      </c>
      <c r="V26" s="79">
        <f>IF(MatrizDeAdyacencia!V26=1, SUMIFS(tblRed[COSTE], tblRed[Nodo Inicial], $C26, tblRed[Nodo Final], V$3, tblRed[Activo], 1), 0)</f>
        <v>0</v>
      </c>
      <c r="W26" s="77">
        <f>IF(MatrizDeAdyacencia!W26=1, SUMIFS(tblRed[COSTE], tblRed[Nodo Inicial], $C26, tblRed[Nodo Final], W$3, tblRed[Activo], 1), 0)</f>
        <v>0</v>
      </c>
      <c r="X26" s="77">
        <f>IF(MatrizDeAdyacencia!X26=1, SUMIFS(tblRed[COSTE], tblRed[Nodo Inicial], $C26, tblRed[Nodo Final], X$3, tblRed[Activo], 1), 0)</f>
        <v>0</v>
      </c>
      <c r="Y26" s="77">
        <f>IF(MatrizDeAdyacencia!Y26=1, SUMIFS(tblRed[COSTE], tblRed[Nodo Inicial], $C26, tblRed[Nodo Final], Y$3, tblRed[Activo], 1), 0)</f>
        <v>0</v>
      </c>
      <c r="Z26" s="82">
        <f>IF(MatrizDeAdyacencia!Z26=1, SUMIFS(tblRed[COSTE], tblRed[Nodo Inicial], $C26, tblRed[Nodo Final], Z$3, tblRed[Activo], 1), 0)</f>
        <v>0</v>
      </c>
      <c r="AA26" s="77">
        <f>IF(MatrizDeAdyacencia!AA26=1, SUMIFS(tblRed[COSTE], tblRed[Nodo Inicial], $C26, tblRed[Nodo Final], AA$3, tblRed[Activo], 1), 0)</f>
        <v>0</v>
      </c>
      <c r="AB26" s="77">
        <f>IF(MatrizDeAdyacencia!AB26=1, SUMIFS(tblRed[COSTE], tblRed[Nodo Inicial], $C26, tblRed[Nodo Final], AB$3, tblRed[Activo], 1), 0)</f>
        <v>0</v>
      </c>
      <c r="AC26" s="77">
        <f>IF(MatrizDeAdyacencia!AC26=1, SUMIFS(tblRed[COSTE], tblRed[Nodo Inicial], $C26, tblRed[Nodo Final], AC$3, tblRed[Activo], 1), 0)</f>
        <v>0</v>
      </c>
      <c r="AD26" s="77">
        <f>IF(MatrizDeAdyacencia!AD26=1, SUMIFS(tblRed[COSTE], tblRed[Nodo Inicial], $C26, tblRed[Nodo Final], AD$3, tblRed[Activo], 1), 0)</f>
        <v>3.9130434782608687</v>
      </c>
      <c r="AE26" s="77">
        <f>IF(MatrizDeAdyacencia!AE26=1, SUMIFS(tblRed[COSTE], tblRed[Nodo Inicial], $C26, tblRed[Nodo Final], AE$3, tblRed[Activo], 1), 0)</f>
        <v>0</v>
      </c>
      <c r="AF26" s="77">
        <f>IF(MatrizDeAdyacencia!AF26=1, SUMIFS(tblRed[COSTE], tblRed[Nodo Inicial], $C26, tblRed[Nodo Final], AF$3, tblRed[Activo], 1), 0)</f>
        <v>0</v>
      </c>
      <c r="AG26" s="77">
        <f>IF(MatrizDeAdyacencia!AG26=1, SUMIFS(tblRed[COSTE], tblRed[Nodo Inicial], $C26, tblRed[Nodo Final], AG$3, tblRed[Activo], 1), 0)</f>
        <v>3</v>
      </c>
      <c r="AH26" s="77">
        <f>IF(MatrizDeAdyacencia!AH26=1, SUMIFS(tblRed[COSTE], tblRed[Nodo Inicial], $C26, tblRed[Nodo Final], AH$3, tblRed[Activo], 1), 0)</f>
        <v>0</v>
      </c>
    </row>
    <row r="27" spans="2:34" ht="14.25" customHeight="1" x14ac:dyDescent="0.25">
      <c r="B27" s="48" t="str">
        <f>VLOOKUP(tblMatrizPonderadaCostes[[#This Row],[Nodo Orig.\Dest.]],tblNodos[],2,FALSE)</f>
        <v>Intermediarios financeros especializados</v>
      </c>
      <c r="C27" s="49" t="s">
        <v>71</v>
      </c>
      <c r="D27" s="77">
        <f>IF(MatrizDeAdyacencia!D27=1, SUMIFS(tblRed[COSTE], tblRed[Nodo Inicial], $C27, tblRed[Nodo Final], D$3, tblRed[Activo], 1), 0)</f>
        <v>0</v>
      </c>
      <c r="E27" s="77">
        <f>IF(MatrizDeAdyacencia!E27=1, SUMIFS(tblRed[COSTE], tblRed[Nodo Inicial], $C27, tblRed[Nodo Final], E$3, tblRed[Activo], 1), 0)</f>
        <v>0</v>
      </c>
      <c r="F27" s="77">
        <f>IF(MatrizDeAdyacencia!F27=1, SUMIFS(tblRed[COSTE], tblRed[Nodo Inicial], $C27, tblRed[Nodo Final], F$3, tblRed[Activo], 1), 0)</f>
        <v>0</v>
      </c>
      <c r="G27" s="77">
        <f>IF(MatrizDeAdyacencia!G27=1, SUMIFS(tblRed[COSTE], tblRed[Nodo Inicial], $C27, tblRed[Nodo Final], G$3, tblRed[Activo], 1), 0)</f>
        <v>0</v>
      </c>
      <c r="H27" s="77">
        <f>IF(MatrizDeAdyacencia!H27=1, SUMIFS(tblRed[COSTE], tblRed[Nodo Inicial], $C27, tblRed[Nodo Final], H$3, tblRed[Activo], 1), 0)</f>
        <v>0</v>
      </c>
      <c r="I27" s="77">
        <f>IF(MatrizDeAdyacencia!I27=1, SUMIFS(tblRed[COSTE], tblRed[Nodo Inicial], $C27, tblRed[Nodo Final], I$3, tblRed[Activo], 1), 0)</f>
        <v>0</v>
      </c>
      <c r="J27" s="77">
        <f>IF(MatrizDeAdyacencia!J27=1, SUMIFS(tblRed[COSTE], tblRed[Nodo Inicial], $C27, tblRed[Nodo Final], J$3, tblRed[Activo], 1), 0)</f>
        <v>0</v>
      </c>
      <c r="K27" s="77">
        <f>IF(MatrizDeAdyacencia!K27=1, SUMIFS(tblRed[COSTE], tblRed[Nodo Inicial], $C27, tblRed[Nodo Final], K$3, tblRed[Activo], 1), 0)</f>
        <v>0</v>
      </c>
      <c r="L27" s="77">
        <f>IF(MatrizDeAdyacencia!L27=1, SUMIFS(tblRed[COSTE], tblRed[Nodo Inicial], $C27, tblRed[Nodo Final], L$3, tblRed[Activo], 1), 0)</f>
        <v>0</v>
      </c>
      <c r="M27" s="77">
        <f>IF(MatrizDeAdyacencia!M27=1, SUMIFS(tblRed[COSTE], tblRed[Nodo Inicial], $C27, tblRed[Nodo Final], M$3, tblRed[Activo], 1), 0)</f>
        <v>0</v>
      </c>
      <c r="N27" s="77">
        <f>IF(MatrizDeAdyacencia!N27=1, SUMIFS(tblRed[COSTE], tblRed[Nodo Inicial], $C27, tblRed[Nodo Final], N$3, tblRed[Activo], 1), 0)</f>
        <v>0</v>
      </c>
      <c r="O27" s="77">
        <f>IF(MatrizDeAdyacencia!O27=1, SUMIFS(tblRed[COSTE], tblRed[Nodo Inicial], $C27, tblRed[Nodo Final], O$3, tblRed[Activo], 1), 0)</f>
        <v>0</v>
      </c>
      <c r="P27" s="77">
        <f>IF(MatrizDeAdyacencia!P27=1, SUMIFS(tblRed[COSTE], tblRed[Nodo Inicial], $C27, tblRed[Nodo Final], P$3, tblRed[Activo], 1), 0)</f>
        <v>0</v>
      </c>
      <c r="Q27" s="77">
        <f>IF(MatrizDeAdyacencia!Q27=1, SUMIFS(tblRed[COSTE], tblRed[Nodo Inicial], $C27, tblRed[Nodo Final], Q$3, tblRed[Activo], 1), 0)</f>
        <v>0</v>
      </c>
      <c r="R27" s="77">
        <f>IF(MatrizDeAdyacencia!R27=1, SUMIFS(tblRed[COSTE], tblRed[Nodo Inicial], $C27, tblRed[Nodo Final], R$3, tblRed[Activo], 1), 0)</f>
        <v>0</v>
      </c>
      <c r="S27" s="77">
        <f>IF(MatrizDeAdyacencia!S27=1, SUMIFS(tblRed[COSTE], tblRed[Nodo Inicial], $C27, tblRed[Nodo Final], S$3, tblRed[Activo], 1), 0)</f>
        <v>0</v>
      </c>
      <c r="T27" s="77">
        <f>IF(MatrizDeAdyacencia!T27=1, SUMIFS(tblRed[COSTE], tblRed[Nodo Inicial], $C27, tblRed[Nodo Final], T$3, tblRed[Activo], 1), 0)</f>
        <v>0</v>
      </c>
      <c r="U27" s="77">
        <f>IF(MatrizDeAdyacencia!U27=1, SUMIFS(tblRed[COSTE], tblRed[Nodo Inicial], $C27, tblRed[Nodo Final], U$3, tblRed[Activo], 1), 0)</f>
        <v>0</v>
      </c>
      <c r="V27" s="79">
        <f>IF(MatrizDeAdyacencia!V27=1, SUMIFS(tblRed[COSTE], tblRed[Nodo Inicial], $C27, tblRed[Nodo Final], V$3, tblRed[Activo], 1), 0)</f>
        <v>0</v>
      </c>
      <c r="W27" s="77">
        <f>IF(MatrizDeAdyacencia!W27=1, SUMIFS(tblRed[COSTE], tblRed[Nodo Inicial], $C27, tblRed[Nodo Final], W$3, tblRed[Activo], 1), 0)</f>
        <v>0</v>
      </c>
      <c r="X27" s="77">
        <f>IF(MatrizDeAdyacencia!X27=1, SUMIFS(tblRed[COSTE], tblRed[Nodo Inicial], $C27, tblRed[Nodo Final], X$3, tblRed[Activo], 1), 0)</f>
        <v>0</v>
      </c>
      <c r="Y27" s="77">
        <f>IF(MatrizDeAdyacencia!Y27=1, SUMIFS(tblRed[COSTE], tblRed[Nodo Inicial], $C27, tblRed[Nodo Final], Y$3, tblRed[Activo], 1), 0)</f>
        <v>0</v>
      </c>
      <c r="Z27" s="77">
        <f>IF(MatrizDeAdyacencia!Z27=1, SUMIFS(tblRed[COSTE], tblRed[Nodo Inicial], $C27, tblRed[Nodo Final], Z$3, tblRed[Activo], 1), 0)</f>
        <v>0</v>
      </c>
      <c r="AA27" s="82">
        <f>IF(MatrizDeAdyacencia!AA27=1, SUMIFS(tblRed[COSTE], tblRed[Nodo Inicial], $C27, tblRed[Nodo Final], AA$3, tblRed[Activo], 1), 0)</f>
        <v>0</v>
      </c>
      <c r="AB27" s="77">
        <f>IF(MatrizDeAdyacencia!AB27=1, SUMIFS(tblRed[COSTE], tblRed[Nodo Inicial], $C27, tblRed[Nodo Final], AB$3, tblRed[Activo], 1), 0)</f>
        <v>0</v>
      </c>
      <c r="AC27" s="77">
        <f>IF(MatrizDeAdyacencia!AC27=1, SUMIFS(tblRed[COSTE], tblRed[Nodo Inicial], $C27, tblRed[Nodo Final], AC$3, tblRed[Activo], 1), 0)</f>
        <v>0</v>
      </c>
      <c r="AD27" s="77">
        <f>IF(MatrizDeAdyacencia!AD27=1, SUMIFS(tblRed[COSTE], tblRed[Nodo Inicial], $C27, tblRed[Nodo Final], AD$3, tblRed[Activo], 1), 0)</f>
        <v>3</v>
      </c>
      <c r="AE27" s="77">
        <f>IF(MatrizDeAdyacencia!AE27=1, SUMIFS(tblRed[COSTE], tblRed[Nodo Inicial], $C27, tblRed[Nodo Final], AE$3, tblRed[Activo], 1), 0)</f>
        <v>2</v>
      </c>
      <c r="AF27" s="77">
        <f>IF(MatrizDeAdyacencia!AF27=1, SUMIFS(tblRed[COSTE], tblRed[Nodo Inicial], $C27, tblRed[Nodo Final], AF$3, tblRed[Activo], 1), 0)</f>
        <v>0</v>
      </c>
      <c r="AG27" s="77">
        <f>IF(MatrizDeAdyacencia!AG27=1, SUMIFS(tblRed[COSTE], tblRed[Nodo Inicial], $C27, tblRed[Nodo Final], AG$3, tblRed[Activo], 1), 0)</f>
        <v>0</v>
      </c>
      <c r="AH27" s="77">
        <f>IF(MatrizDeAdyacencia!AH27=1, SUMIFS(tblRed[COSTE], tblRed[Nodo Inicial], $C27, tblRed[Nodo Final], AH$3, tblRed[Activo], 1), 0)</f>
        <v>0</v>
      </c>
    </row>
    <row r="28" spans="2:34" ht="14.25" customHeight="1" x14ac:dyDescent="0.25">
      <c r="B28" s="48" t="str">
        <f>VLOOKUP(tblMatrizPonderadaCostes[[#This Row],[Nodo Orig.\Dest.]],tblNodos[],2,FALSE)</f>
        <v>Intermediarios operativos y de cobertura</v>
      </c>
      <c r="C28" s="49" t="s">
        <v>73</v>
      </c>
      <c r="D28" s="77">
        <f>IF(MatrizDeAdyacencia!D28=1, SUMIFS(tblRed[COSTE], tblRed[Nodo Inicial], $C28, tblRed[Nodo Final], D$3, tblRed[Activo], 1), 0)</f>
        <v>0</v>
      </c>
      <c r="E28" s="77">
        <f>IF(MatrizDeAdyacencia!E28=1, SUMIFS(tblRed[COSTE], tblRed[Nodo Inicial], $C28, tblRed[Nodo Final], E$3, tblRed[Activo], 1), 0)</f>
        <v>0</v>
      </c>
      <c r="F28" s="77">
        <f>IF(MatrizDeAdyacencia!F28=1, SUMIFS(tblRed[COSTE], tblRed[Nodo Inicial], $C28, tblRed[Nodo Final], F$3, tblRed[Activo], 1), 0)</f>
        <v>0</v>
      </c>
      <c r="G28" s="77">
        <f>IF(MatrizDeAdyacencia!G28=1, SUMIFS(tblRed[COSTE], tblRed[Nodo Inicial], $C28, tblRed[Nodo Final], G$3, tblRed[Activo], 1), 0)</f>
        <v>0</v>
      </c>
      <c r="H28" s="77">
        <f>IF(MatrizDeAdyacencia!H28=1, SUMIFS(tblRed[COSTE], tblRed[Nodo Inicial], $C28, tblRed[Nodo Final], H$3, tblRed[Activo], 1), 0)</f>
        <v>0</v>
      </c>
      <c r="I28" s="77">
        <f>IF(MatrizDeAdyacencia!I28=1, SUMIFS(tblRed[COSTE], tblRed[Nodo Inicial], $C28, tblRed[Nodo Final], I$3, tblRed[Activo], 1), 0)</f>
        <v>0</v>
      </c>
      <c r="J28" s="77">
        <f>IF(MatrizDeAdyacencia!J28=1, SUMIFS(tblRed[COSTE], tblRed[Nodo Inicial], $C28, tblRed[Nodo Final], J$3, tblRed[Activo], 1), 0)</f>
        <v>0</v>
      </c>
      <c r="K28" s="77">
        <f>IF(MatrizDeAdyacencia!K28=1, SUMIFS(tblRed[COSTE], tblRed[Nodo Inicial], $C28, tblRed[Nodo Final], K$3, tblRed[Activo], 1), 0)</f>
        <v>0</v>
      </c>
      <c r="L28" s="77">
        <f>IF(MatrizDeAdyacencia!L28=1, SUMIFS(tblRed[COSTE], tblRed[Nodo Inicial], $C28, tblRed[Nodo Final], L$3, tblRed[Activo], 1), 0)</f>
        <v>0</v>
      </c>
      <c r="M28" s="77">
        <f>IF(MatrizDeAdyacencia!M28=1, SUMIFS(tblRed[COSTE], tblRed[Nodo Inicial], $C28, tblRed[Nodo Final], M$3, tblRed[Activo], 1), 0)</f>
        <v>0</v>
      </c>
      <c r="N28" s="77">
        <f>IF(MatrizDeAdyacencia!N28=1, SUMIFS(tblRed[COSTE], tblRed[Nodo Inicial], $C28, tblRed[Nodo Final], N$3, tblRed[Activo], 1), 0)</f>
        <v>0</v>
      </c>
      <c r="O28" s="77">
        <f>IF(MatrizDeAdyacencia!O28=1, SUMIFS(tblRed[COSTE], tblRed[Nodo Inicial], $C28, tblRed[Nodo Final], O$3, tblRed[Activo], 1), 0)</f>
        <v>0</v>
      </c>
      <c r="P28" s="77">
        <f>IF(MatrizDeAdyacencia!P28=1, SUMIFS(tblRed[COSTE], tblRed[Nodo Inicial], $C28, tblRed[Nodo Final], P$3, tblRed[Activo], 1), 0)</f>
        <v>0</v>
      </c>
      <c r="Q28" s="77">
        <f>IF(MatrizDeAdyacencia!Q28=1, SUMIFS(tblRed[COSTE], tblRed[Nodo Inicial], $C28, tblRed[Nodo Final], Q$3, tblRed[Activo], 1), 0)</f>
        <v>0</v>
      </c>
      <c r="R28" s="77">
        <f>IF(MatrizDeAdyacencia!R28=1, SUMIFS(tblRed[COSTE], tblRed[Nodo Inicial], $C28, tblRed[Nodo Final], R$3, tblRed[Activo], 1), 0)</f>
        <v>0</v>
      </c>
      <c r="S28" s="77">
        <f>IF(MatrizDeAdyacencia!S28=1, SUMIFS(tblRed[COSTE], tblRed[Nodo Inicial], $C28, tblRed[Nodo Final], S$3, tblRed[Activo], 1), 0)</f>
        <v>0</v>
      </c>
      <c r="T28" s="77">
        <f>IF(MatrizDeAdyacencia!T28=1, SUMIFS(tblRed[COSTE], tblRed[Nodo Inicial], $C28, tblRed[Nodo Final], T$3, tblRed[Activo], 1), 0)</f>
        <v>0</v>
      </c>
      <c r="U28" s="77">
        <f>IF(MatrizDeAdyacencia!U28=1, SUMIFS(tblRed[COSTE], tblRed[Nodo Inicial], $C28, tblRed[Nodo Final], U$3, tblRed[Activo], 1), 0)</f>
        <v>0</v>
      </c>
      <c r="V28" s="79">
        <f>IF(MatrizDeAdyacencia!V28=1, SUMIFS(tblRed[COSTE], tblRed[Nodo Inicial], $C28, tblRed[Nodo Final], V$3, tblRed[Activo], 1), 0)</f>
        <v>0</v>
      </c>
      <c r="W28" s="77">
        <f>IF(MatrizDeAdyacencia!W28=1, SUMIFS(tblRed[COSTE], tblRed[Nodo Inicial], $C28, tblRed[Nodo Final], W$3, tblRed[Activo], 1), 0)</f>
        <v>0</v>
      </c>
      <c r="X28" s="77">
        <f>IF(MatrizDeAdyacencia!X28=1, SUMIFS(tblRed[COSTE], tblRed[Nodo Inicial], $C28, tblRed[Nodo Final], X$3, tblRed[Activo], 1), 0)</f>
        <v>0</v>
      </c>
      <c r="Y28" s="77">
        <f>IF(MatrizDeAdyacencia!Y28=1, SUMIFS(tblRed[COSTE], tblRed[Nodo Inicial], $C28, tblRed[Nodo Final], Y$3, tblRed[Activo], 1), 0)</f>
        <v>0</v>
      </c>
      <c r="Z28" s="77">
        <f>IF(MatrizDeAdyacencia!Z28=1, SUMIFS(tblRed[COSTE], tblRed[Nodo Inicial], $C28, tblRed[Nodo Final], Z$3, tblRed[Activo], 1), 0)</f>
        <v>0</v>
      </c>
      <c r="AA28" s="77">
        <f>IF(MatrizDeAdyacencia!AA28=1, SUMIFS(tblRed[COSTE], tblRed[Nodo Inicial], $C28, tblRed[Nodo Final], AA$3, tblRed[Activo], 1), 0)</f>
        <v>0</v>
      </c>
      <c r="AB28" s="82">
        <f>IF(MatrizDeAdyacencia!AB28=1, SUMIFS(tblRed[COSTE], tblRed[Nodo Inicial], $C28, tblRed[Nodo Final], AB$3, tblRed[Activo], 1), 0)</f>
        <v>0</v>
      </c>
      <c r="AC28" s="77">
        <f>IF(MatrizDeAdyacencia!AC28=1, SUMIFS(tblRed[COSTE], tblRed[Nodo Inicial], $C28, tblRed[Nodo Final], AC$3, tblRed[Activo], 1), 0)</f>
        <v>0</v>
      </c>
      <c r="AD28" s="77">
        <f>IF(MatrizDeAdyacencia!AD28=1, SUMIFS(tblRed[COSTE], tblRed[Nodo Inicial], $C28, tblRed[Nodo Final], AD$3, tblRed[Activo], 1), 0)</f>
        <v>4</v>
      </c>
      <c r="AE28" s="77">
        <f>IF(MatrizDeAdyacencia!AE28=1, SUMIFS(tblRed[COSTE], tblRed[Nodo Inicial], $C28, tblRed[Nodo Final], AE$3, tblRed[Activo], 1), 0)</f>
        <v>0</v>
      </c>
      <c r="AF28" s="77">
        <f>IF(MatrizDeAdyacencia!AF28=1, SUMIFS(tblRed[COSTE], tblRed[Nodo Inicial], $C28, tblRed[Nodo Final], AF$3, tblRed[Activo], 1), 0)</f>
        <v>0</v>
      </c>
      <c r="AG28" s="77">
        <f>IF(MatrizDeAdyacencia!AG28=1, SUMIFS(tblRed[COSTE], tblRed[Nodo Inicial], $C28, tblRed[Nodo Final], AG$3, tblRed[Activo], 1), 0)</f>
        <v>0</v>
      </c>
      <c r="AH28" s="77">
        <f>IF(MatrizDeAdyacencia!AH28=1, SUMIFS(tblRed[COSTE], tblRed[Nodo Inicial], $C28, tblRed[Nodo Final], AH$3, tblRed[Activo], 1), 0)</f>
        <v>0</v>
      </c>
    </row>
    <row r="29" spans="2:34" ht="14.25" customHeight="1" x14ac:dyDescent="0.25">
      <c r="B29" s="48" t="str">
        <f>VLOOKUP(tblMatrizPonderadaCostes[[#This Row],[Nodo Orig.\Dest.]],tblNodos[],2,FALSE)</f>
        <v>Intermediarios de negociación y rescate</v>
      </c>
      <c r="C29" s="49" t="s">
        <v>75</v>
      </c>
      <c r="D29" s="77">
        <f>IF(MatrizDeAdyacencia!D29=1, SUMIFS(tblRed[COSTE], tblRed[Nodo Inicial], $C29, tblRed[Nodo Final], D$3, tblRed[Activo], 1), 0)</f>
        <v>0</v>
      </c>
      <c r="E29" s="77">
        <f>IF(MatrizDeAdyacencia!E29=1, SUMIFS(tblRed[COSTE], tblRed[Nodo Inicial], $C29, tblRed[Nodo Final], E$3, tblRed[Activo], 1), 0)</f>
        <v>0</v>
      </c>
      <c r="F29" s="77">
        <f>IF(MatrizDeAdyacencia!F29=1, SUMIFS(tblRed[COSTE], tblRed[Nodo Inicial], $C29, tblRed[Nodo Final], F$3, tblRed[Activo], 1), 0)</f>
        <v>0</v>
      </c>
      <c r="G29" s="77">
        <f>IF(MatrizDeAdyacencia!G29=1, SUMIFS(tblRed[COSTE], tblRed[Nodo Inicial], $C29, tblRed[Nodo Final], G$3, tblRed[Activo], 1), 0)</f>
        <v>0</v>
      </c>
      <c r="H29" s="77">
        <f>IF(MatrizDeAdyacencia!H29=1, SUMIFS(tblRed[COSTE], tblRed[Nodo Inicial], $C29, tblRed[Nodo Final], H$3, tblRed[Activo], 1), 0)</f>
        <v>0</v>
      </c>
      <c r="I29" s="77">
        <f>IF(MatrizDeAdyacencia!I29=1, SUMIFS(tblRed[COSTE], tblRed[Nodo Inicial], $C29, tblRed[Nodo Final], I$3, tblRed[Activo], 1), 0)</f>
        <v>0</v>
      </c>
      <c r="J29" s="77">
        <f>IF(MatrizDeAdyacencia!J29=1, SUMIFS(tblRed[COSTE], tblRed[Nodo Inicial], $C29, tblRed[Nodo Final], J$3, tblRed[Activo], 1), 0)</f>
        <v>0</v>
      </c>
      <c r="K29" s="77">
        <f>IF(MatrizDeAdyacencia!K29=1, SUMIFS(tblRed[COSTE], tblRed[Nodo Inicial], $C29, tblRed[Nodo Final], K$3, tblRed[Activo], 1), 0)</f>
        <v>0</v>
      </c>
      <c r="L29" s="77">
        <f>IF(MatrizDeAdyacencia!L29=1, SUMIFS(tblRed[COSTE], tblRed[Nodo Inicial], $C29, tblRed[Nodo Final], L$3, tblRed[Activo], 1), 0)</f>
        <v>0</v>
      </c>
      <c r="M29" s="77">
        <f>IF(MatrizDeAdyacencia!M29=1, SUMIFS(tblRed[COSTE], tblRed[Nodo Inicial], $C29, tblRed[Nodo Final], M$3, tblRed[Activo], 1), 0)</f>
        <v>0</v>
      </c>
      <c r="N29" s="77">
        <f>IF(MatrizDeAdyacencia!N29=1, SUMIFS(tblRed[COSTE], tblRed[Nodo Inicial], $C29, tblRed[Nodo Final], N$3, tblRed[Activo], 1), 0)</f>
        <v>0</v>
      </c>
      <c r="O29" s="77">
        <f>IF(MatrizDeAdyacencia!O29=1, SUMIFS(tblRed[COSTE], tblRed[Nodo Inicial], $C29, tblRed[Nodo Final], O$3, tblRed[Activo], 1), 0)</f>
        <v>0</v>
      </c>
      <c r="P29" s="77">
        <f>IF(MatrizDeAdyacencia!P29=1, SUMIFS(tblRed[COSTE], tblRed[Nodo Inicial], $C29, tblRed[Nodo Final], P$3, tblRed[Activo], 1), 0)</f>
        <v>0</v>
      </c>
      <c r="Q29" s="77">
        <f>IF(MatrizDeAdyacencia!Q29=1, SUMIFS(tblRed[COSTE], tblRed[Nodo Inicial], $C29, tblRed[Nodo Final], Q$3, tblRed[Activo], 1), 0)</f>
        <v>0</v>
      </c>
      <c r="R29" s="77">
        <f>IF(MatrizDeAdyacencia!R29=1, SUMIFS(tblRed[COSTE], tblRed[Nodo Inicial], $C29, tblRed[Nodo Final], R$3, tblRed[Activo], 1), 0)</f>
        <v>0</v>
      </c>
      <c r="S29" s="77">
        <f>IF(MatrizDeAdyacencia!S29=1, SUMIFS(tblRed[COSTE], tblRed[Nodo Inicial], $C29, tblRed[Nodo Final], S$3, tblRed[Activo], 1), 0)</f>
        <v>0</v>
      </c>
      <c r="T29" s="77">
        <f>IF(MatrizDeAdyacencia!T29=1, SUMIFS(tblRed[COSTE], tblRed[Nodo Inicial], $C29, tblRed[Nodo Final], T$3, tblRed[Activo], 1), 0)</f>
        <v>0</v>
      </c>
      <c r="U29" s="77">
        <f>IF(MatrizDeAdyacencia!U29=1, SUMIFS(tblRed[COSTE], tblRed[Nodo Inicial], $C29, tblRed[Nodo Final], U$3, tblRed[Activo], 1), 0)</f>
        <v>0</v>
      </c>
      <c r="V29" s="79">
        <f>IF(MatrizDeAdyacencia!V29=1, SUMIFS(tblRed[COSTE], tblRed[Nodo Inicial], $C29, tblRed[Nodo Final], V$3, tblRed[Activo], 1), 0)</f>
        <v>0</v>
      </c>
      <c r="W29" s="77">
        <f>IF(MatrizDeAdyacencia!W29=1, SUMIFS(tblRed[COSTE], tblRed[Nodo Inicial], $C29, tblRed[Nodo Final], W$3, tblRed[Activo], 1), 0)</f>
        <v>0</v>
      </c>
      <c r="X29" s="77">
        <f>IF(MatrizDeAdyacencia!X29=1, SUMIFS(tblRed[COSTE], tblRed[Nodo Inicial], $C29, tblRed[Nodo Final], X$3, tblRed[Activo], 1), 0)</f>
        <v>0</v>
      </c>
      <c r="Y29" s="77">
        <f>IF(MatrizDeAdyacencia!Y29=1, SUMIFS(tblRed[COSTE], tblRed[Nodo Inicial], $C29, tblRed[Nodo Final], Y$3, tblRed[Activo], 1), 0)</f>
        <v>0</v>
      </c>
      <c r="Z29" s="77">
        <f>IF(MatrizDeAdyacencia!Z29=1, SUMIFS(tblRed[COSTE], tblRed[Nodo Inicial], $C29, tblRed[Nodo Final], Z$3, tblRed[Activo], 1), 0)</f>
        <v>0</v>
      </c>
      <c r="AA29" s="77">
        <f>IF(MatrizDeAdyacencia!AA29=1, SUMIFS(tblRed[COSTE], tblRed[Nodo Inicial], $C29, tblRed[Nodo Final], AA$3, tblRed[Activo], 1), 0)</f>
        <v>0</v>
      </c>
      <c r="AB29" s="77">
        <f>IF(MatrizDeAdyacencia!AB29=1, SUMIFS(tblRed[COSTE], tblRed[Nodo Inicial], $C29, tblRed[Nodo Final], AB$3, tblRed[Activo], 1), 0)</f>
        <v>0</v>
      </c>
      <c r="AC29" s="82">
        <f>IF(MatrizDeAdyacencia!AC29=1, SUMIFS(tblRed[COSTE], tblRed[Nodo Inicial], $C29, tblRed[Nodo Final], AC$3, tblRed[Activo], 1), 0)</f>
        <v>0</v>
      </c>
      <c r="AD29" s="77">
        <f>IF(MatrizDeAdyacencia!AD29=1, SUMIFS(tblRed[COSTE], tblRed[Nodo Inicial], $C29, tblRed[Nodo Final], AD$3, tblRed[Activo], 1), 0)</f>
        <v>0</v>
      </c>
      <c r="AE29" s="77">
        <f>IF(MatrizDeAdyacencia!AE29=1, SUMIFS(tblRed[COSTE], tblRed[Nodo Inicial], $C29, tblRed[Nodo Final], AE$3, tblRed[Activo], 1), 0)</f>
        <v>0</v>
      </c>
      <c r="AF29" s="77">
        <f>IF(MatrizDeAdyacencia!AF29=1, SUMIFS(tblRed[COSTE], tblRed[Nodo Inicial], $C29, tblRed[Nodo Final], AF$3, tblRed[Activo], 1), 0)</f>
        <v>0</v>
      </c>
      <c r="AG29" s="77">
        <f>IF(MatrizDeAdyacencia!AG29=1, SUMIFS(tblRed[COSTE], tblRed[Nodo Inicial], $C29, tblRed[Nodo Final], AG$3, tblRed[Activo], 1), 0)</f>
        <v>2</v>
      </c>
      <c r="AH29" s="77">
        <f>IF(MatrizDeAdyacencia!AH29=1, SUMIFS(tblRed[COSTE], tblRed[Nodo Inicial], $C29, tblRed[Nodo Final], AH$3, tblRed[Activo], 1), 0)</f>
        <v>0</v>
      </c>
    </row>
    <row r="30" spans="2:34" ht="14.25" customHeight="1" x14ac:dyDescent="0.25">
      <c r="B30" s="48" t="str">
        <f>VLOOKUP(tblMatrizPonderadaCostes[[#This Row],[Nodo Orig.\Dest.]],tblNodos[],2,FALSE)</f>
        <v>Dirección financiera</v>
      </c>
      <c r="C30" s="49" t="s">
        <v>77</v>
      </c>
      <c r="D30" s="77">
        <f>IF(MatrizDeAdyacencia!D30=1, SUMIFS(tblRed[COSTE], tblRed[Nodo Inicial], $C30, tblRed[Nodo Final], D$3, tblRed[Activo], 1), 0)</f>
        <v>0</v>
      </c>
      <c r="E30" s="77">
        <f>IF(MatrizDeAdyacencia!E30=1, SUMIFS(tblRed[COSTE], tblRed[Nodo Inicial], $C30, tblRed[Nodo Final], E$3, tblRed[Activo], 1), 0)</f>
        <v>0</v>
      </c>
      <c r="F30" s="77">
        <f>IF(MatrizDeAdyacencia!F30=1, SUMIFS(tblRed[COSTE], tblRed[Nodo Inicial], $C30, tblRed[Nodo Final], F$3, tblRed[Activo], 1), 0)</f>
        <v>0</v>
      </c>
      <c r="G30" s="77">
        <f>IF(MatrizDeAdyacencia!G30=1, SUMIFS(tblRed[COSTE], tblRed[Nodo Inicial], $C30, tblRed[Nodo Final], G$3, tblRed[Activo], 1), 0)</f>
        <v>0</v>
      </c>
      <c r="H30" s="77">
        <f>IF(MatrizDeAdyacencia!H30=1, SUMIFS(tblRed[COSTE], tblRed[Nodo Inicial], $C30, tblRed[Nodo Final], H$3, tblRed[Activo], 1), 0)</f>
        <v>0</v>
      </c>
      <c r="I30" s="77">
        <f>IF(MatrizDeAdyacencia!I30=1, SUMIFS(tblRed[COSTE], tblRed[Nodo Inicial], $C30, tblRed[Nodo Final], I$3, tblRed[Activo], 1), 0)</f>
        <v>0</v>
      </c>
      <c r="J30" s="77">
        <f>IF(MatrizDeAdyacencia!J30=1, SUMIFS(tblRed[COSTE], tblRed[Nodo Inicial], $C30, tblRed[Nodo Final], J$3, tblRed[Activo], 1), 0)</f>
        <v>0</v>
      </c>
      <c r="K30" s="77">
        <f>IF(MatrizDeAdyacencia!K30=1, SUMIFS(tblRed[COSTE], tblRed[Nodo Inicial], $C30, tblRed[Nodo Final], K$3, tblRed[Activo], 1), 0)</f>
        <v>0</v>
      </c>
      <c r="L30" s="77">
        <f>IF(MatrizDeAdyacencia!L30=1, SUMIFS(tblRed[COSTE], tblRed[Nodo Inicial], $C30, tblRed[Nodo Final], L$3, tblRed[Activo], 1), 0)</f>
        <v>0</v>
      </c>
      <c r="M30" s="77">
        <f>IF(MatrizDeAdyacencia!M30=1, SUMIFS(tblRed[COSTE], tblRed[Nodo Inicial], $C30, tblRed[Nodo Final], M$3, tblRed[Activo], 1), 0)</f>
        <v>0</v>
      </c>
      <c r="N30" s="77">
        <f>IF(MatrizDeAdyacencia!N30=1, SUMIFS(tblRed[COSTE], tblRed[Nodo Inicial], $C30, tblRed[Nodo Final], N$3, tblRed[Activo], 1), 0)</f>
        <v>0</v>
      </c>
      <c r="O30" s="77">
        <f>IF(MatrizDeAdyacencia!O30=1, SUMIFS(tblRed[COSTE], tblRed[Nodo Inicial], $C30, tblRed[Nodo Final], O$3, tblRed[Activo], 1), 0)</f>
        <v>0</v>
      </c>
      <c r="P30" s="77">
        <f>IF(MatrizDeAdyacencia!P30=1, SUMIFS(tblRed[COSTE], tblRed[Nodo Inicial], $C30, tblRed[Nodo Final], P$3, tblRed[Activo], 1), 0)</f>
        <v>0</v>
      </c>
      <c r="Q30" s="77">
        <f>IF(MatrizDeAdyacencia!Q30=1, SUMIFS(tblRed[COSTE], tblRed[Nodo Inicial], $C30, tblRed[Nodo Final], Q$3, tblRed[Activo], 1), 0)</f>
        <v>0</v>
      </c>
      <c r="R30" s="77">
        <f>IF(MatrizDeAdyacencia!R30=1, SUMIFS(tblRed[COSTE], tblRed[Nodo Inicial], $C30, tblRed[Nodo Final], R$3, tblRed[Activo], 1), 0)</f>
        <v>0</v>
      </c>
      <c r="S30" s="77">
        <f>IF(MatrizDeAdyacencia!S30=1, SUMIFS(tblRed[COSTE], tblRed[Nodo Inicial], $C30, tblRed[Nodo Final], S$3, tblRed[Activo], 1), 0)</f>
        <v>0</v>
      </c>
      <c r="T30" s="77">
        <f>IF(MatrizDeAdyacencia!T30=1, SUMIFS(tblRed[COSTE], tblRed[Nodo Inicial], $C30, tblRed[Nodo Final], T$3, tblRed[Activo], 1), 0)</f>
        <v>0</v>
      </c>
      <c r="U30" s="77">
        <f>IF(MatrizDeAdyacencia!U30=1, SUMIFS(tblRed[COSTE], tblRed[Nodo Inicial], $C30, tblRed[Nodo Final], U$3, tblRed[Activo], 1), 0)</f>
        <v>0</v>
      </c>
      <c r="V30" s="79">
        <f>IF(MatrizDeAdyacencia!V30=1, SUMIFS(tblRed[COSTE], tblRed[Nodo Inicial], $C30, tblRed[Nodo Final], V$3, tblRed[Activo], 1), 0)</f>
        <v>0</v>
      </c>
      <c r="W30" s="77">
        <f>IF(MatrizDeAdyacencia!W30=1, SUMIFS(tblRed[COSTE], tblRed[Nodo Inicial], $C30, tblRed[Nodo Final], W$3, tblRed[Activo], 1), 0)</f>
        <v>0</v>
      </c>
      <c r="X30" s="77">
        <f>IF(MatrizDeAdyacencia!X30=1, SUMIFS(tblRed[COSTE], tblRed[Nodo Inicial], $C30, tblRed[Nodo Final], X$3, tblRed[Activo], 1), 0)</f>
        <v>0</v>
      </c>
      <c r="Y30" s="77">
        <f>IF(MatrizDeAdyacencia!Y30=1, SUMIFS(tblRed[COSTE], tblRed[Nodo Inicial], $C30, tblRed[Nodo Final], Y$3, tblRed[Activo], 1), 0)</f>
        <v>0</v>
      </c>
      <c r="Z30" s="77">
        <f>IF(MatrizDeAdyacencia!Z30=1, SUMIFS(tblRed[COSTE], tblRed[Nodo Inicial], $C30, tblRed[Nodo Final], Z$3, tblRed[Activo], 1), 0)</f>
        <v>0</v>
      </c>
      <c r="AA30" s="77">
        <f>IF(MatrizDeAdyacencia!AA30=1, SUMIFS(tblRed[COSTE], tblRed[Nodo Inicial], $C30, tblRed[Nodo Final], AA$3, tblRed[Activo], 1), 0)</f>
        <v>0</v>
      </c>
      <c r="AB30" s="77">
        <f>IF(MatrizDeAdyacencia!AB30=1, SUMIFS(tblRed[COSTE], tblRed[Nodo Inicial], $C30, tblRed[Nodo Final], AB$3, tblRed[Activo], 1), 0)</f>
        <v>0</v>
      </c>
      <c r="AC30" s="77">
        <f>IF(MatrizDeAdyacencia!AC30=1, SUMIFS(tblRed[COSTE], tblRed[Nodo Inicial], $C30, tblRed[Nodo Final], AC$3, tblRed[Activo], 1), 0)</f>
        <v>0</v>
      </c>
      <c r="AD30" s="82">
        <f>IF(MatrizDeAdyacencia!AD30=1, SUMIFS(tblRed[COSTE], tblRed[Nodo Inicial], $C30, tblRed[Nodo Final], AD$3, tblRed[Activo], 1), 0)</f>
        <v>0</v>
      </c>
      <c r="AE30" s="77">
        <f>IF(MatrizDeAdyacencia!AE30=1, SUMIFS(tblRed[COSTE], tblRed[Nodo Inicial], $C30, tblRed[Nodo Final], AE$3, tblRed[Activo], 1), 0)</f>
        <v>0</v>
      </c>
      <c r="AF30" s="77">
        <f>IF(MatrizDeAdyacencia!AF30=1, SUMIFS(tblRed[COSTE], tblRed[Nodo Inicial], $C30, tblRed[Nodo Final], AF$3, tblRed[Activo], 1), 0)</f>
        <v>0</v>
      </c>
      <c r="AG30" s="77">
        <f>IF(MatrizDeAdyacencia!AG30=1, SUMIFS(tblRed[COSTE], tblRed[Nodo Inicial], $C30, tblRed[Nodo Final], AG$3, tblRed[Activo], 1), 0)</f>
        <v>0</v>
      </c>
      <c r="AH30" s="77">
        <f>IF(MatrizDeAdyacencia!AH30=1, SUMIFS(tblRed[COSTE], tblRed[Nodo Inicial], $C30, tblRed[Nodo Final], AH$3, tblRed[Activo], 1), 0)</f>
        <v>4</v>
      </c>
    </row>
    <row r="31" spans="2:34" ht="14.25" customHeight="1" x14ac:dyDescent="0.25">
      <c r="B31" s="48" t="str">
        <f>VLOOKUP(tblMatrizPonderadaCostes[[#This Row],[Nodo Orig.\Dest.]],tblNodos[],2,FALSE)</f>
        <v>Gestión operativa descentralizada</v>
      </c>
      <c r="C31" s="49" t="s">
        <v>79</v>
      </c>
      <c r="D31" s="77">
        <f>IF(MatrizDeAdyacencia!D31=1, SUMIFS(tblRed[COSTE], tblRed[Nodo Inicial], $C31, tblRed[Nodo Final], D$3, tblRed[Activo], 1), 0)</f>
        <v>0</v>
      </c>
      <c r="E31" s="77">
        <f>IF(MatrizDeAdyacencia!E31=1, SUMIFS(tblRed[COSTE], tblRed[Nodo Inicial], $C31, tblRed[Nodo Final], E$3, tblRed[Activo], 1), 0)</f>
        <v>0</v>
      </c>
      <c r="F31" s="77">
        <f>IF(MatrizDeAdyacencia!F31=1, SUMIFS(tblRed[COSTE], tblRed[Nodo Inicial], $C31, tblRed[Nodo Final], F$3, tblRed[Activo], 1), 0)</f>
        <v>0</v>
      </c>
      <c r="G31" s="77">
        <f>IF(MatrizDeAdyacencia!G31=1, SUMIFS(tblRed[COSTE], tblRed[Nodo Inicial], $C31, tblRed[Nodo Final], G$3, tblRed[Activo], 1), 0)</f>
        <v>0</v>
      </c>
      <c r="H31" s="77">
        <f>IF(MatrizDeAdyacencia!H31=1, SUMIFS(tblRed[COSTE], tblRed[Nodo Inicial], $C31, tblRed[Nodo Final], H$3, tblRed[Activo], 1), 0)</f>
        <v>0</v>
      </c>
      <c r="I31" s="77">
        <f>IF(MatrizDeAdyacencia!I31=1, SUMIFS(tblRed[COSTE], tblRed[Nodo Inicial], $C31, tblRed[Nodo Final], I$3, tblRed[Activo], 1), 0)</f>
        <v>0</v>
      </c>
      <c r="J31" s="77">
        <f>IF(MatrizDeAdyacencia!J31=1, SUMIFS(tblRed[COSTE], tblRed[Nodo Inicial], $C31, tblRed[Nodo Final], J$3, tblRed[Activo], 1), 0)</f>
        <v>0</v>
      </c>
      <c r="K31" s="77">
        <f>IF(MatrizDeAdyacencia!K31=1, SUMIFS(tblRed[COSTE], tblRed[Nodo Inicial], $C31, tblRed[Nodo Final], K$3, tblRed[Activo], 1), 0)</f>
        <v>0</v>
      </c>
      <c r="L31" s="77">
        <f>IF(MatrizDeAdyacencia!L31=1, SUMIFS(tblRed[COSTE], tblRed[Nodo Inicial], $C31, tblRed[Nodo Final], L$3, tblRed[Activo], 1), 0)</f>
        <v>0</v>
      </c>
      <c r="M31" s="77">
        <f>IF(MatrizDeAdyacencia!M31=1, SUMIFS(tblRed[COSTE], tblRed[Nodo Inicial], $C31, tblRed[Nodo Final], M$3, tblRed[Activo], 1), 0)</f>
        <v>0</v>
      </c>
      <c r="N31" s="77">
        <f>IF(MatrizDeAdyacencia!N31=1, SUMIFS(tblRed[COSTE], tblRed[Nodo Inicial], $C31, tblRed[Nodo Final], N$3, tblRed[Activo], 1), 0)</f>
        <v>0</v>
      </c>
      <c r="O31" s="77">
        <f>IF(MatrizDeAdyacencia!O31=1, SUMIFS(tblRed[COSTE], tblRed[Nodo Inicial], $C31, tblRed[Nodo Final], O$3, tblRed[Activo], 1), 0)</f>
        <v>0</v>
      </c>
      <c r="P31" s="77">
        <f>IF(MatrizDeAdyacencia!P31=1, SUMIFS(tblRed[COSTE], tblRed[Nodo Inicial], $C31, tblRed[Nodo Final], P$3, tblRed[Activo], 1), 0)</f>
        <v>0</v>
      </c>
      <c r="Q31" s="77">
        <f>IF(MatrizDeAdyacencia!Q31=1, SUMIFS(tblRed[COSTE], tblRed[Nodo Inicial], $C31, tblRed[Nodo Final], Q$3, tblRed[Activo], 1), 0)</f>
        <v>0</v>
      </c>
      <c r="R31" s="77">
        <f>IF(MatrizDeAdyacencia!R31=1, SUMIFS(tblRed[COSTE], tblRed[Nodo Inicial], $C31, tblRed[Nodo Final], R$3, tblRed[Activo], 1), 0)</f>
        <v>0</v>
      </c>
      <c r="S31" s="77">
        <f>IF(MatrizDeAdyacencia!S31=1, SUMIFS(tblRed[COSTE], tblRed[Nodo Inicial], $C31, tblRed[Nodo Final], S$3, tblRed[Activo], 1), 0)</f>
        <v>0</v>
      </c>
      <c r="T31" s="77">
        <f>IF(MatrizDeAdyacencia!T31=1, SUMIFS(tblRed[COSTE], tblRed[Nodo Inicial], $C31, tblRed[Nodo Final], T$3, tblRed[Activo], 1), 0)</f>
        <v>0</v>
      </c>
      <c r="U31" s="77">
        <f>IF(MatrizDeAdyacencia!U31=1, SUMIFS(tblRed[COSTE], tblRed[Nodo Inicial], $C31, tblRed[Nodo Final], U$3, tblRed[Activo], 1), 0)</f>
        <v>0</v>
      </c>
      <c r="V31" s="79">
        <f>IF(MatrizDeAdyacencia!V31=1, SUMIFS(tblRed[COSTE], tblRed[Nodo Inicial], $C31, tblRed[Nodo Final], V$3, tblRed[Activo], 1), 0)</f>
        <v>0</v>
      </c>
      <c r="W31" s="77">
        <f>IF(MatrizDeAdyacencia!W31=1, SUMIFS(tblRed[COSTE], tblRed[Nodo Inicial], $C31, tblRed[Nodo Final], W$3, tblRed[Activo], 1), 0)</f>
        <v>0</v>
      </c>
      <c r="X31" s="77">
        <f>IF(MatrizDeAdyacencia!X31=1, SUMIFS(tblRed[COSTE], tblRed[Nodo Inicial], $C31, tblRed[Nodo Final], X$3, tblRed[Activo], 1), 0)</f>
        <v>0</v>
      </c>
      <c r="Y31" s="77">
        <f>IF(MatrizDeAdyacencia!Y31=1, SUMIFS(tblRed[COSTE], tblRed[Nodo Inicial], $C31, tblRed[Nodo Final], Y$3, tblRed[Activo], 1), 0)</f>
        <v>0</v>
      </c>
      <c r="Z31" s="77">
        <f>IF(MatrizDeAdyacencia!Z31=1, SUMIFS(tblRed[COSTE], tblRed[Nodo Inicial], $C31, tblRed[Nodo Final], Z$3, tblRed[Activo], 1), 0)</f>
        <v>0</v>
      </c>
      <c r="AA31" s="77">
        <f>IF(MatrizDeAdyacencia!AA31=1, SUMIFS(tblRed[COSTE], tblRed[Nodo Inicial], $C31, tblRed[Nodo Final], AA$3, tblRed[Activo], 1), 0)</f>
        <v>0</v>
      </c>
      <c r="AB31" s="77">
        <f>IF(MatrizDeAdyacencia!AB31=1, SUMIFS(tblRed[COSTE], tblRed[Nodo Inicial], $C31, tblRed[Nodo Final], AB$3, tblRed[Activo], 1), 0)</f>
        <v>0</v>
      </c>
      <c r="AC31" s="77">
        <f>IF(MatrizDeAdyacencia!AC31=1, SUMIFS(tblRed[COSTE], tblRed[Nodo Inicial], $C31, tblRed[Nodo Final], AC$3, tblRed[Activo], 1), 0)</f>
        <v>0</v>
      </c>
      <c r="AD31" s="77">
        <f>IF(MatrizDeAdyacencia!AD31=1, SUMIFS(tblRed[COSTE], tblRed[Nodo Inicial], $C31, tblRed[Nodo Final], AD$3, tblRed[Activo], 1), 0)</f>
        <v>0</v>
      </c>
      <c r="AE31" s="82">
        <f>IF(MatrizDeAdyacencia!AE31=1, SUMIFS(tblRed[COSTE], tblRed[Nodo Inicial], $C31, tblRed[Nodo Final], AE$3, tblRed[Activo], 1), 0)</f>
        <v>0</v>
      </c>
      <c r="AF31" s="77">
        <f>IF(MatrizDeAdyacencia!AF31=1, SUMIFS(tblRed[COSTE], tblRed[Nodo Inicial], $C31, tblRed[Nodo Final], AF$3, tblRed[Activo], 1), 0)</f>
        <v>0</v>
      </c>
      <c r="AG31" s="77">
        <f>IF(MatrizDeAdyacencia!AG31=1, SUMIFS(tblRed[COSTE], tblRed[Nodo Inicial], $C31, tblRed[Nodo Final], AG$3, tblRed[Activo], 1), 0)</f>
        <v>0</v>
      </c>
      <c r="AH31" s="77">
        <f>IF(MatrizDeAdyacencia!AH31=1, SUMIFS(tblRed[COSTE], tblRed[Nodo Inicial], $C31, tblRed[Nodo Final], AH$3, tblRed[Activo], 1), 0)</f>
        <v>4.5</v>
      </c>
    </row>
    <row r="32" spans="2:34" ht="14.25" customHeight="1" x14ac:dyDescent="0.25">
      <c r="B32" s="48" t="str">
        <f>VLOOKUP(tblMatrizPonderadaCostes[[#This Row],[Nodo Orig.\Dest.]],tblNodos[],2,FALSE)</f>
        <v>Custodia y conversión</v>
      </c>
      <c r="C32" s="49" t="s">
        <v>81</v>
      </c>
      <c r="D32" s="77">
        <f>IF(MatrizDeAdyacencia!D32=1, SUMIFS(tblRed[COSTE], tblRed[Nodo Inicial], $C32, tblRed[Nodo Final], D$3, tblRed[Activo], 1), 0)</f>
        <v>0</v>
      </c>
      <c r="E32" s="77">
        <f>IF(MatrizDeAdyacencia!E32=1, SUMIFS(tblRed[COSTE], tblRed[Nodo Inicial], $C32, tblRed[Nodo Final], E$3, tblRed[Activo], 1), 0)</f>
        <v>0</v>
      </c>
      <c r="F32" s="77">
        <f>IF(MatrizDeAdyacencia!F32=1, SUMIFS(tblRed[COSTE], tblRed[Nodo Inicial], $C32, tblRed[Nodo Final], F$3, tblRed[Activo], 1), 0)</f>
        <v>0</v>
      </c>
      <c r="G32" s="77">
        <f>IF(MatrizDeAdyacencia!G32=1, SUMIFS(tblRed[COSTE], tblRed[Nodo Inicial], $C32, tblRed[Nodo Final], G$3, tblRed[Activo], 1), 0)</f>
        <v>0</v>
      </c>
      <c r="H32" s="77">
        <f>IF(MatrizDeAdyacencia!H32=1, SUMIFS(tblRed[COSTE], tblRed[Nodo Inicial], $C32, tblRed[Nodo Final], H$3, tblRed[Activo], 1), 0)</f>
        <v>0</v>
      </c>
      <c r="I32" s="77">
        <f>IF(MatrizDeAdyacencia!I32=1, SUMIFS(tblRed[COSTE], tblRed[Nodo Inicial], $C32, tblRed[Nodo Final], I$3, tblRed[Activo], 1), 0)</f>
        <v>0</v>
      </c>
      <c r="J32" s="77">
        <f>IF(MatrizDeAdyacencia!J32=1, SUMIFS(tblRed[COSTE], tblRed[Nodo Inicial], $C32, tblRed[Nodo Final], J$3, tblRed[Activo], 1), 0)</f>
        <v>0</v>
      </c>
      <c r="K32" s="77">
        <f>IF(MatrizDeAdyacencia!K32=1, SUMIFS(tblRed[COSTE], tblRed[Nodo Inicial], $C32, tblRed[Nodo Final], K$3, tblRed[Activo], 1), 0)</f>
        <v>0</v>
      </c>
      <c r="L32" s="77">
        <f>IF(MatrizDeAdyacencia!L32=1, SUMIFS(tblRed[COSTE], tblRed[Nodo Inicial], $C32, tblRed[Nodo Final], L$3, tblRed[Activo], 1), 0)</f>
        <v>0</v>
      </c>
      <c r="M32" s="77">
        <f>IF(MatrizDeAdyacencia!M32=1, SUMIFS(tblRed[COSTE], tblRed[Nodo Inicial], $C32, tblRed[Nodo Final], M$3, tblRed[Activo], 1), 0)</f>
        <v>0</v>
      </c>
      <c r="N32" s="77">
        <f>IF(MatrizDeAdyacencia!N32=1, SUMIFS(tblRed[COSTE], tblRed[Nodo Inicial], $C32, tblRed[Nodo Final], N$3, tblRed[Activo], 1), 0)</f>
        <v>0</v>
      </c>
      <c r="O32" s="77">
        <f>IF(MatrizDeAdyacencia!O32=1, SUMIFS(tblRed[COSTE], tblRed[Nodo Inicial], $C32, tblRed[Nodo Final], O$3, tblRed[Activo], 1), 0)</f>
        <v>0</v>
      </c>
      <c r="P32" s="77">
        <f>IF(MatrizDeAdyacencia!P32=1, SUMIFS(tblRed[COSTE], tblRed[Nodo Inicial], $C32, tblRed[Nodo Final], P$3, tblRed[Activo], 1), 0)</f>
        <v>0</v>
      </c>
      <c r="Q32" s="77">
        <f>IF(MatrizDeAdyacencia!Q32=1, SUMIFS(tblRed[COSTE], tblRed[Nodo Inicial], $C32, tblRed[Nodo Final], Q$3, tblRed[Activo], 1), 0)</f>
        <v>0</v>
      </c>
      <c r="R32" s="77">
        <f>IF(MatrizDeAdyacencia!R32=1, SUMIFS(tblRed[COSTE], tblRed[Nodo Inicial], $C32, tblRed[Nodo Final], R$3, tblRed[Activo], 1), 0)</f>
        <v>0</v>
      </c>
      <c r="S32" s="77">
        <f>IF(MatrizDeAdyacencia!S32=1, SUMIFS(tblRed[COSTE], tblRed[Nodo Inicial], $C32, tblRed[Nodo Final], S$3, tblRed[Activo], 1), 0)</f>
        <v>0</v>
      </c>
      <c r="T32" s="77">
        <f>IF(MatrizDeAdyacencia!T32=1, SUMIFS(tblRed[COSTE], tblRed[Nodo Inicial], $C32, tblRed[Nodo Final], T$3, tblRed[Activo], 1), 0)</f>
        <v>0</v>
      </c>
      <c r="U32" s="77">
        <f>IF(MatrizDeAdyacencia!U32=1, SUMIFS(tblRed[COSTE], tblRed[Nodo Inicial], $C32, tblRed[Nodo Final], U$3, tblRed[Activo], 1), 0)</f>
        <v>0</v>
      </c>
      <c r="V32" s="79">
        <f>IF(MatrizDeAdyacencia!V32=1, SUMIFS(tblRed[COSTE], tblRed[Nodo Inicial], $C32, tblRed[Nodo Final], V$3, tblRed[Activo], 1), 0)</f>
        <v>0</v>
      </c>
      <c r="W32" s="77">
        <f>IF(MatrizDeAdyacencia!W32=1, SUMIFS(tblRed[COSTE], tblRed[Nodo Inicial], $C32, tblRed[Nodo Final], W$3, tblRed[Activo], 1), 0)</f>
        <v>0</v>
      </c>
      <c r="X32" s="77">
        <f>IF(MatrizDeAdyacencia!X32=1, SUMIFS(tblRed[COSTE], tblRed[Nodo Inicial], $C32, tblRed[Nodo Final], X$3, tblRed[Activo], 1), 0)</f>
        <v>0</v>
      </c>
      <c r="Y32" s="77">
        <f>IF(MatrizDeAdyacencia!Y32=1, SUMIFS(tblRed[COSTE], tblRed[Nodo Inicial], $C32, tblRed[Nodo Final], Y$3, tblRed[Activo], 1), 0)</f>
        <v>0</v>
      </c>
      <c r="Z32" s="77">
        <f>IF(MatrizDeAdyacencia!Z32=1, SUMIFS(tblRed[COSTE], tblRed[Nodo Inicial], $C32, tblRed[Nodo Final], Z$3, tblRed[Activo], 1), 0)</f>
        <v>0</v>
      </c>
      <c r="AA32" s="77">
        <f>IF(MatrizDeAdyacencia!AA32=1, SUMIFS(tblRed[COSTE], tblRed[Nodo Inicial], $C32, tblRed[Nodo Final], AA$3, tblRed[Activo], 1), 0)</f>
        <v>0</v>
      </c>
      <c r="AB32" s="77">
        <f>IF(MatrizDeAdyacencia!AB32=1, SUMIFS(tblRed[COSTE], tblRed[Nodo Inicial], $C32, tblRed[Nodo Final], AB$3, tblRed[Activo], 1), 0)</f>
        <v>0</v>
      </c>
      <c r="AC32" s="77">
        <f>IF(MatrizDeAdyacencia!AC32=1, SUMIFS(tblRed[COSTE], tblRed[Nodo Inicial], $C32, tblRed[Nodo Final], AC$3, tblRed[Activo], 1), 0)</f>
        <v>0</v>
      </c>
      <c r="AD32" s="77">
        <f>IF(MatrizDeAdyacencia!AD32=1, SUMIFS(tblRed[COSTE], tblRed[Nodo Inicial], $C32, tblRed[Nodo Final], AD$3, tblRed[Activo], 1), 0)</f>
        <v>0</v>
      </c>
      <c r="AE32" s="77">
        <f>IF(MatrizDeAdyacencia!AE32=1, SUMIFS(tblRed[COSTE], tblRed[Nodo Inicial], $C32, tblRed[Nodo Final], AE$3, tblRed[Activo], 1), 0)</f>
        <v>0</v>
      </c>
      <c r="AF32" s="82">
        <f>IF(MatrizDeAdyacencia!AF32=1, SUMIFS(tblRed[COSTE], tblRed[Nodo Inicial], $C32, tblRed[Nodo Final], AF$3, tblRed[Activo], 1), 0)</f>
        <v>0</v>
      </c>
      <c r="AG32" s="77">
        <f>IF(MatrizDeAdyacencia!AG32=1, SUMIFS(tblRed[COSTE], tblRed[Nodo Inicial], $C32, tblRed[Nodo Final], AG$3, tblRed[Activo], 1), 0)</f>
        <v>0</v>
      </c>
      <c r="AH32" s="77">
        <f>IF(MatrizDeAdyacencia!AH32=1, SUMIFS(tblRed[COSTE], tblRed[Nodo Inicial], $C32, tblRed[Nodo Final], AH$3, tblRed[Activo], 1), 0)</f>
        <v>3.9</v>
      </c>
    </row>
    <row r="33" spans="2:34" ht="14.25" customHeight="1" x14ac:dyDescent="0.25">
      <c r="B33" s="48" t="str">
        <f>VLOOKUP(tblMatrizPonderadaCostes[[#This Row],[Nodo Orig.\Dest.]],tblNodos[],2,FALSE)</f>
        <v>Coordinación de la red y soporte estratégico</v>
      </c>
      <c r="C33" s="49" t="s">
        <v>83</v>
      </c>
      <c r="D33" s="77">
        <f>IF(MatrizDeAdyacencia!D33=1, SUMIFS(tblRed[COSTE], tblRed[Nodo Inicial], $C33, tblRed[Nodo Final], D$3, tblRed[Activo], 1), 0)</f>
        <v>0</v>
      </c>
      <c r="E33" s="77">
        <f>IF(MatrizDeAdyacencia!E33=1, SUMIFS(tblRed[COSTE], tblRed[Nodo Inicial], $C33, tblRed[Nodo Final], E$3, tblRed[Activo], 1), 0)</f>
        <v>0</v>
      </c>
      <c r="F33" s="77">
        <f>IF(MatrizDeAdyacencia!F33=1, SUMIFS(tblRed[COSTE], tblRed[Nodo Inicial], $C33, tblRed[Nodo Final], F$3, tblRed[Activo], 1), 0)</f>
        <v>0</v>
      </c>
      <c r="G33" s="77">
        <f>IF(MatrizDeAdyacencia!G33=1, SUMIFS(tblRed[COSTE], tblRed[Nodo Inicial], $C33, tblRed[Nodo Final], G$3, tblRed[Activo], 1), 0)</f>
        <v>0</v>
      </c>
      <c r="H33" s="77">
        <f>IF(MatrizDeAdyacencia!H33=1, SUMIFS(tblRed[COSTE], tblRed[Nodo Inicial], $C33, tblRed[Nodo Final], H$3, tblRed[Activo], 1), 0)</f>
        <v>0</v>
      </c>
      <c r="I33" s="77">
        <f>IF(MatrizDeAdyacencia!I33=1, SUMIFS(tblRed[COSTE], tblRed[Nodo Inicial], $C33, tblRed[Nodo Final], I$3, tblRed[Activo], 1), 0)</f>
        <v>0</v>
      </c>
      <c r="J33" s="77">
        <f>IF(MatrizDeAdyacencia!J33=1, SUMIFS(tblRed[COSTE], tblRed[Nodo Inicial], $C33, tblRed[Nodo Final], J$3, tblRed[Activo], 1), 0)</f>
        <v>0</v>
      </c>
      <c r="K33" s="77">
        <f>IF(MatrizDeAdyacencia!K33=1, SUMIFS(tblRed[COSTE], tblRed[Nodo Inicial], $C33, tblRed[Nodo Final], K$3, tblRed[Activo], 1), 0)</f>
        <v>0</v>
      </c>
      <c r="L33" s="77">
        <f>IF(MatrizDeAdyacencia!L33=1, SUMIFS(tblRed[COSTE], tblRed[Nodo Inicial], $C33, tblRed[Nodo Final], L$3, tblRed[Activo], 1), 0)</f>
        <v>0</v>
      </c>
      <c r="M33" s="77">
        <f>IF(MatrizDeAdyacencia!M33=1, SUMIFS(tblRed[COSTE], tblRed[Nodo Inicial], $C33, tblRed[Nodo Final], M$3, tblRed[Activo], 1), 0)</f>
        <v>0</v>
      </c>
      <c r="N33" s="77">
        <f>IF(MatrizDeAdyacencia!N33=1, SUMIFS(tblRed[COSTE], tblRed[Nodo Inicial], $C33, tblRed[Nodo Final], N$3, tblRed[Activo], 1), 0)</f>
        <v>0</v>
      </c>
      <c r="O33" s="77">
        <f>IF(MatrizDeAdyacencia!O33=1, SUMIFS(tblRed[COSTE], tblRed[Nodo Inicial], $C33, tblRed[Nodo Final], O$3, tblRed[Activo], 1), 0)</f>
        <v>0</v>
      </c>
      <c r="P33" s="77">
        <f>IF(MatrizDeAdyacencia!P33=1, SUMIFS(tblRed[COSTE], tblRed[Nodo Inicial], $C33, tblRed[Nodo Final], P$3, tblRed[Activo], 1), 0)</f>
        <v>0</v>
      </c>
      <c r="Q33" s="77">
        <f>IF(MatrizDeAdyacencia!Q33=1, SUMIFS(tblRed[COSTE], tblRed[Nodo Inicial], $C33, tblRed[Nodo Final], Q$3, tblRed[Activo], 1), 0)</f>
        <v>0</v>
      </c>
      <c r="R33" s="77">
        <f>IF(MatrizDeAdyacencia!R33=1, SUMIFS(tblRed[COSTE], tblRed[Nodo Inicial], $C33, tblRed[Nodo Final], R$3, tblRed[Activo], 1), 0)</f>
        <v>0</v>
      </c>
      <c r="S33" s="77">
        <f>IF(MatrizDeAdyacencia!S33=1, SUMIFS(tblRed[COSTE], tblRed[Nodo Inicial], $C33, tblRed[Nodo Final], S$3, tblRed[Activo], 1), 0)</f>
        <v>0</v>
      </c>
      <c r="T33" s="77">
        <f>IF(MatrizDeAdyacencia!T33=1, SUMIFS(tblRed[COSTE], tblRed[Nodo Inicial], $C33, tblRed[Nodo Final], T$3, tblRed[Activo], 1), 0)</f>
        <v>0</v>
      </c>
      <c r="U33" s="77">
        <f>IF(MatrizDeAdyacencia!U33=1, SUMIFS(tblRed[COSTE], tblRed[Nodo Inicial], $C33, tblRed[Nodo Final], U$3, tblRed[Activo], 1), 0)</f>
        <v>0</v>
      </c>
      <c r="V33" s="79">
        <f>IF(MatrizDeAdyacencia!V33=1, SUMIFS(tblRed[COSTE], tblRed[Nodo Inicial], $C33, tblRed[Nodo Final], V$3, tblRed[Activo], 1), 0)</f>
        <v>0</v>
      </c>
      <c r="W33" s="77">
        <f>IF(MatrizDeAdyacencia!W33=1, SUMIFS(tblRed[COSTE], tblRed[Nodo Inicial], $C33, tblRed[Nodo Final], W$3, tblRed[Activo], 1), 0)</f>
        <v>0</v>
      </c>
      <c r="X33" s="77">
        <f>IF(MatrizDeAdyacencia!X33=1, SUMIFS(tblRed[COSTE], tblRed[Nodo Inicial], $C33, tblRed[Nodo Final], X$3, tblRed[Activo], 1), 0)</f>
        <v>0</v>
      </c>
      <c r="Y33" s="77">
        <f>IF(MatrizDeAdyacencia!Y33=1, SUMIFS(tblRed[COSTE], tblRed[Nodo Inicial], $C33, tblRed[Nodo Final], Y$3, tblRed[Activo], 1), 0)</f>
        <v>0</v>
      </c>
      <c r="Z33" s="77">
        <f>IF(MatrizDeAdyacencia!Z33=1, SUMIFS(tblRed[COSTE], tblRed[Nodo Inicial], $C33, tblRed[Nodo Final], Z$3, tblRed[Activo], 1), 0)</f>
        <v>0</v>
      </c>
      <c r="AA33" s="77">
        <f>IF(MatrizDeAdyacencia!AA33=1, SUMIFS(tblRed[COSTE], tblRed[Nodo Inicial], $C33, tblRed[Nodo Final], AA$3, tblRed[Activo], 1), 0)</f>
        <v>0</v>
      </c>
      <c r="AB33" s="77">
        <f>IF(MatrizDeAdyacencia!AB33=1, SUMIFS(tblRed[COSTE], tblRed[Nodo Inicial], $C33, tblRed[Nodo Final], AB$3, tblRed[Activo], 1), 0)</f>
        <v>0</v>
      </c>
      <c r="AC33" s="77">
        <f>IF(MatrizDeAdyacencia!AC33=1, SUMIFS(tblRed[COSTE], tblRed[Nodo Inicial], $C33, tblRed[Nodo Final], AC$3, tblRed[Activo], 1), 0)</f>
        <v>0</v>
      </c>
      <c r="AD33" s="77">
        <f>IF(MatrizDeAdyacencia!AD33=1, SUMIFS(tblRed[COSTE], tblRed[Nodo Inicial], $C33, tblRed[Nodo Final], AD$3, tblRed[Activo], 1), 0)</f>
        <v>0</v>
      </c>
      <c r="AE33" s="77">
        <f>IF(MatrizDeAdyacencia!AE33=1, SUMIFS(tblRed[COSTE], tblRed[Nodo Inicial], $C33, tblRed[Nodo Final], AE$3, tblRed[Activo], 1), 0)</f>
        <v>0</v>
      </c>
      <c r="AF33" s="77">
        <f>IF(MatrizDeAdyacencia!AF33=1, SUMIFS(tblRed[COSTE], tblRed[Nodo Inicial], $C33, tblRed[Nodo Final], AF$3, tblRed[Activo], 1), 0)</f>
        <v>0</v>
      </c>
      <c r="AG33" s="82">
        <f>IF(MatrizDeAdyacencia!AG33=1, SUMIFS(tblRed[COSTE], tblRed[Nodo Inicial], $C33, tblRed[Nodo Final], AG$3, tblRed[Activo], 1), 0)</f>
        <v>0</v>
      </c>
      <c r="AH33" s="77">
        <f>IF(MatrizDeAdyacencia!AH33=1, SUMIFS(tblRed[COSTE], tblRed[Nodo Inicial], $C33, tblRed[Nodo Final], AH$3, tblRed[Activo], 1), 0)</f>
        <v>4.5348837209302317</v>
      </c>
    </row>
    <row r="34" spans="2:34" ht="14.25" customHeight="1" x14ac:dyDescent="0.25">
      <c r="B34" s="48" t="str">
        <f>VLOOKUP(tblMatrizPonderadaCostes[[#This Row],[Nodo Orig.\Dest.]],tblNodos[],2,FALSE)</f>
        <v>Destino operativo final</v>
      </c>
      <c r="C34" s="49" t="s">
        <v>85</v>
      </c>
      <c r="D34" s="77">
        <f>IF(MatrizDeAdyacencia!D34=1, SUMIFS(tblRed[COSTE], tblRed[Nodo Inicial], $C34, tblRed[Nodo Final], D$3, tblRed[Activo], 1), 0)</f>
        <v>0</v>
      </c>
      <c r="E34" s="77">
        <f>IF(MatrizDeAdyacencia!E34=1, SUMIFS(tblRed[COSTE], tblRed[Nodo Inicial], $C34, tblRed[Nodo Final], E$3, tblRed[Activo], 1), 0)</f>
        <v>0</v>
      </c>
      <c r="F34" s="77">
        <f>IF(MatrizDeAdyacencia!F34=1, SUMIFS(tblRed[COSTE], tblRed[Nodo Inicial], $C34, tblRed[Nodo Final], F$3, tblRed[Activo], 1), 0)</f>
        <v>0</v>
      </c>
      <c r="G34" s="77">
        <f>IF(MatrizDeAdyacencia!G34=1, SUMIFS(tblRed[COSTE], tblRed[Nodo Inicial], $C34, tblRed[Nodo Final], G$3, tblRed[Activo], 1), 0)</f>
        <v>0</v>
      </c>
      <c r="H34" s="77">
        <f>IF(MatrizDeAdyacencia!H34=1, SUMIFS(tblRed[COSTE], tblRed[Nodo Inicial], $C34, tblRed[Nodo Final], H$3, tblRed[Activo], 1), 0)</f>
        <v>0</v>
      </c>
      <c r="I34" s="77">
        <f>IF(MatrizDeAdyacencia!I34=1, SUMIFS(tblRed[COSTE], tblRed[Nodo Inicial], $C34, tblRed[Nodo Final], I$3, tblRed[Activo], 1), 0)</f>
        <v>0</v>
      </c>
      <c r="J34" s="77">
        <f>IF(MatrizDeAdyacencia!J34=1, SUMIFS(tblRed[COSTE], tblRed[Nodo Inicial], $C34, tblRed[Nodo Final], J$3, tblRed[Activo], 1), 0)</f>
        <v>0</v>
      </c>
      <c r="K34" s="77">
        <f>IF(MatrizDeAdyacencia!K34=1, SUMIFS(tblRed[COSTE], tblRed[Nodo Inicial], $C34, tblRed[Nodo Final], K$3, tblRed[Activo], 1), 0)</f>
        <v>0</v>
      </c>
      <c r="L34" s="77">
        <f>IF(MatrizDeAdyacencia!L34=1, SUMIFS(tblRed[COSTE], tblRed[Nodo Inicial], $C34, tblRed[Nodo Final], L$3, tblRed[Activo], 1), 0)</f>
        <v>0</v>
      </c>
      <c r="M34" s="77">
        <f>IF(MatrizDeAdyacencia!M34=1, SUMIFS(tblRed[COSTE], tblRed[Nodo Inicial], $C34, tblRed[Nodo Final], M$3, tblRed[Activo], 1), 0)</f>
        <v>0</v>
      </c>
      <c r="N34" s="77">
        <f>IF(MatrizDeAdyacencia!N34=1, SUMIFS(tblRed[COSTE], tblRed[Nodo Inicial], $C34, tblRed[Nodo Final], N$3, tblRed[Activo], 1), 0)</f>
        <v>0</v>
      </c>
      <c r="O34" s="77">
        <f>IF(MatrizDeAdyacencia!O34=1, SUMIFS(tblRed[COSTE], tblRed[Nodo Inicial], $C34, tblRed[Nodo Final], O$3, tblRed[Activo], 1), 0)</f>
        <v>0</v>
      </c>
      <c r="P34" s="77">
        <f>IF(MatrizDeAdyacencia!P34=1, SUMIFS(tblRed[COSTE], tblRed[Nodo Inicial], $C34, tblRed[Nodo Final], P$3, tblRed[Activo], 1), 0)</f>
        <v>0</v>
      </c>
      <c r="Q34" s="77">
        <f>IF(MatrizDeAdyacencia!Q34=1, SUMIFS(tblRed[COSTE], tblRed[Nodo Inicial], $C34, tblRed[Nodo Final], Q$3, tblRed[Activo], 1), 0)</f>
        <v>0</v>
      </c>
      <c r="R34" s="77">
        <f>IF(MatrizDeAdyacencia!R34=1, SUMIFS(tblRed[COSTE], tblRed[Nodo Inicial], $C34, tblRed[Nodo Final], R$3, tblRed[Activo], 1), 0)</f>
        <v>0</v>
      </c>
      <c r="S34" s="77">
        <f>IF(MatrizDeAdyacencia!S34=1, SUMIFS(tblRed[COSTE], tblRed[Nodo Inicial], $C34, tblRed[Nodo Final], S$3, tblRed[Activo], 1), 0)</f>
        <v>0</v>
      </c>
      <c r="T34" s="77">
        <f>IF(MatrizDeAdyacencia!T34=1, SUMIFS(tblRed[COSTE], tblRed[Nodo Inicial], $C34, tblRed[Nodo Final], T$3, tblRed[Activo], 1), 0)</f>
        <v>0</v>
      </c>
      <c r="U34" s="77">
        <f>IF(MatrizDeAdyacencia!U34=1, SUMIFS(tblRed[COSTE], tblRed[Nodo Inicial], $C34, tblRed[Nodo Final], U$3, tblRed[Activo], 1), 0)</f>
        <v>0</v>
      </c>
      <c r="V34" s="79">
        <f>IF(MatrizDeAdyacencia!V34=1, SUMIFS(tblRed[COSTE], tblRed[Nodo Inicial], $C34, tblRed[Nodo Final], V$3, tblRed[Activo], 1), 0)</f>
        <v>0</v>
      </c>
      <c r="W34" s="80">
        <f>IF(MatrizDeAdyacencia!W34=1, SUMIFS(tblRed[COSTE], tblRed[Nodo Inicial], $C34, tblRed[Nodo Final], W$3, tblRed[Activo], 1), 0)</f>
        <v>0</v>
      </c>
      <c r="X34" s="80">
        <f>IF(MatrizDeAdyacencia!X34=1, SUMIFS(tblRed[COSTE], tblRed[Nodo Inicial], $C34, tblRed[Nodo Final], X$3, tblRed[Activo], 1), 0)</f>
        <v>0</v>
      </c>
      <c r="Y34" s="80">
        <f>IF(MatrizDeAdyacencia!Y34=1, SUMIFS(tblRed[COSTE], tblRed[Nodo Inicial], $C34, tblRed[Nodo Final], Y$3, tblRed[Activo], 1), 0)</f>
        <v>0</v>
      </c>
      <c r="Z34" s="80">
        <f>IF(MatrizDeAdyacencia!Z34=1, SUMIFS(tblRed[COSTE], tblRed[Nodo Inicial], $C34, tblRed[Nodo Final], Z$3, tblRed[Activo], 1), 0)</f>
        <v>0</v>
      </c>
      <c r="AA34" s="80">
        <f>IF(MatrizDeAdyacencia!AA34=1, SUMIFS(tblRed[COSTE], tblRed[Nodo Inicial], $C34, tblRed[Nodo Final], AA$3, tblRed[Activo], 1), 0)</f>
        <v>0</v>
      </c>
      <c r="AB34" s="80">
        <f>IF(MatrizDeAdyacencia!AB34=1, SUMIFS(tblRed[COSTE], tblRed[Nodo Inicial], $C34, tblRed[Nodo Final], AB$3, tblRed[Activo], 1), 0)</f>
        <v>0</v>
      </c>
      <c r="AC34" s="80">
        <f>IF(MatrizDeAdyacencia!AC34=1, SUMIFS(tblRed[COSTE], tblRed[Nodo Inicial], $C34, tblRed[Nodo Final], AC$3, tblRed[Activo], 1), 0)</f>
        <v>0</v>
      </c>
      <c r="AD34" s="80">
        <f>IF(MatrizDeAdyacencia!AD34=1, SUMIFS(tblRed[COSTE], tblRed[Nodo Inicial], $C34, tblRed[Nodo Final], AD$3, tblRed[Activo], 1), 0)</f>
        <v>0</v>
      </c>
      <c r="AE34" s="80">
        <f>IF(MatrizDeAdyacencia!AE34=1, SUMIFS(tblRed[COSTE], tblRed[Nodo Inicial], $C34, tblRed[Nodo Final], AE$3, tblRed[Activo], 1), 0)</f>
        <v>0</v>
      </c>
      <c r="AF34" s="80">
        <f>IF(MatrizDeAdyacencia!AF34=1, SUMIFS(tblRed[COSTE], tblRed[Nodo Inicial], $C34, tblRed[Nodo Final], AF$3, tblRed[Activo], 1), 0)</f>
        <v>0</v>
      </c>
      <c r="AG34" s="80">
        <f>IF(MatrizDeAdyacencia!AG34=1, SUMIFS(tblRed[COSTE], tblRed[Nodo Inicial], $C34, tblRed[Nodo Final], AG$3, tblRed[Activo], 1), 0)</f>
        <v>0</v>
      </c>
      <c r="AH34" s="84">
        <f>IF(MatrizDeAdyacencia!AH34=1, SUMIFS(tblRed[COSTE], tblRed[Nodo Inicial], $C34, tblRed[Nodo Final], AH$3, tblRed[Activo], 1), 0)</f>
        <v>0</v>
      </c>
    </row>
  </sheetData>
  <mergeCells count="1">
    <mergeCell ref="B2:C2"/>
  </mergeCells>
  <conditionalFormatting sqref="D4:AH34">
    <cfRule type="expression" dxfId="225" priority="2" stopIfTrue="1">
      <formula>COLUMN()-COLUMN($D$4)=ROW()-ROW($D$4)</formula>
    </cfRule>
    <cfRule type="cellIs" dxfId="224" priority="4" stopIfTrue="1" operator="notEqual">
      <formula>0</formula>
    </cfRule>
    <cfRule type="cellIs" dxfId="223" priority="6" operator="equal">
      <formula>0</formula>
    </cfRule>
  </conditionalFormatting>
  <pageMargins left="0.75" right="0.75" top="1" bottom="1" header="0.5" footer="0.5"/>
  <pageSetup paperSize="9"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B2:AH34"/>
  <sheetViews>
    <sheetView showGridLines="0" zoomScale="70" zoomScaleNormal="70" workbookViewId="0">
      <selection activeCell="K17" sqref="K17"/>
    </sheetView>
  </sheetViews>
  <sheetFormatPr baseColWidth="10" defaultColWidth="9.140625" defaultRowHeight="17.25" customHeight="1" x14ac:dyDescent="0.25"/>
  <cols>
    <col min="1" max="1" width="9.140625" style="3" customWidth="1"/>
    <col min="2" max="2" width="40.85546875" style="3" customWidth="1"/>
    <col min="3" max="3" width="12" style="3" customWidth="1"/>
    <col min="4" max="34" width="6.85546875" style="3" customWidth="1"/>
    <col min="35" max="37" width="9.140625" style="3" customWidth="1"/>
    <col min="38" max="16384" width="9.140625" style="3"/>
  </cols>
  <sheetData>
    <row r="2" spans="2:34" s="8" customFormat="1" ht="134.25" customHeight="1" x14ac:dyDescent="0.25">
      <c r="B2" s="123" t="s">
        <v>476</v>
      </c>
      <c r="C2" s="124"/>
      <c r="D2" s="13" t="str">
        <f>VLOOKUP(tblMatrizDeAdyacencia[[#Headers],[O1]],tblNodos[],2,FALSE)</f>
        <v>Recursos personales lícitos</v>
      </c>
      <c r="E2" s="13" t="str">
        <f>VLOOKUP(tblMatrizDeAdyacencia[[#Headers],[O2]],tblNodos[],2,FALSE)</f>
        <v>Donaciones y apoyo individual / comunitario</v>
      </c>
      <c r="F2" s="13" t="str">
        <f>VLOOKUP(tblMatrizDeAdyacencia[[#Headers],[O3]],tblNodos[],2,FALSE)</f>
        <v>Actividad comercial y empresarial</v>
      </c>
      <c r="G2" s="13" t="str">
        <f>VLOOKUP(tblMatrizDeAdyacencia[[#Headers],[O4]],tblNodos[],2,FALSE)</f>
        <v>Financiación mediante coerción y exacción</v>
      </c>
      <c r="H2" s="13" t="str">
        <f>VLOOKUP(tblMatrizDeAdyacencia[[#Headers],[O5]],tblNodos[],2,FALSE)</f>
        <v>Explotación de personas y movilidad forzada</v>
      </c>
      <c r="I2" s="13" t="str">
        <f>VLOOKUP(tblMatrizDeAdyacencia[[#Headers],[O6]],tblNodos[],2,FALSE)</f>
        <v>Actividades criminales y mercados ilícitos</v>
      </c>
      <c r="J2" s="13" t="str">
        <f>VLOOKUP(tblMatrizDeAdyacencia[[#Headers],[O7]],tblNodos[],2,FALSE)</f>
        <v>Explotación de recursos naturales</v>
      </c>
      <c r="K2" s="13" t="str">
        <f>VLOOKUP(tblMatrizDeAdyacencia[[#Headers],[O8]],tblNodos[],2,FALSE)</f>
        <v>Valor digital</v>
      </c>
      <c r="L2" s="13" t="str">
        <f>VLOOKUP(tblMatrizDeAdyacencia[[#Headers],[C1]],tblNodos[],2,FALSE)</f>
        <v>Recaudación directa</v>
      </c>
      <c r="M2" s="13" t="str">
        <f>VLOOKUP(tblMatrizDeAdyacencia[[#Headers],[C2]],tblNodos[],2,FALSE)</f>
        <v>Agregadores de fondos</v>
      </c>
      <c r="N2" s="13" t="str">
        <f>VLOOKUP(tblMatrizDeAdyacencia[[#Headers],[C3]],tblNodos[],2,FALSE)</f>
        <v>Estructuras organizadas de captación</v>
      </c>
      <c r="O2" s="13" t="str">
        <f>VLOOKUP(tblMatrizDeAdyacencia[[#Headers],[C4]],tblNodos[],2,FALSE)</f>
        <v>Colectores digitales instrumentales</v>
      </c>
      <c r="P2" s="13" t="str">
        <f>VLOOKUP(tblMatrizDeAdyacencia[[#Headers],[C5]],tblNodos[],2,FALSE)</f>
        <v>Colectores empresariales y vehiculares</v>
      </c>
      <c r="Q2" s="13" t="str">
        <f>VLOOKUP(tblMatrizDeAdyacencia[[#Headers],[C6]],tblNodos[],2,FALSE)</f>
        <v>Colectores instrumentales / de ocultación</v>
      </c>
      <c r="R2" s="13" t="str">
        <f>VLOOKUP(tblMatrizDeAdyacencia[[#Headers],[I1]],tblNodos[],2,FALSE)</f>
        <v>Intermediarios físicos de transporte de valor</v>
      </c>
      <c r="S2" s="13" t="str">
        <f>VLOOKUP(tblMatrizDeAdyacencia[[#Headers],[I2]],tblNodos[],2,FALSE)</f>
        <v>Intermediarios informales y paralelos</v>
      </c>
      <c r="T2" s="13" t="str">
        <f>VLOOKUP(tblMatrizDeAdyacencia[[#Headers],[I3]],tblNodos[],2,FALSE)</f>
        <v>Intermediarios MVTS y remesas</v>
      </c>
      <c r="U2" s="13" t="str">
        <f>VLOOKUP(tblMatrizDeAdyacencia[[#Headers],[I4]],tblNodos[],2,FALSE)</f>
        <v>Intermediarios de dinero móvil</v>
      </c>
      <c r="V2" s="13" t="str">
        <f>VLOOKUP(tblMatrizDeAdyacencia[[#Headers],[I5]],tblNodos[],2,FALSE)</f>
        <v>Intermediarios bancarios formales</v>
      </c>
      <c r="W2" s="13" t="str">
        <f>VLOOKUP(tblMatrizDeAdyacencia[[#Headers],[I6]],tblNodos[],2,FALSE)</f>
        <v>Intermediarios de pago digital (PSP /FinTech)</v>
      </c>
      <c r="X2" s="13" t="str">
        <f>VLOOKUP(tblMatrizDeAdyacencia[[#Headers],[I7]],tblNodos[],2,FALSE)</f>
        <v>Intermediarios de activos virtuales y conversión</v>
      </c>
      <c r="Y2" s="13" t="str">
        <f>VLOOKUP(tblMatrizDeAdyacencia[[#Headers],[I8]],tblNodos[],2,FALSE)</f>
        <v>Intermediarios comerciales y transaccionales</v>
      </c>
      <c r="Z2" s="13" t="str">
        <f>VLOOKUP(tblMatrizDeAdyacencia[[#Headers],[I9]],tblNodos[],2,FALSE)</f>
        <v>Intermediarios logísticos del contrabando</v>
      </c>
      <c r="AA2" s="13" t="str">
        <f>VLOOKUP(tblMatrizDeAdyacencia[[#Headers],[I10]],tblNodos[],2,FALSE)</f>
        <v>Intermediarios financeros especializados</v>
      </c>
      <c r="AB2" s="13" t="str">
        <f>VLOOKUP(tblMatrizDeAdyacencia[[#Headers],[I11]],tblNodos[],2,FALSE)</f>
        <v>Intermediarios operativos y de cobertura</v>
      </c>
      <c r="AC2" s="13" t="str">
        <f>VLOOKUP(tblMatrizDeAdyacencia[[#Headers],[I12]],tblNodos[],2,FALSE)</f>
        <v>Intermediarios de negociación y rescate</v>
      </c>
      <c r="AD2" s="13" t="str">
        <f>VLOOKUP(tblMatrizDeAdyacencia[[#Headers],[G1]],tblNodos[],2,FALSE)</f>
        <v>Dirección financiera</v>
      </c>
      <c r="AE2" s="13" t="str">
        <f>VLOOKUP(tblMatrizDeAdyacencia[[#Headers],[G2]],tblNodos[],2,FALSE)</f>
        <v>Gestión operativa descentralizada</v>
      </c>
      <c r="AF2" s="13" t="str">
        <f>VLOOKUP(tblMatrizDeAdyacencia[[#Headers],[G3]],tblNodos[],2,FALSE)</f>
        <v>Custodia y conversión</v>
      </c>
      <c r="AG2" s="13" t="str">
        <f>VLOOKUP(tblMatrizDeAdyacencia[[#Headers],[G4]],tblNodos[],2,FALSE)</f>
        <v>Coordinación de la red y soporte estratégico</v>
      </c>
      <c r="AH2" s="13" t="str">
        <f>VLOOKUP(tblMatrizDeAdyacencia[[#Headers],[D1]],tblNodos[],2,FALSE)</f>
        <v>Destino operativo final</v>
      </c>
    </row>
    <row r="3" spans="2:34" ht="35.25" customHeight="1" x14ac:dyDescent="0.25">
      <c r="B3" s="5" t="s">
        <v>472</v>
      </c>
      <c r="C3" s="23" t="s">
        <v>486</v>
      </c>
      <c r="D3" s="4" t="s">
        <v>25</v>
      </c>
      <c r="E3" s="4" t="s">
        <v>27</v>
      </c>
      <c r="F3" s="4" t="s">
        <v>29</v>
      </c>
      <c r="G3" s="4" t="s">
        <v>31</v>
      </c>
      <c r="H3" s="4" t="s">
        <v>33</v>
      </c>
      <c r="I3" s="4" t="s">
        <v>35</v>
      </c>
      <c r="J3" s="4" t="s">
        <v>37</v>
      </c>
      <c r="K3" s="4" t="s">
        <v>39</v>
      </c>
      <c r="L3" s="4" t="s">
        <v>41</v>
      </c>
      <c r="M3" s="4" t="s">
        <v>43</v>
      </c>
      <c r="N3" s="4" t="s">
        <v>45</v>
      </c>
      <c r="O3" s="4" t="s">
        <v>47</v>
      </c>
      <c r="P3" s="4" t="s">
        <v>49</v>
      </c>
      <c r="Q3" s="4" t="s">
        <v>51</v>
      </c>
      <c r="R3" s="4" t="s">
        <v>53</v>
      </c>
      <c r="S3" s="4" t="s">
        <v>55</v>
      </c>
      <c r="T3" s="4" t="s">
        <v>57</v>
      </c>
      <c r="U3" s="4" t="s">
        <v>59</v>
      </c>
      <c r="V3" s="6" t="s">
        <v>61</v>
      </c>
      <c r="W3" s="76" t="s">
        <v>63</v>
      </c>
      <c r="X3" s="76" t="s">
        <v>65</v>
      </c>
      <c r="Y3" s="76" t="s">
        <v>67</v>
      </c>
      <c r="Z3" s="76" t="s">
        <v>69</v>
      </c>
      <c r="AA3" s="76" t="s">
        <v>71</v>
      </c>
      <c r="AB3" s="76" t="s">
        <v>73</v>
      </c>
      <c r="AC3" s="76" t="s">
        <v>75</v>
      </c>
      <c r="AD3" s="76" t="s">
        <v>77</v>
      </c>
      <c r="AE3" s="76" t="s">
        <v>79</v>
      </c>
      <c r="AF3" s="76" t="s">
        <v>81</v>
      </c>
      <c r="AG3" s="76" t="s">
        <v>83</v>
      </c>
      <c r="AH3" s="76" t="s">
        <v>85</v>
      </c>
    </row>
    <row r="4" spans="2:34" ht="17.25" customHeight="1" x14ac:dyDescent="0.25">
      <c r="B4" s="7" t="str">
        <f>VLOOKUP(tblMatrizPonderadaValorOperativo[[#This Row],[Nodo Orig.\Dest.]],tblNodos[],2,FALSE)</f>
        <v>Recursos personales lícitos</v>
      </c>
      <c r="C4" s="4" t="s">
        <v>25</v>
      </c>
      <c r="D4" s="77">
        <f>IF(MatrizDeAdyacencia!D4=1, SUMIFS(tblRed[VALOR OPERATIVO], tblRed[Nodo Inicial], $C4, tblRed[Nodo Final], D$3, tblRed[Activo], 1), 0)</f>
        <v>0</v>
      </c>
      <c r="E4" s="77">
        <f>IF(MatrizDeAdyacencia!E4=1, SUMIFS(tblRed[VALOR OPERATIVO], tblRed[Nodo Inicial], $C4, tblRed[Nodo Final], E$3, tblRed[Activo], 1), 0)</f>
        <v>0</v>
      </c>
      <c r="F4" s="77">
        <f>IF(MatrizDeAdyacencia!F4=1, SUMIFS(tblRed[VALOR OPERATIVO], tblRed[Nodo Inicial], $C4, tblRed[Nodo Final], F$3, tblRed[Activo], 1), 0)</f>
        <v>0</v>
      </c>
      <c r="G4" s="77">
        <f>IF(MatrizDeAdyacencia!G4=1, SUMIFS(tblRed[VALOR OPERATIVO], tblRed[Nodo Inicial], $C4, tblRed[Nodo Final], G$3, tblRed[Activo], 1), 0)</f>
        <v>0</v>
      </c>
      <c r="H4" s="77">
        <f>IF(MatrizDeAdyacencia!H4=1, SUMIFS(tblRed[VALOR OPERATIVO], tblRed[Nodo Inicial], $C4, tblRed[Nodo Final], H$3, tblRed[Activo], 1), 0)</f>
        <v>0</v>
      </c>
      <c r="I4" s="77">
        <f>IF(MatrizDeAdyacencia!I4=1, SUMIFS(tblRed[VALOR OPERATIVO], tblRed[Nodo Inicial], $C4, tblRed[Nodo Final], I$3, tblRed[Activo], 1), 0)</f>
        <v>0</v>
      </c>
      <c r="J4" s="77">
        <f>IF(MatrizDeAdyacencia!J4=1, SUMIFS(tblRed[VALOR OPERATIVO], tblRed[Nodo Inicial], $C4, tblRed[Nodo Final], J$3, tblRed[Activo], 1), 0)</f>
        <v>0</v>
      </c>
      <c r="K4" s="77">
        <f>IF(MatrizDeAdyacencia!K4=1, SUMIFS(tblRed[VALOR OPERATIVO], tblRed[Nodo Inicial], $C4, tblRed[Nodo Final], K$3, tblRed[Activo], 1), 0)</f>
        <v>0</v>
      </c>
      <c r="L4" s="77">
        <f>IF(MatrizDeAdyacencia!L4=1, SUMIFS(tblRed[VALOR OPERATIVO], tblRed[Nodo Inicial], $C4, tblRed[Nodo Final], L$3, tblRed[Activo], 1), 0)</f>
        <v>0</v>
      </c>
      <c r="M4" s="77">
        <f>IF(MatrizDeAdyacencia!M4=1, SUMIFS(tblRed[VALOR OPERATIVO], tblRed[Nodo Inicial], $C4, tblRed[Nodo Final], M$3, tblRed[Activo], 1), 0)</f>
        <v>0</v>
      </c>
      <c r="N4" s="77">
        <f>IF(MatrizDeAdyacencia!N4=1, SUMIFS(tblRed[VALOR OPERATIVO], tblRed[Nodo Inicial], $C4, tblRed[Nodo Final], N$3, tblRed[Activo], 1), 0)</f>
        <v>0</v>
      </c>
      <c r="O4" s="77">
        <f>IF(MatrizDeAdyacencia!O4=1, SUMIFS(tblRed[VALOR OPERATIVO], tblRed[Nodo Inicial], $C4, tblRed[Nodo Final], O$3, tblRed[Activo], 1), 0)</f>
        <v>9</v>
      </c>
      <c r="P4" s="77">
        <f>IF(MatrizDeAdyacencia!P4=1, SUMIFS(tblRed[VALOR OPERATIVO], tblRed[Nodo Inicial], $C4, tblRed[Nodo Final], P$3, tblRed[Activo], 1), 0)</f>
        <v>0</v>
      </c>
      <c r="Q4" s="77">
        <f>IF(MatrizDeAdyacencia!Q4=1, SUMIFS(tblRed[VALOR OPERATIVO], tblRed[Nodo Inicial], $C4, tblRed[Nodo Final], Q$3, tblRed[Activo], 1), 0)</f>
        <v>0</v>
      </c>
      <c r="R4" s="77">
        <f>IF(MatrizDeAdyacencia!R4=1, SUMIFS(tblRed[VALOR OPERATIVO], tblRed[Nodo Inicial], $C4, tblRed[Nodo Final], R$3, tblRed[Activo], 1), 0)</f>
        <v>0</v>
      </c>
      <c r="S4" s="77">
        <f>IF(MatrizDeAdyacencia!S4=1, SUMIFS(tblRed[VALOR OPERATIVO], tblRed[Nodo Inicial], $C4, tblRed[Nodo Final], S$3, tblRed[Activo], 1), 0)</f>
        <v>0</v>
      </c>
      <c r="T4" s="77">
        <f>IF(MatrizDeAdyacencia!T4=1, SUMIFS(tblRed[VALOR OPERATIVO], tblRed[Nodo Inicial], $C4, tblRed[Nodo Final], T$3, tblRed[Activo], 1), 0)</f>
        <v>0</v>
      </c>
      <c r="U4" s="77">
        <f>IF(MatrizDeAdyacencia!U4=1, SUMIFS(tblRed[VALOR OPERATIVO], tblRed[Nodo Inicial], $C4, tblRed[Nodo Final], U$3, tblRed[Activo], 1), 0)</f>
        <v>0</v>
      </c>
      <c r="V4" s="77">
        <f>IF(MatrizDeAdyacencia!V4=1, SUMIFS(tblRed[VALOR OPERATIVO], tblRed[Nodo Inicial], $C4, tblRed[Nodo Final], V$3, tblRed[Activo], 1), 0)</f>
        <v>10.5</v>
      </c>
      <c r="W4" s="78">
        <f>IF(MatrizDeAdyacencia!W4=1, SUMIFS(tblRed[VALOR OPERATIVO], tblRed[Nodo Inicial], $C4, tblRed[Nodo Final], W$3, tblRed[Activo], 1), 0)</f>
        <v>0</v>
      </c>
      <c r="X4" s="78">
        <f>IF(MatrizDeAdyacencia!X4=1, SUMIFS(tblRed[VALOR OPERATIVO], tblRed[Nodo Inicial], $C4, tblRed[Nodo Final], X$3, tblRed[Activo], 1), 0)</f>
        <v>0</v>
      </c>
      <c r="Y4" s="78">
        <f>IF(MatrizDeAdyacencia!Y4=1, SUMIFS(tblRed[VALOR OPERATIVO], tblRed[Nodo Inicial], $C4, tblRed[Nodo Final], Y$3, tblRed[Activo], 1), 0)</f>
        <v>0</v>
      </c>
      <c r="Z4" s="78">
        <f>IF(MatrizDeAdyacencia!Z4=1, SUMIFS(tblRed[VALOR OPERATIVO], tblRed[Nodo Inicial], $C4, tblRed[Nodo Final], Z$3, tblRed[Activo], 1), 0)</f>
        <v>0</v>
      </c>
      <c r="AA4" s="78">
        <f>IF(MatrizDeAdyacencia!AA4=1, SUMIFS(tblRed[VALOR OPERATIVO], tblRed[Nodo Inicial], $C4, tblRed[Nodo Final], AA$3, tblRed[Activo], 1), 0)</f>
        <v>0</v>
      </c>
      <c r="AB4" s="78">
        <f>IF(MatrizDeAdyacencia!AB4=1, SUMIFS(tblRed[VALOR OPERATIVO], tblRed[Nodo Inicial], $C4, tblRed[Nodo Final], AB$3, tblRed[Activo], 1), 0)</f>
        <v>0</v>
      </c>
      <c r="AC4" s="78">
        <f>IF(MatrizDeAdyacencia!AC4=1, SUMIFS(tblRed[VALOR OPERATIVO], tblRed[Nodo Inicial], $C4, tblRed[Nodo Final], AC$3, tblRed[Activo], 1), 0)</f>
        <v>0</v>
      </c>
      <c r="AD4" s="78">
        <f>IF(MatrizDeAdyacencia!AD4=1, SUMIFS(tblRed[VALOR OPERATIVO], tblRed[Nodo Inicial], $C4, tblRed[Nodo Final], AD$3, tblRed[Activo], 1), 0)</f>
        <v>0</v>
      </c>
      <c r="AE4" s="78">
        <f>IF(MatrizDeAdyacencia!AE4=1, SUMIFS(tblRed[VALOR OPERATIVO], tblRed[Nodo Inicial], $C4, tblRed[Nodo Final], AE$3, tblRed[Activo], 1), 0)</f>
        <v>0</v>
      </c>
      <c r="AF4" s="78">
        <f>IF(MatrizDeAdyacencia!AF4=1, SUMIFS(tblRed[VALOR OPERATIVO], tblRed[Nodo Inicial], $C4, tblRed[Nodo Final], AF$3, tblRed[Activo], 1), 0)</f>
        <v>0</v>
      </c>
      <c r="AG4" s="78">
        <f>IF(MatrizDeAdyacencia!AG4=1, SUMIFS(tblRed[VALOR OPERATIVO], tblRed[Nodo Inicial], $C4, tblRed[Nodo Final], AG$3, tblRed[Activo], 1), 0)</f>
        <v>0</v>
      </c>
      <c r="AH4" s="78">
        <f>IF(MatrizDeAdyacencia!AH4=1, SUMIFS(tblRed[VALOR OPERATIVO], tblRed[Nodo Inicial], $C4, tblRed[Nodo Final], AH$3, tblRed[Activo], 1), 0)</f>
        <v>0</v>
      </c>
    </row>
    <row r="5" spans="2:34" ht="17.25" customHeight="1" x14ac:dyDescent="0.25">
      <c r="B5" s="8" t="str">
        <f>VLOOKUP(tblMatrizPonderadaValorOperativo[[#This Row],[Nodo Orig.\Dest.]],tblNodos[],2,FALSE)</f>
        <v>Donaciones y apoyo individual / comunitario</v>
      </c>
      <c r="C5" s="4" t="s">
        <v>27</v>
      </c>
      <c r="D5" s="77">
        <f>IF(MatrizDeAdyacencia!D5=1, SUMIFS(tblRed[VALOR OPERATIVO], tblRed[Nodo Inicial], $C5, tblRed[Nodo Final], D$3, tblRed[Activo], 1), 0)</f>
        <v>0</v>
      </c>
      <c r="E5" s="77">
        <f>IF(MatrizDeAdyacencia!E5=1, SUMIFS(tblRed[VALOR OPERATIVO], tblRed[Nodo Inicial], $C5, tblRed[Nodo Final], E$3, tblRed[Activo], 1), 0)</f>
        <v>0</v>
      </c>
      <c r="F5" s="77">
        <f>IF(MatrizDeAdyacencia!F5=1, SUMIFS(tblRed[VALOR OPERATIVO], tblRed[Nodo Inicial], $C5, tblRed[Nodo Final], F$3, tblRed[Activo], 1), 0)</f>
        <v>0</v>
      </c>
      <c r="G5" s="77">
        <f>IF(MatrizDeAdyacencia!G5=1, SUMIFS(tblRed[VALOR OPERATIVO], tblRed[Nodo Inicial], $C5, tblRed[Nodo Final], G$3, tblRed[Activo], 1), 0)</f>
        <v>0</v>
      </c>
      <c r="H5" s="77">
        <f>IF(MatrizDeAdyacencia!H5=1, SUMIFS(tblRed[VALOR OPERATIVO], tblRed[Nodo Inicial], $C5, tblRed[Nodo Final], H$3, tblRed[Activo], 1), 0)</f>
        <v>0</v>
      </c>
      <c r="I5" s="77">
        <f>IF(MatrizDeAdyacencia!I5=1, SUMIFS(tblRed[VALOR OPERATIVO], tblRed[Nodo Inicial], $C5, tblRed[Nodo Final], I$3, tblRed[Activo], 1), 0)</f>
        <v>0</v>
      </c>
      <c r="J5" s="77">
        <f>IF(MatrizDeAdyacencia!J5=1, SUMIFS(tblRed[VALOR OPERATIVO], tblRed[Nodo Inicial], $C5, tblRed[Nodo Final], J$3, tblRed[Activo], 1), 0)</f>
        <v>0</v>
      </c>
      <c r="K5" s="77">
        <f>IF(MatrizDeAdyacencia!K5=1, SUMIFS(tblRed[VALOR OPERATIVO], tblRed[Nodo Inicial], $C5, tblRed[Nodo Final], K$3, tblRed[Activo], 1), 0)</f>
        <v>0</v>
      </c>
      <c r="L5" s="77">
        <f>IF(MatrizDeAdyacencia!L5=1, SUMIFS(tblRed[VALOR OPERATIVO], tblRed[Nodo Inicial], $C5, tblRed[Nodo Final], L$3, tblRed[Activo], 1), 0)</f>
        <v>8.8181818181818183</v>
      </c>
      <c r="M5" s="77">
        <f>IF(MatrizDeAdyacencia!M5=1, SUMIFS(tblRed[VALOR OPERATIVO], tblRed[Nodo Inicial], $C5, tblRed[Nodo Final], M$3, tblRed[Activo], 1), 0)</f>
        <v>0</v>
      </c>
      <c r="N5" s="77">
        <f>IF(MatrizDeAdyacencia!N5=1, SUMIFS(tblRed[VALOR OPERATIVO], tblRed[Nodo Inicial], $C5, tblRed[Nodo Final], N$3, tblRed[Activo], 1), 0)</f>
        <v>8.8064516129032242</v>
      </c>
      <c r="O5" s="77">
        <f>IF(MatrizDeAdyacencia!O5=1, SUMIFS(tblRed[VALOR OPERATIVO], tblRed[Nodo Inicial], $C5, tblRed[Nodo Final], O$3, tblRed[Activo], 1), 0)</f>
        <v>8.5</v>
      </c>
      <c r="P5" s="77">
        <f>IF(MatrizDeAdyacencia!P5=1, SUMIFS(tblRed[VALOR OPERATIVO], tblRed[Nodo Inicial], $C5, tblRed[Nodo Final], P$3, tblRed[Activo], 1), 0)</f>
        <v>0</v>
      </c>
      <c r="Q5" s="77">
        <f>IF(MatrizDeAdyacencia!Q5=1, SUMIFS(tblRed[VALOR OPERATIVO], tblRed[Nodo Inicial], $C5, tblRed[Nodo Final], Q$3, tblRed[Activo], 1), 0)</f>
        <v>0</v>
      </c>
      <c r="R5" s="77">
        <f>IF(MatrizDeAdyacencia!R5=1, SUMIFS(tblRed[VALOR OPERATIVO], tblRed[Nodo Inicial], $C5, tblRed[Nodo Final], R$3, tblRed[Activo], 1), 0)</f>
        <v>0</v>
      </c>
      <c r="S5" s="77">
        <f>IF(MatrizDeAdyacencia!S5=1, SUMIFS(tblRed[VALOR OPERATIVO], tblRed[Nodo Inicial], $C5, tblRed[Nodo Final], S$3, tblRed[Activo], 1), 0)</f>
        <v>0</v>
      </c>
      <c r="T5" s="77">
        <f>IF(MatrizDeAdyacencia!T5=1, SUMIFS(tblRed[VALOR OPERATIVO], tblRed[Nodo Inicial], $C5, tblRed[Nodo Final], T$3, tblRed[Activo], 1), 0)</f>
        <v>0</v>
      </c>
      <c r="U5" s="77">
        <f>IF(MatrizDeAdyacencia!U5=1, SUMIFS(tblRed[VALOR OPERATIVO], tblRed[Nodo Inicial], $C5, tblRed[Nodo Final], U$3, tblRed[Activo], 1), 0)</f>
        <v>0</v>
      </c>
      <c r="V5" s="79">
        <f>IF(MatrizDeAdyacencia!V5=1, SUMIFS(tblRed[VALOR OPERATIVO], tblRed[Nodo Inicial], $C5, tblRed[Nodo Final], V$3, tblRed[Activo], 1), 0)</f>
        <v>0</v>
      </c>
      <c r="W5" s="77">
        <f>IF(MatrizDeAdyacencia!W5=1, SUMIFS(tblRed[VALOR OPERATIVO], tblRed[Nodo Inicial], $C5, tblRed[Nodo Final], W$3, tblRed[Activo], 1), 0)</f>
        <v>0</v>
      </c>
      <c r="X5" s="77">
        <f>IF(MatrizDeAdyacencia!X5=1, SUMIFS(tblRed[VALOR OPERATIVO], tblRed[Nodo Inicial], $C5, tblRed[Nodo Final], X$3, tblRed[Activo], 1), 0)</f>
        <v>0</v>
      </c>
      <c r="Y5" s="77">
        <f>IF(MatrizDeAdyacencia!Y5=1, SUMIFS(tblRed[VALOR OPERATIVO], tblRed[Nodo Inicial], $C5, tblRed[Nodo Final], Y$3, tblRed[Activo], 1), 0)</f>
        <v>0</v>
      </c>
      <c r="Z5" s="77">
        <f>IF(MatrizDeAdyacencia!Z5=1, SUMIFS(tblRed[VALOR OPERATIVO], tblRed[Nodo Inicial], $C5, tblRed[Nodo Final], Z$3, tblRed[Activo], 1), 0)</f>
        <v>0</v>
      </c>
      <c r="AA5" s="77">
        <f>IF(MatrizDeAdyacencia!AA5=1, SUMIFS(tblRed[VALOR OPERATIVO], tblRed[Nodo Inicial], $C5, tblRed[Nodo Final], AA$3, tblRed[Activo], 1), 0)</f>
        <v>0</v>
      </c>
      <c r="AB5" s="77">
        <f>IF(MatrizDeAdyacencia!AB5=1, SUMIFS(tblRed[VALOR OPERATIVO], tblRed[Nodo Inicial], $C5, tblRed[Nodo Final], AB$3, tblRed[Activo], 1), 0)</f>
        <v>0</v>
      </c>
      <c r="AC5" s="77">
        <f>IF(MatrizDeAdyacencia!AC5=1, SUMIFS(tblRed[VALOR OPERATIVO], tblRed[Nodo Inicial], $C5, tblRed[Nodo Final], AC$3, tblRed[Activo], 1), 0)</f>
        <v>7.8235294117647065</v>
      </c>
      <c r="AD5" s="77">
        <f>IF(MatrizDeAdyacencia!AD5=1, SUMIFS(tblRed[VALOR OPERATIVO], tblRed[Nodo Inicial], $C5, tblRed[Nodo Final], AD$3, tblRed[Activo], 1), 0)</f>
        <v>0</v>
      </c>
      <c r="AE5" s="77">
        <f>IF(MatrizDeAdyacencia!AE5=1, SUMIFS(tblRed[VALOR OPERATIVO], tblRed[Nodo Inicial], $C5, tblRed[Nodo Final], AE$3, tblRed[Activo], 1), 0)</f>
        <v>0</v>
      </c>
      <c r="AF5" s="77">
        <f>IF(MatrizDeAdyacencia!AF5=1, SUMIFS(tblRed[VALOR OPERATIVO], tblRed[Nodo Inicial], $C5, tblRed[Nodo Final], AF$3, tblRed[Activo], 1), 0)</f>
        <v>0</v>
      </c>
      <c r="AG5" s="77">
        <f>IF(MatrizDeAdyacencia!AG5=1, SUMIFS(tblRed[VALOR OPERATIVO], tblRed[Nodo Inicial], $C5, tblRed[Nodo Final], AG$3, tblRed[Activo], 1), 0)</f>
        <v>0</v>
      </c>
      <c r="AH5" s="77">
        <f>IF(MatrizDeAdyacencia!AH5=1, SUMIFS(tblRed[VALOR OPERATIVO], tblRed[Nodo Inicial], $C5, tblRed[Nodo Final], AH$3, tblRed[Activo], 1), 0)</f>
        <v>0</v>
      </c>
    </row>
    <row r="6" spans="2:34" ht="17.25" customHeight="1" x14ac:dyDescent="0.25">
      <c r="B6" s="8" t="str">
        <f>VLOOKUP(tblMatrizPonderadaValorOperativo[[#This Row],[Nodo Orig.\Dest.]],tblNodos[],2,FALSE)</f>
        <v>Actividad comercial y empresarial</v>
      </c>
      <c r="C6" s="4" t="s">
        <v>29</v>
      </c>
      <c r="D6" s="77">
        <f>IF(MatrizDeAdyacencia!D6=1, SUMIFS(tblRed[VALOR OPERATIVO], tblRed[Nodo Inicial], $C6, tblRed[Nodo Final], D$3, tblRed[Activo], 1), 0)</f>
        <v>0</v>
      </c>
      <c r="E6" s="77">
        <f>IF(MatrizDeAdyacencia!E6=1, SUMIFS(tblRed[VALOR OPERATIVO], tblRed[Nodo Inicial], $C6, tblRed[Nodo Final], E$3, tblRed[Activo], 1), 0)</f>
        <v>0</v>
      </c>
      <c r="F6" s="77">
        <f>IF(MatrizDeAdyacencia!F6=1, SUMIFS(tblRed[VALOR OPERATIVO], tblRed[Nodo Inicial], $C6, tblRed[Nodo Final], F$3, tblRed[Activo], 1), 0)</f>
        <v>0</v>
      </c>
      <c r="G6" s="77">
        <f>IF(MatrizDeAdyacencia!G6=1, SUMIFS(tblRed[VALOR OPERATIVO], tblRed[Nodo Inicial], $C6, tblRed[Nodo Final], G$3, tblRed[Activo], 1), 0)</f>
        <v>0</v>
      </c>
      <c r="H6" s="77">
        <f>IF(MatrizDeAdyacencia!H6=1, SUMIFS(tblRed[VALOR OPERATIVO], tblRed[Nodo Inicial], $C6, tblRed[Nodo Final], H$3, tblRed[Activo], 1), 0)</f>
        <v>0</v>
      </c>
      <c r="I6" s="77">
        <f>IF(MatrizDeAdyacencia!I6=1, SUMIFS(tblRed[VALOR OPERATIVO], tblRed[Nodo Inicial], $C6, tblRed[Nodo Final], I$3, tblRed[Activo], 1), 0)</f>
        <v>0</v>
      </c>
      <c r="J6" s="77">
        <f>IF(MatrizDeAdyacencia!J6=1, SUMIFS(tblRed[VALOR OPERATIVO], tblRed[Nodo Inicial], $C6, tblRed[Nodo Final], J$3, tblRed[Activo], 1), 0)</f>
        <v>0</v>
      </c>
      <c r="K6" s="77">
        <f>IF(MatrizDeAdyacencia!K6=1, SUMIFS(tblRed[VALOR OPERATIVO], tblRed[Nodo Inicial], $C6, tblRed[Nodo Final], K$3, tblRed[Activo], 1), 0)</f>
        <v>0</v>
      </c>
      <c r="L6" s="77">
        <f>IF(MatrizDeAdyacencia!L6=1, SUMIFS(tblRed[VALOR OPERATIVO], tblRed[Nodo Inicial], $C6, tblRed[Nodo Final], L$3, tblRed[Activo], 1), 0)</f>
        <v>0</v>
      </c>
      <c r="M6" s="77">
        <f>IF(MatrizDeAdyacencia!M6=1, SUMIFS(tblRed[VALOR OPERATIVO], tblRed[Nodo Inicial], $C6, tblRed[Nodo Final], M$3, tblRed[Activo], 1), 0)</f>
        <v>0</v>
      </c>
      <c r="N6" s="77">
        <f>IF(MatrizDeAdyacencia!N6=1, SUMIFS(tblRed[VALOR OPERATIVO], tblRed[Nodo Inicial], $C6, tblRed[Nodo Final], N$3, tblRed[Activo], 1), 0)</f>
        <v>0</v>
      </c>
      <c r="O6" s="77">
        <f>IF(MatrizDeAdyacencia!O6=1, SUMIFS(tblRed[VALOR OPERATIVO], tblRed[Nodo Inicial], $C6, tblRed[Nodo Final], O$3, tblRed[Activo], 1), 0)</f>
        <v>0</v>
      </c>
      <c r="P6" s="77">
        <f>IF(MatrizDeAdyacencia!P6=1, SUMIFS(tblRed[VALOR OPERATIVO], tblRed[Nodo Inicial], $C6, tblRed[Nodo Final], P$3, tblRed[Activo], 1), 0)</f>
        <v>8.6923076923076934</v>
      </c>
      <c r="Q6" s="77">
        <f>IF(MatrizDeAdyacencia!Q6=1, SUMIFS(tblRed[VALOR OPERATIVO], tblRed[Nodo Inicial], $C6, tblRed[Nodo Final], Q$3, tblRed[Activo], 1), 0)</f>
        <v>0</v>
      </c>
      <c r="R6" s="77">
        <f>IF(MatrizDeAdyacencia!R6=1, SUMIFS(tblRed[VALOR OPERATIVO], tblRed[Nodo Inicial], $C6, tblRed[Nodo Final], R$3, tblRed[Activo], 1), 0)</f>
        <v>0</v>
      </c>
      <c r="S6" s="77">
        <f>IF(MatrizDeAdyacencia!S6=1, SUMIFS(tblRed[VALOR OPERATIVO], tblRed[Nodo Inicial], $C6, tblRed[Nodo Final], S$3, tblRed[Activo], 1), 0)</f>
        <v>0</v>
      </c>
      <c r="T6" s="77">
        <f>IF(MatrizDeAdyacencia!T6=1, SUMIFS(tblRed[VALOR OPERATIVO], tblRed[Nodo Inicial], $C6, tblRed[Nodo Final], T$3, tblRed[Activo], 1), 0)</f>
        <v>0</v>
      </c>
      <c r="U6" s="77">
        <f>IF(MatrizDeAdyacencia!U6=1, SUMIFS(tblRed[VALOR OPERATIVO], tblRed[Nodo Inicial], $C6, tblRed[Nodo Final], U$3, tblRed[Activo], 1), 0)</f>
        <v>0</v>
      </c>
      <c r="V6" s="79">
        <f>IF(MatrizDeAdyacencia!V6=1, SUMIFS(tblRed[VALOR OPERATIVO], tblRed[Nodo Inicial], $C6, tblRed[Nodo Final], V$3, tblRed[Activo], 1), 0)</f>
        <v>0</v>
      </c>
      <c r="W6" s="77">
        <f>IF(MatrizDeAdyacencia!W6=1, SUMIFS(tblRed[VALOR OPERATIVO], tblRed[Nodo Inicial], $C6, tblRed[Nodo Final], W$3, tblRed[Activo], 1), 0)</f>
        <v>0</v>
      </c>
      <c r="X6" s="77">
        <f>IF(MatrizDeAdyacencia!X6=1, SUMIFS(tblRed[VALOR OPERATIVO], tblRed[Nodo Inicial], $C6, tblRed[Nodo Final], X$3, tblRed[Activo], 1), 0)</f>
        <v>0</v>
      </c>
      <c r="Y6" s="77">
        <f>IF(MatrizDeAdyacencia!Y6=1, SUMIFS(tblRed[VALOR OPERATIVO], tblRed[Nodo Inicial], $C6, tblRed[Nodo Final], Y$3, tblRed[Activo], 1), 0)</f>
        <v>0</v>
      </c>
      <c r="Z6" s="77">
        <f>IF(MatrizDeAdyacencia!Z6=1, SUMIFS(tblRed[VALOR OPERATIVO], tblRed[Nodo Inicial], $C6, tblRed[Nodo Final], Z$3, tblRed[Activo], 1), 0)</f>
        <v>0</v>
      </c>
      <c r="AA6" s="77">
        <f>IF(MatrizDeAdyacencia!AA6=1, SUMIFS(tblRed[VALOR OPERATIVO], tblRed[Nodo Inicial], $C6, tblRed[Nodo Final], AA$3, tblRed[Activo], 1), 0)</f>
        <v>0</v>
      </c>
      <c r="AB6" s="77">
        <f>IF(MatrizDeAdyacencia!AB6=1, SUMIFS(tblRed[VALOR OPERATIVO], tblRed[Nodo Inicial], $C6, tblRed[Nodo Final], AB$3, tblRed[Activo], 1), 0)</f>
        <v>0</v>
      </c>
      <c r="AC6" s="77">
        <f>IF(MatrizDeAdyacencia!AC6=1, SUMIFS(tblRed[VALOR OPERATIVO], tblRed[Nodo Inicial], $C6, tblRed[Nodo Final], AC$3, tblRed[Activo], 1), 0)</f>
        <v>0</v>
      </c>
      <c r="AD6" s="77">
        <f>IF(MatrizDeAdyacencia!AD6=1, SUMIFS(tblRed[VALOR OPERATIVO], tblRed[Nodo Inicial], $C6, tblRed[Nodo Final], AD$3, tblRed[Activo], 1), 0)</f>
        <v>0</v>
      </c>
      <c r="AE6" s="77">
        <f>IF(MatrizDeAdyacencia!AE6=1, SUMIFS(tblRed[VALOR OPERATIVO], tblRed[Nodo Inicial], $C6, tblRed[Nodo Final], AE$3, tblRed[Activo], 1), 0)</f>
        <v>0</v>
      </c>
      <c r="AF6" s="77">
        <f>IF(MatrizDeAdyacencia!AF6=1, SUMIFS(tblRed[VALOR OPERATIVO], tblRed[Nodo Inicial], $C6, tblRed[Nodo Final], AF$3, tblRed[Activo], 1), 0)</f>
        <v>0</v>
      </c>
      <c r="AG6" s="77">
        <f>IF(MatrizDeAdyacencia!AG6=1, SUMIFS(tblRed[VALOR OPERATIVO], tblRed[Nodo Inicial], $C6, tblRed[Nodo Final], AG$3, tblRed[Activo], 1), 0)</f>
        <v>0</v>
      </c>
      <c r="AH6" s="77">
        <f>IF(MatrizDeAdyacencia!AH6=1, SUMIFS(tblRed[VALOR OPERATIVO], tblRed[Nodo Inicial], $C6, tblRed[Nodo Final], AH$3, tblRed[Activo], 1), 0)</f>
        <v>0</v>
      </c>
    </row>
    <row r="7" spans="2:34" ht="17.25" customHeight="1" x14ac:dyDescent="0.25">
      <c r="B7" s="8" t="str">
        <f>VLOOKUP(tblMatrizPonderadaValorOperativo[[#This Row],[Nodo Orig.\Dest.]],tblNodos[],2,FALSE)</f>
        <v>Financiación mediante coerción y exacción</v>
      </c>
      <c r="C7" s="4" t="s">
        <v>31</v>
      </c>
      <c r="D7" s="77">
        <f>IF(MatrizDeAdyacencia!D7=1, SUMIFS(tblRed[VALOR OPERATIVO], tblRed[Nodo Inicial], $C7, tblRed[Nodo Final], D$3, tblRed[Activo], 1), 0)</f>
        <v>0</v>
      </c>
      <c r="E7" s="77">
        <f>IF(MatrizDeAdyacencia!E7=1, SUMIFS(tblRed[VALOR OPERATIVO], tblRed[Nodo Inicial], $C7, tblRed[Nodo Final], E$3, tblRed[Activo], 1), 0)</f>
        <v>0</v>
      </c>
      <c r="F7" s="77">
        <f>IF(MatrizDeAdyacencia!F7=1, SUMIFS(tblRed[VALOR OPERATIVO], tblRed[Nodo Inicial], $C7, tblRed[Nodo Final], F$3, tblRed[Activo], 1), 0)</f>
        <v>0</v>
      </c>
      <c r="G7" s="77">
        <f>IF(MatrizDeAdyacencia!G7=1, SUMIFS(tblRed[VALOR OPERATIVO], tblRed[Nodo Inicial], $C7, tblRed[Nodo Final], G$3, tblRed[Activo], 1), 0)</f>
        <v>0</v>
      </c>
      <c r="H7" s="77">
        <f>IF(MatrizDeAdyacencia!H7=1, SUMIFS(tblRed[VALOR OPERATIVO], tblRed[Nodo Inicial], $C7, tblRed[Nodo Final], H$3, tblRed[Activo], 1), 0)</f>
        <v>0</v>
      </c>
      <c r="I7" s="77">
        <f>IF(MatrizDeAdyacencia!I7=1, SUMIFS(tblRed[VALOR OPERATIVO], tblRed[Nodo Inicial], $C7, tblRed[Nodo Final], I$3, tblRed[Activo], 1), 0)</f>
        <v>0</v>
      </c>
      <c r="J7" s="77">
        <f>IF(MatrizDeAdyacencia!J7=1, SUMIFS(tblRed[VALOR OPERATIVO], tblRed[Nodo Inicial], $C7, tblRed[Nodo Final], J$3, tblRed[Activo], 1), 0)</f>
        <v>0</v>
      </c>
      <c r="K7" s="77">
        <f>IF(MatrizDeAdyacencia!K7=1, SUMIFS(tblRed[VALOR OPERATIVO], tblRed[Nodo Inicial], $C7, tblRed[Nodo Final], K$3, tblRed[Activo], 1), 0)</f>
        <v>0</v>
      </c>
      <c r="L7" s="77">
        <f>IF(MatrizDeAdyacencia!L7=1, SUMIFS(tblRed[VALOR OPERATIVO], tblRed[Nodo Inicial], $C7, tblRed[Nodo Final], L$3, tblRed[Activo], 1), 0)</f>
        <v>8.2307692307692299</v>
      </c>
      <c r="M7" s="77">
        <f>IF(MatrizDeAdyacencia!M7=1, SUMIFS(tblRed[VALOR OPERATIVO], tblRed[Nodo Inicial], $C7, tblRed[Nodo Final], M$3, tblRed[Activo], 1), 0)</f>
        <v>0</v>
      </c>
      <c r="N7" s="77">
        <f>IF(MatrizDeAdyacencia!N7=1, SUMIFS(tblRed[VALOR OPERATIVO], tblRed[Nodo Inicial], $C7, tblRed[Nodo Final], N$3, tblRed[Activo], 1), 0)</f>
        <v>0</v>
      </c>
      <c r="O7" s="77">
        <f>IF(MatrizDeAdyacencia!O7=1, SUMIFS(tblRed[VALOR OPERATIVO], tblRed[Nodo Inicial], $C7, tblRed[Nodo Final], O$3, tblRed[Activo], 1), 0)</f>
        <v>0</v>
      </c>
      <c r="P7" s="77">
        <f>IF(MatrizDeAdyacencia!P7=1, SUMIFS(tblRed[VALOR OPERATIVO], tblRed[Nodo Inicial], $C7, tblRed[Nodo Final], P$3, tblRed[Activo], 1), 0)</f>
        <v>0</v>
      </c>
      <c r="Q7" s="77">
        <f>IF(MatrizDeAdyacencia!Q7=1, SUMIFS(tblRed[VALOR OPERATIVO], tblRed[Nodo Inicial], $C7, tblRed[Nodo Final], Q$3, tblRed[Activo], 1), 0)</f>
        <v>0</v>
      </c>
      <c r="R7" s="77">
        <f>IF(MatrizDeAdyacencia!R7=1, SUMIFS(tblRed[VALOR OPERATIVO], tblRed[Nodo Inicial], $C7, tblRed[Nodo Final], R$3, tblRed[Activo], 1), 0)</f>
        <v>0</v>
      </c>
      <c r="S7" s="77">
        <f>IF(MatrizDeAdyacencia!S7=1, SUMIFS(tblRed[VALOR OPERATIVO], tblRed[Nodo Inicial], $C7, tblRed[Nodo Final], S$3, tblRed[Activo], 1), 0)</f>
        <v>0</v>
      </c>
      <c r="T7" s="77">
        <f>IF(MatrizDeAdyacencia!T7=1, SUMIFS(tblRed[VALOR OPERATIVO], tblRed[Nodo Inicial], $C7, tblRed[Nodo Final], T$3, tblRed[Activo], 1), 0)</f>
        <v>0</v>
      </c>
      <c r="U7" s="77">
        <f>IF(MatrizDeAdyacencia!U7=1, SUMIFS(tblRed[VALOR OPERATIVO], tblRed[Nodo Inicial], $C7, tblRed[Nodo Final], U$3, tblRed[Activo], 1), 0)</f>
        <v>0</v>
      </c>
      <c r="V7" s="79">
        <f>IF(MatrizDeAdyacencia!V7=1, SUMIFS(tblRed[VALOR OPERATIVO], tblRed[Nodo Inicial], $C7, tblRed[Nodo Final], V$3, tblRed[Activo], 1), 0)</f>
        <v>0</v>
      </c>
      <c r="W7" s="77">
        <f>IF(MatrizDeAdyacencia!W7=1, SUMIFS(tblRed[VALOR OPERATIVO], tblRed[Nodo Inicial], $C7, tblRed[Nodo Final], W$3, tblRed[Activo], 1), 0)</f>
        <v>0</v>
      </c>
      <c r="X7" s="77">
        <f>IF(MatrizDeAdyacencia!X7=1, SUMIFS(tblRed[VALOR OPERATIVO], tblRed[Nodo Inicial], $C7, tblRed[Nodo Final], X$3, tblRed[Activo], 1), 0)</f>
        <v>0</v>
      </c>
      <c r="Y7" s="77">
        <f>IF(MatrizDeAdyacencia!Y7=1, SUMIFS(tblRed[VALOR OPERATIVO], tblRed[Nodo Inicial], $C7, tblRed[Nodo Final], Y$3, tblRed[Activo], 1), 0)</f>
        <v>0</v>
      </c>
      <c r="Z7" s="77">
        <f>IF(MatrizDeAdyacencia!Z7=1, SUMIFS(tblRed[VALOR OPERATIVO], tblRed[Nodo Inicial], $C7, tblRed[Nodo Final], Z$3, tblRed[Activo], 1), 0)</f>
        <v>0</v>
      </c>
      <c r="AA7" s="77">
        <f>IF(MatrizDeAdyacencia!AA7=1, SUMIFS(tblRed[VALOR OPERATIVO], tblRed[Nodo Inicial], $C7, tblRed[Nodo Final], AA$3, tblRed[Activo], 1), 0)</f>
        <v>0</v>
      </c>
      <c r="AB7" s="77">
        <f>IF(MatrizDeAdyacencia!AB7=1, SUMIFS(tblRed[VALOR OPERATIVO], tblRed[Nodo Inicial], $C7, tblRed[Nodo Final], AB$3, tblRed[Activo], 1), 0)</f>
        <v>0</v>
      </c>
      <c r="AC7" s="77">
        <f>IF(MatrizDeAdyacencia!AC7=1, SUMIFS(tblRed[VALOR OPERATIVO], tblRed[Nodo Inicial], $C7, tblRed[Nodo Final], AC$3, tblRed[Activo], 1), 0)</f>
        <v>0</v>
      </c>
      <c r="AD7" s="77">
        <f>IF(MatrizDeAdyacencia!AD7=1, SUMIFS(tblRed[VALOR OPERATIVO], tblRed[Nodo Inicial], $C7, tblRed[Nodo Final], AD$3, tblRed[Activo], 1), 0)</f>
        <v>0</v>
      </c>
      <c r="AE7" s="77">
        <f>IF(MatrizDeAdyacencia!AE7=1, SUMIFS(tblRed[VALOR OPERATIVO], tblRed[Nodo Inicial], $C7, tblRed[Nodo Final], AE$3, tblRed[Activo], 1), 0)</f>
        <v>0</v>
      </c>
      <c r="AF7" s="77">
        <f>IF(MatrizDeAdyacencia!AF7=1, SUMIFS(tblRed[VALOR OPERATIVO], tblRed[Nodo Inicial], $C7, tblRed[Nodo Final], AF$3, tblRed[Activo], 1), 0)</f>
        <v>0</v>
      </c>
      <c r="AG7" s="77">
        <f>IF(MatrizDeAdyacencia!AG7=1, SUMIFS(tblRed[VALOR OPERATIVO], tblRed[Nodo Inicial], $C7, tblRed[Nodo Final], AG$3, tblRed[Activo], 1), 0)</f>
        <v>0</v>
      </c>
      <c r="AH7" s="77">
        <f>IF(MatrizDeAdyacencia!AH7=1, SUMIFS(tblRed[VALOR OPERATIVO], tblRed[Nodo Inicial], $C7, tblRed[Nodo Final], AH$3, tblRed[Activo], 1), 0)</f>
        <v>0</v>
      </c>
    </row>
    <row r="8" spans="2:34" ht="17.25" customHeight="1" x14ac:dyDescent="0.25">
      <c r="B8" s="8" t="str">
        <f>VLOOKUP(tblMatrizPonderadaValorOperativo[[#This Row],[Nodo Orig.\Dest.]],tblNodos[],2,FALSE)</f>
        <v>Explotación de personas y movilidad forzada</v>
      </c>
      <c r="C8" s="4" t="s">
        <v>33</v>
      </c>
      <c r="D8" s="77">
        <f>IF(MatrizDeAdyacencia!D8=1, SUMIFS(tblRed[VALOR OPERATIVO], tblRed[Nodo Inicial], $C8, tblRed[Nodo Final], D$3, tblRed[Activo], 1), 0)</f>
        <v>0</v>
      </c>
      <c r="E8" s="77">
        <f>IF(MatrizDeAdyacencia!E8=1, SUMIFS(tblRed[VALOR OPERATIVO], tblRed[Nodo Inicial], $C8, tblRed[Nodo Final], E$3, tblRed[Activo], 1), 0)</f>
        <v>0</v>
      </c>
      <c r="F8" s="77">
        <f>IF(MatrizDeAdyacencia!F8=1, SUMIFS(tblRed[VALOR OPERATIVO], tblRed[Nodo Inicial], $C8, tblRed[Nodo Final], F$3, tblRed[Activo], 1), 0)</f>
        <v>0</v>
      </c>
      <c r="G8" s="77">
        <f>IF(MatrizDeAdyacencia!G8=1, SUMIFS(tblRed[VALOR OPERATIVO], tblRed[Nodo Inicial], $C8, tblRed[Nodo Final], G$3, tblRed[Activo], 1), 0)</f>
        <v>0</v>
      </c>
      <c r="H8" s="77">
        <f>IF(MatrizDeAdyacencia!H8=1, SUMIFS(tblRed[VALOR OPERATIVO], tblRed[Nodo Inicial], $C8, tblRed[Nodo Final], H$3, tblRed[Activo], 1), 0)</f>
        <v>0</v>
      </c>
      <c r="I8" s="77">
        <f>IF(MatrizDeAdyacencia!I8=1, SUMIFS(tblRed[VALOR OPERATIVO], tblRed[Nodo Inicial], $C8, tblRed[Nodo Final], I$3, tblRed[Activo], 1), 0)</f>
        <v>0</v>
      </c>
      <c r="J8" s="77">
        <f>IF(MatrizDeAdyacencia!J8=1, SUMIFS(tblRed[VALOR OPERATIVO], tblRed[Nodo Inicial], $C8, tblRed[Nodo Final], J$3, tblRed[Activo], 1), 0)</f>
        <v>0</v>
      </c>
      <c r="K8" s="77">
        <f>IF(MatrizDeAdyacencia!K8=1, SUMIFS(tblRed[VALOR OPERATIVO], tblRed[Nodo Inicial], $C8, tblRed[Nodo Final], K$3, tblRed[Activo], 1), 0)</f>
        <v>0</v>
      </c>
      <c r="L8" s="77">
        <f>IF(MatrizDeAdyacencia!L8=1, SUMIFS(tblRed[VALOR OPERATIVO], tblRed[Nodo Inicial], $C8, tblRed[Nodo Final], L$3, tblRed[Activo], 1), 0)</f>
        <v>8.8000000000000007</v>
      </c>
      <c r="M8" s="77">
        <f>IF(MatrizDeAdyacencia!M8=1, SUMIFS(tblRed[VALOR OPERATIVO], tblRed[Nodo Inicial], $C8, tblRed[Nodo Final], M$3, tblRed[Activo], 1), 0)</f>
        <v>0</v>
      </c>
      <c r="N8" s="77">
        <f>IF(MatrizDeAdyacencia!N8=1, SUMIFS(tblRed[VALOR OPERATIVO], tblRed[Nodo Inicial], $C8, tblRed[Nodo Final], N$3, tblRed[Activo], 1), 0)</f>
        <v>0</v>
      </c>
      <c r="O8" s="77">
        <f>IF(MatrizDeAdyacencia!O8=1, SUMIFS(tblRed[VALOR OPERATIVO], tblRed[Nodo Inicial], $C8, tblRed[Nodo Final], O$3, tblRed[Activo], 1), 0)</f>
        <v>0</v>
      </c>
      <c r="P8" s="77">
        <f>IF(MatrizDeAdyacencia!P8=1, SUMIFS(tblRed[VALOR OPERATIVO], tblRed[Nodo Inicial], $C8, tblRed[Nodo Final], P$3, tblRed[Activo], 1), 0)</f>
        <v>0</v>
      </c>
      <c r="Q8" s="77">
        <f>IF(MatrizDeAdyacencia!Q8=1, SUMIFS(tblRed[VALOR OPERATIVO], tblRed[Nodo Inicial], $C8, tblRed[Nodo Final], Q$3, tblRed[Activo], 1), 0)</f>
        <v>0</v>
      </c>
      <c r="R8" s="77">
        <f>IF(MatrizDeAdyacencia!R8=1, SUMIFS(tblRed[VALOR OPERATIVO], tblRed[Nodo Inicial], $C8, tblRed[Nodo Final], R$3, tblRed[Activo], 1), 0)</f>
        <v>0</v>
      </c>
      <c r="S8" s="77">
        <f>IF(MatrizDeAdyacencia!S8=1, SUMIFS(tblRed[VALOR OPERATIVO], tblRed[Nodo Inicial], $C8, tblRed[Nodo Final], S$3, tblRed[Activo], 1), 0)</f>
        <v>0</v>
      </c>
      <c r="T8" s="77">
        <f>IF(MatrizDeAdyacencia!T8=1, SUMIFS(tblRed[VALOR OPERATIVO], tblRed[Nodo Inicial], $C8, tblRed[Nodo Final], T$3, tblRed[Activo], 1), 0)</f>
        <v>0</v>
      </c>
      <c r="U8" s="77">
        <f>IF(MatrizDeAdyacencia!U8=1, SUMIFS(tblRed[VALOR OPERATIVO], tblRed[Nodo Inicial], $C8, tblRed[Nodo Final], U$3, tblRed[Activo], 1), 0)</f>
        <v>0</v>
      </c>
      <c r="V8" s="79">
        <f>IF(MatrizDeAdyacencia!V8=1, SUMIFS(tblRed[VALOR OPERATIVO], tblRed[Nodo Inicial], $C8, tblRed[Nodo Final], V$3, tblRed[Activo], 1), 0)</f>
        <v>0</v>
      </c>
      <c r="W8" s="77">
        <f>IF(MatrizDeAdyacencia!W8=1, SUMIFS(tblRed[VALOR OPERATIVO], tblRed[Nodo Inicial], $C8, tblRed[Nodo Final], W$3, tblRed[Activo], 1), 0)</f>
        <v>0</v>
      </c>
      <c r="X8" s="77">
        <f>IF(MatrizDeAdyacencia!X8=1, SUMIFS(tblRed[VALOR OPERATIVO], tblRed[Nodo Inicial], $C8, tblRed[Nodo Final], X$3, tblRed[Activo], 1), 0)</f>
        <v>0</v>
      </c>
      <c r="Y8" s="77">
        <f>IF(MatrizDeAdyacencia!Y8=1, SUMIFS(tblRed[VALOR OPERATIVO], tblRed[Nodo Inicial], $C8, tblRed[Nodo Final], Y$3, tblRed[Activo], 1), 0)</f>
        <v>0</v>
      </c>
      <c r="Z8" s="77">
        <f>IF(MatrizDeAdyacencia!Z8=1, SUMIFS(tblRed[VALOR OPERATIVO], tblRed[Nodo Inicial], $C8, tblRed[Nodo Final], Z$3, tblRed[Activo], 1), 0)</f>
        <v>0</v>
      </c>
      <c r="AA8" s="77">
        <f>IF(MatrizDeAdyacencia!AA8=1, SUMIFS(tblRed[VALOR OPERATIVO], tblRed[Nodo Inicial], $C8, tblRed[Nodo Final], AA$3, tblRed[Activo], 1), 0)</f>
        <v>0</v>
      </c>
      <c r="AB8" s="77">
        <f>IF(MatrizDeAdyacencia!AB8=1, SUMIFS(tblRed[VALOR OPERATIVO], tblRed[Nodo Inicial], $C8, tblRed[Nodo Final], AB$3, tblRed[Activo], 1), 0)</f>
        <v>0</v>
      </c>
      <c r="AC8" s="77">
        <f>IF(MatrizDeAdyacencia!AC8=1, SUMIFS(tblRed[VALOR OPERATIVO], tblRed[Nodo Inicial], $C8, tblRed[Nodo Final], AC$3, tblRed[Activo], 1), 0)</f>
        <v>8</v>
      </c>
      <c r="AD8" s="77">
        <f>IF(MatrizDeAdyacencia!AD8=1, SUMIFS(tblRed[VALOR OPERATIVO], tblRed[Nodo Inicial], $C8, tblRed[Nodo Final], AD$3, tblRed[Activo], 1), 0)</f>
        <v>0</v>
      </c>
      <c r="AE8" s="77">
        <f>IF(MatrizDeAdyacencia!AE8=1, SUMIFS(tblRed[VALOR OPERATIVO], tblRed[Nodo Inicial], $C8, tblRed[Nodo Final], AE$3, tblRed[Activo], 1), 0)</f>
        <v>0</v>
      </c>
      <c r="AF8" s="77">
        <f>IF(MatrizDeAdyacencia!AF8=1, SUMIFS(tblRed[VALOR OPERATIVO], tblRed[Nodo Inicial], $C8, tblRed[Nodo Final], AF$3, tblRed[Activo], 1), 0)</f>
        <v>0</v>
      </c>
      <c r="AG8" s="77">
        <f>IF(MatrizDeAdyacencia!AG8=1, SUMIFS(tblRed[VALOR OPERATIVO], tblRed[Nodo Inicial], $C8, tblRed[Nodo Final], AG$3, tblRed[Activo], 1), 0)</f>
        <v>0</v>
      </c>
      <c r="AH8" s="77">
        <f>IF(MatrizDeAdyacencia!AH8=1, SUMIFS(tblRed[VALOR OPERATIVO], tblRed[Nodo Inicial], $C8, tblRed[Nodo Final], AH$3, tblRed[Activo], 1), 0)</f>
        <v>0</v>
      </c>
    </row>
    <row r="9" spans="2:34" ht="17.25" customHeight="1" x14ac:dyDescent="0.25">
      <c r="B9" s="8" t="str">
        <f>VLOOKUP(tblMatrizPonderadaValorOperativo[[#This Row],[Nodo Orig.\Dest.]],tblNodos[],2,FALSE)</f>
        <v>Actividades criminales y mercados ilícitos</v>
      </c>
      <c r="C9" s="4" t="s">
        <v>35</v>
      </c>
      <c r="D9" s="77">
        <f>IF(MatrizDeAdyacencia!D9=1, SUMIFS(tblRed[VALOR OPERATIVO], tblRed[Nodo Inicial], $C9, tblRed[Nodo Final], D$3, tblRed[Activo], 1), 0)</f>
        <v>0</v>
      </c>
      <c r="E9" s="77">
        <f>IF(MatrizDeAdyacencia!E9=1, SUMIFS(tblRed[VALOR OPERATIVO], tblRed[Nodo Inicial], $C9, tblRed[Nodo Final], E$3, tblRed[Activo], 1), 0)</f>
        <v>0</v>
      </c>
      <c r="F9" s="77">
        <f>IF(MatrizDeAdyacencia!F9=1, SUMIFS(tblRed[VALOR OPERATIVO], tblRed[Nodo Inicial], $C9, tblRed[Nodo Final], F$3, tblRed[Activo], 1), 0)</f>
        <v>0</v>
      </c>
      <c r="G9" s="77">
        <f>IF(MatrizDeAdyacencia!G9=1, SUMIFS(tblRed[VALOR OPERATIVO], tblRed[Nodo Inicial], $C9, tblRed[Nodo Final], G$3, tblRed[Activo], 1), 0)</f>
        <v>0</v>
      </c>
      <c r="H9" s="77">
        <f>IF(MatrizDeAdyacencia!H9=1, SUMIFS(tblRed[VALOR OPERATIVO], tblRed[Nodo Inicial], $C9, tblRed[Nodo Final], H$3, tblRed[Activo], 1), 0)</f>
        <v>0</v>
      </c>
      <c r="I9" s="77">
        <f>IF(MatrizDeAdyacencia!I9=1, SUMIFS(tblRed[VALOR OPERATIVO], tblRed[Nodo Inicial], $C9, tblRed[Nodo Final], I$3, tblRed[Activo], 1), 0)</f>
        <v>0</v>
      </c>
      <c r="J9" s="77">
        <f>IF(MatrizDeAdyacencia!J9=1, SUMIFS(tblRed[VALOR OPERATIVO], tblRed[Nodo Inicial], $C9, tblRed[Nodo Final], J$3, tblRed[Activo], 1), 0)</f>
        <v>0</v>
      </c>
      <c r="K9" s="77">
        <f>IF(MatrizDeAdyacencia!K9=1, SUMIFS(tblRed[VALOR OPERATIVO], tblRed[Nodo Inicial], $C9, tblRed[Nodo Final], K$3, tblRed[Activo], 1), 0)</f>
        <v>0</v>
      </c>
      <c r="L9" s="77">
        <f>IF(MatrizDeAdyacencia!L9=1, SUMIFS(tblRed[VALOR OPERATIVO], tblRed[Nodo Inicial], $C9, tblRed[Nodo Final], L$3, tblRed[Activo], 1), 0)</f>
        <v>0</v>
      </c>
      <c r="M9" s="77">
        <f>IF(MatrizDeAdyacencia!M9=1, SUMIFS(tblRed[VALOR OPERATIVO], tblRed[Nodo Inicial], $C9, tblRed[Nodo Final], M$3, tblRed[Activo], 1), 0)</f>
        <v>0</v>
      </c>
      <c r="N9" s="77">
        <f>IF(MatrizDeAdyacencia!N9=1, SUMIFS(tblRed[VALOR OPERATIVO], tblRed[Nodo Inicial], $C9, tblRed[Nodo Final], N$3, tblRed[Activo], 1), 0)</f>
        <v>0</v>
      </c>
      <c r="O9" s="77">
        <f>IF(MatrizDeAdyacencia!O9=1, SUMIFS(tblRed[VALOR OPERATIVO], tblRed[Nodo Inicial], $C9, tblRed[Nodo Final], O$3, tblRed[Activo], 1), 0)</f>
        <v>0</v>
      </c>
      <c r="P9" s="77">
        <f>IF(MatrizDeAdyacencia!P9=1, SUMIFS(tblRed[VALOR OPERATIVO], tblRed[Nodo Inicial], $C9, tblRed[Nodo Final], P$3, tblRed[Activo], 1), 0)</f>
        <v>0</v>
      </c>
      <c r="Q9" s="77">
        <f>IF(MatrizDeAdyacencia!Q9=1, SUMIFS(tblRed[VALOR OPERATIVO], tblRed[Nodo Inicial], $C9, tblRed[Nodo Final], Q$3, tblRed[Activo], 1), 0)</f>
        <v>0</v>
      </c>
      <c r="R9" s="77">
        <f>IF(MatrizDeAdyacencia!R9=1, SUMIFS(tblRed[VALOR OPERATIVO], tblRed[Nodo Inicial], $C9, tblRed[Nodo Final], R$3, tblRed[Activo], 1), 0)</f>
        <v>0</v>
      </c>
      <c r="S9" s="77">
        <f>IF(MatrizDeAdyacencia!S9=1, SUMIFS(tblRed[VALOR OPERATIVO], tblRed[Nodo Inicial], $C9, tblRed[Nodo Final], S$3, tblRed[Activo], 1), 0)</f>
        <v>0</v>
      </c>
      <c r="T9" s="77">
        <f>IF(MatrizDeAdyacencia!T9=1, SUMIFS(tblRed[VALOR OPERATIVO], tblRed[Nodo Inicial], $C9, tblRed[Nodo Final], T$3, tblRed[Activo], 1), 0)</f>
        <v>0</v>
      </c>
      <c r="U9" s="77">
        <f>IF(MatrizDeAdyacencia!U9=1, SUMIFS(tblRed[VALOR OPERATIVO], tblRed[Nodo Inicial], $C9, tblRed[Nodo Final], U$3, tblRed[Activo], 1), 0)</f>
        <v>0</v>
      </c>
      <c r="V9" s="79">
        <f>IF(MatrizDeAdyacencia!V9=1, SUMIFS(tblRed[VALOR OPERATIVO], tblRed[Nodo Inicial], $C9, tblRed[Nodo Final], V$3, tblRed[Activo], 1), 0)</f>
        <v>0</v>
      </c>
      <c r="W9" s="77">
        <f>IF(MatrizDeAdyacencia!W9=1, SUMIFS(tblRed[VALOR OPERATIVO], tblRed[Nodo Inicial], $C9, tblRed[Nodo Final], W$3, tblRed[Activo], 1), 0)</f>
        <v>0</v>
      </c>
      <c r="X9" s="77">
        <f>IF(MatrizDeAdyacencia!X9=1, SUMIFS(tblRed[VALOR OPERATIVO], tblRed[Nodo Inicial], $C9, tblRed[Nodo Final], X$3, tblRed[Activo], 1), 0)</f>
        <v>0</v>
      </c>
      <c r="Y9" s="77">
        <f>IF(MatrizDeAdyacencia!Y9=1, SUMIFS(tblRed[VALOR OPERATIVO], tblRed[Nodo Inicial], $C9, tblRed[Nodo Final], Y$3, tblRed[Activo], 1), 0)</f>
        <v>0</v>
      </c>
      <c r="Z9" s="77">
        <f>IF(MatrizDeAdyacencia!Z9=1, SUMIFS(tblRed[VALOR OPERATIVO], tblRed[Nodo Inicial], $C9, tblRed[Nodo Final], Z$3, tblRed[Activo], 1), 0)</f>
        <v>9.9166666666666661</v>
      </c>
      <c r="AA9" s="77">
        <f>IF(MatrizDeAdyacencia!AA9=1, SUMIFS(tblRed[VALOR OPERATIVO], tblRed[Nodo Inicial], $C9, tblRed[Nodo Final], AA$3, tblRed[Activo], 1), 0)</f>
        <v>0</v>
      </c>
      <c r="AB9" s="77">
        <f>IF(MatrizDeAdyacencia!AB9=1, SUMIFS(tblRed[VALOR OPERATIVO], tblRed[Nodo Inicial], $C9, tblRed[Nodo Final], AB$3, tblRed[Activo], 1), 0)</f>
        <v>0</v>
      </c>
      <c r="AC9" s="77">
        <f>IF(MatrizDeAdyacencia!AC9=1, SUMIFS(tblRed[VALOR OPERATIVO], tblRed[Nodo Inicial], $C9, tblRed[Nodo Final], AC$3, tblRed[Activo], 1), 0)</f>
        <v>0</v>
      </c>
      <c r="AD9" s="77">
        <f>IF(MatrizDeAdyacencia!AD9=1, SUMIFS(tblRed[VALOR OPERATIVO], tblRed[Nodo Inicial], $C9, tblRed[Nodo Final], AD$3, tblRed[Activo], 1), 0)</f>
        <v>0</v>
      </c>
      <c r="AE9" s="77">
        <f>IF(MatrizDeAdyacencia!AE9=1, SUMIFS(tblRed[VALOR OPERATIVO], tblRed[Nodo Inicial], $C9, tblRed[Nodo Final], AE$3, tblRed[Activo], 1), 0)</f>
        <v>0</v>
      </c>
      <c r="AF9" s="77">
        <f>IF(MatrizDeAdyacencia!AF9=1, SUMIFS(tblRed[VALOR OPERATIVO], tblRed[Nodo Inicial], $C9, tblRed[Nodo Final], AF$3, tblRed[Activo], 1), 0)</f>
        <v>0</v>
      </c>
      <c r="AG9" s="77">
        <f>IF(MatrizDeAdyacencia!AG9=1, SUMIFS(tblRed[VALOR OPERATIVO], tblRed[Nodo Inicial], $C9, tblRed[Nodo Final], AG$3, tblRed[Activo], 1), 0)</f>
        <v>0</v>
      </c>
      <c r="AH9" s="77">
        <f>IF(MatrizDeAdyacencia!AH9=1, SUMIFS(tblRed[VALOR OPERATIVO], tblRed[Nodo Inicial], $C9, tblRed[Nodo Final], AH$3, tblRed[Activo], 1), 0)</f>
        <v>0</v>
      </c>
    </row>
    <row r="10" spans="2:34" ht="17.25" customHeight="1" x14ac:dyDescent="0.25">
      <c r="B10" s="8" t="str">
        <f>VLOOKUP(tblMatrizPonderadaValorOperativo[[#This Row],[Nodo Orig.\Dest.]],tblNodos[],2,FALSE)</f>
        <v>Explotación de recursos naturales</v>
      </c>
      <c r="C10" s="4" t="s">
        <v>37</v>
      </c>
      <c r="D10" s="77">
        <f>IF(MatrizDeAdyacencia!D10=1, SUMIFS(tblRed[VALOR OPERATIVO], tblRed[Nodo Inicial], $C10, tblRed[Nodo Final], D$3, tblRed[Activo], 1), 0)</f>
        <v>0</v>
      </c>
      <c r="E10" s="77">
        <f>IF(MatrizDeAdyacencia!E10=1, SUMIFS(tblRed[VALOR OPERATIVO], tblRed[Nodo Inicial], $C10, tblRed[Nodo Final], E$3, tblRed[Activo], 1), 0)</f>
        <v>0</v>
      </c>
      <c r="F10" s="77">
        <f>IF(MatrizDeAdyacencia!F10=1, SUMIFS(tblRed[VALOR OPERATIVO], tblRed[Nodo Inicial], $C10, tblRed[Nodo Final], F$3, tblRed[Activo], 1), 0)</f>
        <v>0</v>
      </c>
      <c r="G10" s="77">
        <f>IF(MatrizDeAdyacencia!G10=1, SUMIFS(tblRed[VALOR OPERATIVO], tblRed[Nodo Inicial], $C10, tblRed[Nodo Final], G$3, tblRed[Activo], 1), 0)</f>
        <v>0</v>
      </c>
      <c r="H10" s="77">
        <f>IF(MatrizDeAdyacencia!H10=1, SUMIFS(tblRed[VALOR OPERATIVO], tblRed[Nodo Inicial], $C10, tblRed[Nodo Final], H$3, tblRed[Activo], 1), 0)</f>
        <v>0</v>
      </c>
      <c r="I10" s="77">
        <f>IF(MatrizDeAdyacencia!I10=1, SUMIFS(tblRed[VALOR OPERATIVO], tblRed[Nodo Inicial], $C10, tblRed[Nodo Final], I$3, tblRed[Activo], 1), 0)</f>
        <v>0</v>
      </c>
      <c r="J10" s="77">
        <f>IF(MatrizDeAdyacencia!J10=1, SUMIFS(tblRed[VALOR OPERATIVO], tblRed[Nodo Inicial], $C10, tblRed[Nodo Final], J$3, tblRed[Activo], 1), 0)</f>
        <v>0</v>
      </c>
      <c r="K10" s="77">
        <f>IF(MatrizDeAdyacencia!K10=1, SUMIFS(tblRed[VALOR OPERATIVO], tblRed[Nodo Inicial], $C10, tblRed[Nodo Final], K$3, tblRed[Activo], 1), 0)</f>
        <v>0</v>
      </c>
      <c r="L10" s="77">
        <f>IF(MatrizDeAdyacencia!L10=1, SUMIFS(tblRed[VALOR OPERATIVO], tblRed[Nodo Inicial], $C10, tblRed[Nodo Final], L$3, tblRed[Activo], 1), 0)</f>
        <v>7</v>
      </c>
      <c r="M10" s="77">
        <f>IF(MatrizDeAdyacencia!M10=1, SUMIFS(tblRed[VALOR OPERATIVO], tblRed[Nodo Inicial], $C10, tblRed[Nodo Final], M$3, tblRed[Activo], 1), 0)</f>
        <v>0</v>
      </c>
      <c r="N10" s="77">
        <f>IF(MatrizDeAdyacencia!N10=1, SUMIFS(tblRed[VALOR OPERATIVO], tblRed[Nodo Inicial], $C10, tblRed[Nodo Final], N$3, tblRed[Activo], 1), 0)</f>
        <v>0</v>
      </c>
      <c r="O10" s="77">
        <f>IF(MatrizDeAdyacencia!O10=1, SUMIFS(tblRed[VALOR OPERATIVO], tblRed[Nodo Inicial], $C10, tblRed[Nodo Final], O$3, tblRed[Activo], 1), 0)</f>
        <v>0</v>
      </c>
      <c r="P10" s="77">
        <f>IF(MatrizDeAdyacencia!P10=1, SUMIFS(tblRed[VALOR OPERATIVO], tblRed[Nodo Inicial], $C10, tblRed[Nodo Final], P$3, tblRed[Activo], 1), 0)</f>
        <v>0</v>
      </c>
      <c r="Q10" s="77">
        <f>IF(MatrizDeAdyacencia!Q10=1, SUMIFS(tblRed[VALOR OPERATIVO], tblRed[Nodo Inicial], $C10, tblRed[Nodo Final], Q$3, tblRed[Activo], 1), 0)</f>
        <v>0</v>
      </c>
      <c r="R10" s="77">
        <f>IF(MatrizDeAdyacencia!R10=1, SUMIFS(tblRed[VALOR OPERATIVO], tblRed[Nodo Inicial], $C10, tblRed[Nodo Final], R$3, tblRed[Activo], 1), 0)</f>
        <v>0</v>
      </c>
      <c r="S10" s="77">
        <f>IF(MatrizDeAdyacencia!S10=1, SUMIFS(tblRed[VALOR OPERATIVO], tblRed[Nodo Inicial], $C10, tblRed[Nodo Final], S$3, tblRed[Activo], 1), 0)</f>
        <v>0</v>
      </c>
      <c r="T10" s="77">
        <f>IF(MatrizDeAdyacencia!T10=1, SUMIFS(tblRed[VALOR OPERATIVO], tblRed[Nodo Inicial], $C10, tblRed[Nodo Final], T$3, tblRed[Activo], 1), 0)</f>
        <v>0</v>
      </c>
      <c r="U10" s="77">
        <f>IF(MatrizDeAdyacencia!U10=1, SUMIFS(tblRed[VALOR OPERATIVO], tblRed[Nodo Inicial], $C10, tblRed[Nodo Final], U$3, tblRed[Activo], 1), 0)</f>
        <v>0</v>
      </c>
      <c r="V10" s="79">
        <f>IF(MatrizDeAdyacencia!V10=1, SUMIFS(tblRed[VALOR OPERATIVO], tblRed[Nodo Inicial], $C10, tblRed[Nodo Final], V$3, tblRed[Activo], 1), 0)</f>
        <v>0</v>
      </c>
      <c r="W10" s="77">
        <f>IF(MatrizDeAdyacencia!W10=1, SUMIFS(tblRed[VALOR OPERATIVO], tblRed[Nodo Inicial], $C10, tblRed[Nodo Final], W$3, tblRed[Activo], 1), 0)</f>
        <v>0</v>
      </c>
      <c r="X10" s="77">
        <f>IF(MatrizDeAdyacencia!X10=1, SUMIFS(tblRed[VALOR OPERATIVO], tblRed[Nodo Inicial], $C10, tblRed[Nodo Final], X$3, tblRed[Activo], 1), 0)</f>
        <v>0</v>
      </c>
      <c r="Y10" s="77">
        <f>IF(MatrizDeAdyacencia!Y10=1, SUMIFS(tblRed[VALOR OPERATIVO], tblRed[Nodo Inicial], $C10, tblRed[Nodo Final], Y$3, tblRed[Activo], 1), 0)</f>
        <v>0</v>
      </c>
      <c r="Z10" s="77">
        <f>IF(MatrizDeAdyacencia!Z10=1, SUMIFS(tblRed[VALOR OPERATIVO], tblRed[Nodo Inicial], $C10, tblRed[Nodo Final], Z$3, tblRed[Activo], 1), 0)</f>
        <v>10.133333333333333</v>
      </c>
      <c r="AA10" s="77">
        <f>IF(MatrizDeAdyacencia!AA10=1, SUMIFS(tblRed[VALOR OPERATIVO], tblRed[Nodo Inicial], $C10, tblRed[Nodo Final], AA$3, tblRed[Activo], 1), 0)</f>
        <v>0</v>
      </c>
      <c r="AB10" s="77">
        <f>IF(MatrizDeAdyacencia!AB10=1, SUMIFS(tblRed[VALOR OPERATIVO], tblRed[Nodo Inicial], $C10, tblRed[Nodo Final], AB$3, tblRed[Activo], 1), 0)</f>
        <v>0</v>
      </c>
      <c r="AC10" s="77">
        <f>IF(MatrizDeAdyacencia!AC10=1, SUMIFS(tblRed[VALOR OPERATIVO], tblRed[Nodo Inicial], $C10, tblRed[Nodo Final], AC$3, tblRed[Activo], 1), 0)</f>
        <v>0</v>
      </c>
      <c r="AD10" s="77">
        <f>IF(MatrizDeAdyacencia!AD10=1, SUMIFS(tblRed[VALOR OPERATIVO], tblRed[Nodo Inicial], $C10, tblRed[Nodo Final], AD$3, tblRed[Activo], 1), 0)</f>
        <v>0</v>
      </c>
      <c r="AE10" s="77">
        <f>IF(MatrizDeAdyacencia!AE10=1, SUMIFS(tblRed[VALOR OPERATIVO], tblRed[Nodo Inicial], $C10, tblRed[Nodo Final], AE$3, tblRed[Activo], 1), 0)</f>
        <v>0</v>
      </c>
      <c r="AF10" s="77">
        <f>IF(MatrizDeAdyacencia!AF10=1, SUMIFS(tblRed[VALOR OPERATIVO], tblRed[Nodo Inicial], $C10, tblRed[Nodo Final], AF$3, tblRed[Activo], 1), 0)</f>
        <v>0</v>
      </c>
      <c r="AG10" s="77">
        <f>IF(MatrizDeAdyacencia!AG10=1, SUMIFS(tblRed[VALOR OPERATIVO], tblRed[Nodo Inicial], $C10, tblRed[Nodo Final], AG$3, tblRed[Activo], 1), 0)</f>
        <v>0</v>
      </c>
      <c r="AH10" s="77">
        <f>IF(MatrizDeAdyacencia!AH10=1, SUMIFS(tblRed[VALOR OPERATIVO], tblRed[Nodo Inicial], $C10, tblRed[Nodo Final], AH$3, tblRed[Activo], 1), 0)</f>
        <v>0</v>
      </c>
    </row>
    <row r="11" spans="2:34" ht="17.25" customHeight="1" x14ac:dyDescent="0.25">
      <c r="B11" s="8" t="str">
        <f>VLOOKUP(tblMatrizPonderadaValorOperativo[[#This Row],[Nodo Orig.\Dest.]],tblNodos[],2,FALSE)</f>
        <v>Valor digital</v>
      </c>
      <c r="C11" s="4" t="s">
        <v>39</v>
      </c>
      <c r="D11" s="77">
        <f>IF(MatrizDeAdyacencia!D11=1, SUMIFS(tblRed[VALOR OPERATIVO], tblRed[Nodo Inicial], $C11, tblRed[Nodo Final], D$3, tblRed[Activo], 1), 0)</f>
        <v>0</v>
      </c>
      <c r="E11" s="77">
        <f>IF(MatrizDeAdyacencia!E11=1, SUMIFS(tblRed[VALOR OPERATIVO], tblRed[Nodo Inicial], $C11, tblRed[Nodo Final], E$3, tblRed[Activo], 1), 0)</f>
        <v>0</v>
      </c>
      <c r="F11" s="77">
        <f>IF(MatrizDeAdyacencia!F11=1, SUMIFS(tblRed[VALOR OPERATIVO], tblRed[Nodo Inicial], $C11, tblRed[Nodo Final], F$3, tblRed[Activo], 1), 0)</f>
        <v>0</v>
      </c>
      <c r="G11" s="77">
        <f>IF(MatrizDeAdyacencia!G11=1, SUMIFS(tblRed[VALOR OPERATIVO], tblRed[Nodo Inicial], $C11, tblRed[Nodo Final], G$3, tblRed[Activo], 1), 0)</f>
        <v>0</v>
      </c>
      <c r="H11" s="77">
        <f>IF(MatrizDeAdyacencia!H11=1, SUMIFS(tblRed[VALOR OPERATIVO], tblRed[Nodo Inicial], $C11, tblRed[Nodo Final], H$3, tblRed[Activo], 1), 0)</f>
        <v>0</v>
      </c>
      <c r="I11" s="77">
        <f>IF(MatrizDeAdyacencia!I11=1, SUMIFS(tblRed[VALOR OPERATIVO], tblRed[Nodo Inicial], $C11, tblRed[Nodo Final], I$3, tblRed[Activo], 1), 0)</f>
        <v>0</v>
      </c>
      <c r="J11" s="77">
        <f>IF(MatrizDeAdyacencia!J11=1, SUMIFS(tblRed[VALOR OPERATIVO], tblRed[Nodo Inicial], $C11, tblRed[Nodo Final], J$3, tblRed[Activo], 1), 0)</f>
        <v>0</v>
      </c>
      <c r="K11" s="77">
        <f>IF(MatrizDeAdyacencia!K11=1, SUMIFS(tblRed[VALOR OPERATIVO], tblRed[Nodo Inicial], $C11, tblRed[Nodo Final], K$3, tblRed[Activo], 1), 0)</f>
        <v>0</v>
      </c>
      <c r="L11" s="77">
        <f>IF(MatrizDeAdyacencia!L11=1, SUMIFS(tblRed[VALOR OPERATIVO], tblRed[Nodo Inicial], $C11, tblRed[Nodo Final], L$3, tblRed[Activo], 1), 0)</f>
        <v>0</v>
      </c>
      <c r="M11" s="77">
        <f>IF(MatrizDeAdyacencia!M11=1, SUMIFS(tblRed[VALOR OPERATIVO], tblRed[Nodo Inicial], $C11, tblRed[Nodo Final], M$3, tblRed[Activo], 1), 0)</f>
        <v>0</v>
      </c>
      <c r="N11" s="77">
        <f>IF(MatrizDeAdyacencia!N11=1, SUMIFS(tblRed[VALOR OPERATIVO], tblRed[Nodo Inicial], $C11, tblRed[Nodo Final], N$3, tblRed[Activo], 1), 0)</f>
        <v>0</v>
      </c>
      <c r="O11" s="77">
        <f>IF(MatrizDeAdyacencia!O11=1, SUMIFS(tblRed[VALOR OPERATIVO], tblRed[Nodo Inicial], $C11, tblRed[Nodo Final], O$3, tblRed[Activo], 1), 0)</f>
        <v>9.1538461538461533</v>
      </c>
      <c r="P11" s="77">
        <f>IF(MatrizDeAdyacencia!P11=1, SUMIFS(tblRed[VALOR OPERATIVO], tblRed[Nodo Inicial], $C11, tblRed[Nodo Final], P$3, tblRed[Activo], 1), 0)</f>
        <v>0</v>
      </c>
      <c r="Q11" s="77">
        <f>IF(MatrizDeAdyacencia!Q11=1, SUMIFS(tblRed[VALOR OPERATIVO], tblRed[Nodo Inicial], $C11, tblRed[Nodo Final], Q$3, tblRed[Activo], 1), 0)</f>
        <v>0</v>
      </c>
      <c r="R11" s="77">
        <f>IF(MatrizDeAdyacencia!R11=1, SUMIFS(tblRed[VALOR OPERATIVO], tblRed[Nodo Inicial], $C11, tblRed[Nodo Final], R$3, tblRed[Activo], 1), 0)</f>
        <v>0</v>
      </c>
      <c r="S11" s="77">
        <f>IF(MatrizDeAdyacencia!S11=1, SUMIFS(tblRed[VALOR OPERATIVO], tblRed[Nodo Inicial], $C11, tblRed[Nodo Final], S$3, tblRed[Activo], 1), 0)</f>
        <v>0</v>
      </c>
      <c r="T11" s="77">
        <f>IF(MatrizDeAdyacencia!T11=1, SUMIFS(tblRed[VALOR OPERATIVO], tblRed[Nodo Inicial], $C11, tblRed[Nodo Final], T$3, tblRed[Activo], 1), 0)</f>
        <v>0</v>
      </c>
      <c r="U11" s="77">
        <f>IF(MatrizDeAdyacencia!U11=1, SUMIFS(tblRed[VALOR OPERATIVO], tblRed[Nodo Inicial], $C11, tblRed[Nodo Final], U$3, tblRed[Activo], 1), 0)</f>
        <v>0</v>
      </c>
      <c r="V11" s="79">
        <f>IF(MatrizDeAdyacencia!V11=1, SUMIFS(tblRed[VALOR OPERATIVO], tblRed[Nodo Inicial], $C11, tblRed[Nodo Final], V$3, tblRed[Activo], 1), 0)</f>
        <v>0</v>
      </c>
      <c r="W11" s="77">
        <f>IF(MatrizDeAdyacencia!W11=1, SUMIFS(tblRed[VALOR OPERATIVO], tblRed[Nodo Inicial], $C11, tblRed[Nodo Final], W$3, tblRed[Activo], 1), 0)</f>
        <v>0</v>
      </c>
      <c r="X11" s="77">
        <f>IF(MatrizDeAdyacencia!X11=1, SUMIFS(tblRed[VALOR OPERATIVO], tblRed[Nodo Inicial], $C11, tblRed[Nodo Final], X$3, tblRed[Activo], 1), 0)</f>
        <v>8.5555555555555554</v>
      </c>
      <c r="Y11" s="77">
        <f>IF(MatrizDeAdyacencia!Y11=1, SUMIFS(tblRed[VALOR OPERATIVO], tblRed[Nodo Inicial], $C11, tblRed[Nodo Final], Y$3, tblRed[Activo], 1), 0)</f>
        <v>0</v>
      </c>
      <c r="Z11" s="77">
        <f>IF(MatrizDeAdyacencia!Z11=1, SUMIFS(tblRed[VALOR OPERATIVO], tblRed[Nodo Inicial], $C11, tblRed[Nodo Final], Z$3, tblRed[Activo], 1), 0)</f>
        <v>0</v>
      </c>
      <c r="AA11" s="77">
        <f>IF(MatrizDeAdyacencia!AA11=1, SUMIFS(tblRed[VALOR OPERATIVO], tblRed[Nodo Inicial], $C11, tblRed[Nodo Final], AA$3, tblRed[Activo], 1), 0)</f>
        <v>0</v>
      </c>
      <c r="AB11" s="77">
        <f>IF(MatrizDeAdyacencia!AB11=1, SUMIFS(tblRed[VALOR OPERATIVO], tblRed[Nodo Inicial], $C11, tblRed[Nodo Final], AB$3, tblRed[Activo], 1), 0)</f>
        <v>0</v>
      </c>
      <c r="AC11" s="77">
        <f>IF(MatrizDeAdyacencia!AC11=1, SUMIFS(tblRed[VALOR OPERATIVO], tblRed[Nodo Inicial], $C11, tblRed[Nodo Final], AC$3, tblRed[Activo], 1), 0)</f>
        <v>0</v>
      </c>
      <c r="AD11" s="77">
        <f>IF(MatrizDeAdyacencia!AD11=1, SUMIFS(tblRed[VALOR OPERATIVO], tblRed[Nodo Inicial], $C11, tblRed[Nodo Final], AD$3, tblRed[Activo], 1), 0)</f>
        <v>0</v>
      </c>
      <c r="AE11" s="77">
        <f>IF(MatrizDeAdyacencia!AE11=1, SUMIFS(tblRed[VALOR OPERATIVO], tblRed[Nodo Inicial], $C11, tblRed[Nodo Final], AE$3, tblRed[Activo], 1), 0)</f>
        <v>0</v>
      </c>
      <c r="AF11" s="77">
        <f>IF(MatrizDeAdyacencia!AF11=1, SUMIFS(tblRed[VALOR OPERATIVO], tblRed[Nodo Inicial], $C11, tblRed[Nodo Final], AF$3, tblRed[Activo], 1), 0)</f>
        <v>0</v>
      </c>
      <c r="AG11" s="77">
        <f>IF(MatrizDeAdyacencia!AG11=1, SUMIFS(tblRed[VALOR OPERATIVO], tblRed[Nodo Inicial], $C11, tblRed[Nodo Final], AG$3, tblRed[Activo], 1), 0)</f>
        <v>0</v>
      </c>
      <c r="AH11" s="77">
        <f>IF(MatrizDeAdyacencia!AH11=1, SUMIFS(tblRed[VALOR OPERATIVO], tblRed[Nodo Inicial], $C11, tblRed[Nodo Final], AH$3, tblRed[Activo], 1), 0)</f>
        <v>0</v>
      </c>
    </row>
    <row r="12" spans="2:34" ht="17.25" customHeight="1" x14ac:dyDescent="0.25">
      <c r="B12" s="8" t="str">
        <f>VLOOKUP(tblMatrizPonderadaValorOperativo[[#This Row],[Nodo Orig.\Dest.]],tblNodos[],2,FALSE)</f>
        <v>Recaudación directa</v>
      </c>
      <c r="C12" s="4" t="s">
        <v>41</v>
      </c>
      <c r="D12" s="77">
        <f>IF(MatrizDeAdyacencia!D12=1, SUMIFS(tblRed[VALOR OPERATIVO], tblRed[Nodo Inicial], $C12, tblRed[Nodo Final], D$3, tblRed[Activo], 1), 0)</f>
        <v>0</v>
      </c>
      <c r="E12" s="77">
        <f>IF(MatrizDeAdyacencia!E12=1, SUMIFS(tblRed[VALOR OPERATIVO], tblRed[Nodo Inicial], $C12, tblRed[Nodo Final], E$3, tblRed[Activo], 1), 0)</f>
        <v>0</v>
      </c>
      <c r="F12" s="77">
        <f>IF(MatrizDeAdyacencia!F12=1, SUMIFS(tblRed[VALOR OPERATIVO], tblRed[Nodo Inicial], $C12, tblRed[Nodo Final], F$3, tblRed[Activo], 1), 0)</f>
        <v>0</v>
      </c>
      <c r="G12" s="77">
        <f>IF(MatrizDeAdyacencia!G12=1, SUMIFS(tblRed[VALOR OPERATIVO], tblRed[Nodo Inicial], $C12, tblRed[Nodo Final], G$3, tblRed[Activo], 1), 0)</f>
        <v>0</v>
      </c>
      <c r="H12" s="77">
        <f>IF(MatrizDeAdyacencia!H12=1, SUMIFS(tblRed[VALOR OPERATIVO], tblRed[Nodo Inicial], $C12, tblRed[Nodo Final], H$3, tblRed[Activo], 1), 0)</f>
        <v>0</v>
      </c>
      <c r="I12" s="77">
        <f>IF(MatrizDeAdyacencia!I12=1, SUMIFS(tblRed[VALOR OPERATIVO], tblRed[Nodo Inicial], $C12, tblRed[Nodo Final], I$3, tblRed[Activo], 1), 0)</f>
        <v>0</v>
      </c>
      <c r="J12" s="77">
        <f>IF(MatrizDeAdyacencia!J12=1, SUMIFS(tblRed[VALOR OPERATIVO], tblRed[Nodo Inicial], $C12, tblRed[Nodo Final], J$3, tblRed[Activo], 1), 0)</f>
        <v>0</v>
      </c>
      <c r="K12" s="77">
        <f>IF(MatrizDeAdyacencia!K12=1, SUMIFS(tblRed[VALOR OPERATIVO], tblRed[Nodo Inicial], $C12, tblRed[Nodo Final], K$3, tblRed[Activo], 1), 0)</f>
        <v>0</v>
      </c>
      <c r="L12" s="77">
        <f>IF(MatrizDeAdyacencia!L12=1, SUMIFS(tblRed[VALOR OPERATIVO], tblRed[Nodo Inicial], $C12, tblRed[Nodo Final], L$3, tblRed[Activo], 1), 0)</f>
        <v>0</v>
      </c>
      <c r="M12" s="77">
        <f>IF(MatrizDeAdyacencia!M12=1, SUMIFS(tblRed[VALOR OPERATIVO], tblRed[Nodo Inicial], $C12, tblRed[Nodo Final], M$3, tblRed[Activo], 1), 0)</f>
        <v>0</v>
      </c>
      <c r="N12" s="77">
        <f>IF(MatrizDeAdyacencia!N12=1, SUMIFS(tblRed[VALOR OPERATIVO], tblRed[Nodo Inicial], $C12, tblRed[Nodo Final], N$3, tblRed[Activo], 1), 0)</f>
        <v>0</v>
      </c>
      <c r="O12" s="77">
        <f>IF(MatrizDeAdyacencia!O12=1, SUMIFS(tblRed[VALOR OPERATIVO], tblRed[Nodo Inicial], $C12, tblRed[Nodo Final], O$3, tblRed[Activo], 1), 0)</f>
        <v>0</v>
      </c>
      <c r="P12" s="77">
        <f>IF(MatrizDeAdyacencia!P12=1, SUMIFS(tblRed[VALOR OPERATIVO], tblRed[Nodo Inicial], $C12, tblRed[Nodo Final], P$3, tblRed[Activo], 1), 0)</f>
        <v>0</v>
      </c>
      <c r="Q12" s="77">
        <f>IF(MatrizDeAdyacencia!Q12=1, SUMIFS(tblRed[VALOR OPERATIVO], tblRed[Nodo Inicial], $C12, tblRed[Nodo Final], Q$3, tblRed[Activo], 1), 0)</f>
        <v>0</v>
      </c>
      <c r="R12" s="77">
        <f>IF(MatrizDeAdyacencia!R12=1, SUMIFS(tblRed[VALOR OPERATIVO], tblRed[Nodo Inicial], $C12, tblRed[Nodo Final], R$3, tblRed[Activo], 1), 0)</f>
        <v>7.9230769230769234</v>
      </c>
      <c r="S12" s="77">
        <f>IF(MatrizDeAdyacencia!S12=1, SUMIFS(tblRed[VALOR OPERATIVO], tblRed[Nodo Inicial], $C12, tblRed[Nodo Final], S$3, tblRed[Activo], 1), 0)</f>
        <v>0</v>
      </c>
      <c r="T12" s="77">
        <f>IF(MatrizDeAdyacencia!T12=1, SUMIFS(tblRed[VALOR OPERATIVO], tblRed[Nodo Inicial], $C12, tblRed[Nodo Final], T$3, tblRed[Activo], 1), 0)</f>
        <v>0</v>
      </c>
      <c r="U12" s="77">
        <f>IF(MatrizDeAdyacencia!U12=1, SUMIFS(tblRed[VALOR OPERATIVO], tblRed[Nodo Inicial], $C12, tblRed[Nodo Final], U$3, tblRed[Activo], 1), 0)</f>
        <v>0</v>
      </c>
      <c r="V12" s="79">
        <f>IF(MatrizDeAdyacencia!V12=1, SUMIFS(tblRed[VALOR OPERATIVO], tblRed[Nodo Inicial], $C12, tblRed[Nodo Final], V$3, tblRed[Activo], 1), 0)</f>
        <v>0</v>
      </c>
      <c r="W12" s="77">
        <f>IF(MatrizDeAdyacencia!W12=1, SUMIFS(tblRed[VALOR OPERATIVO], tblRed[Nodo Inicial], $C12, tblRed[Nodo Final], W$3, tblRed[Activo], 1), 0)</f>
        <v>0</v>
      </c>
      <c r="X12" s="77">
        <f>IF(MatrizDeAdyacencia!X12=1, SUMIFS(tblRed[VALOR OPERATIVO], tblRed[Nodo Inicial], $C12, tblRed[Nodo Final], X$3, tblRed[Activo], 1), 0)</f>
        <v>0</v>
      </c>
      <c r="Y12" s="77">
        <f>IF(MatrizDeAdyacencia!Y12=1, SUMIFS(tblRed[VALOR OPERATIVO], tblRed[Nodo Inicial], $C12, tblRed[Nodo Final], Y$3, tblRed[Activo], 1), 0)</f>
        <v>0</v>
      </c>
      <c r="Z12" s="77">
        <f>IF(MatrizDeAdyacencia!Z12=1, SUMIFS(tblRed[VALOR OPERATIVO], tblRed[Nodo Inicial], $C12, tblRed[Nodo Final], Z$3, tblRed[Activo], 1), 0)</f>
        <v>0</v>
      </c>
      <c r="AA12" s="77">
        <f>IF(MatrizDeAdyacencia!AA12=1, SUMIFS(tblRed[VALOR OPERATIVO], tblRed[Nodo Inicial], $C12, tblRed[Nodo Final], AA$3, tblRed[Activo], 1), 0)</f>
        <v>0</v>
      </c>
      <c r="AB12" s="77">
        <f>IF(MatrizDeAdyacencia!AB12=1, SUMIFS(tblRed[VALOR OPERATIVO], tblRed[Nodo Inicial], $C12, tblRed[Nodo Final], AB$3, tblRed[Activo], 1), 0)</f>
        <v>0</v>
      </c>
      <c r="AC12" s="77">
        <f>IF(MatrizDeAdyacencia!AC12=1, SUMIFS(tblRed[VALOR OPERATIVO], tblRed[Nodo Inicial], $C12, tblRed[Nodo Final], AC$3, tblRed[Activo], 1), 0)</f>
        <v>0</v>
      </c>
      <c r="AD12" s="77">
        <f>IF(MatrizDeAdyacencia!AD12=1, SUMIFS(tblRed[VALOR OPERATIVO], tblRed[Nodo Inicial], $C12, tblRed[Nodo Final], AD$3, tblRed[Activo], 1), 0)</f>
        <v>8.7333333333333325</v>
      </c>
      <c r="AE12" s="77">
        <f>IF(MatrizDeAdyacencia!AE12=1, SUMIFS(tblRed[VALOR OPERATIVO], tblRed[Nodo Inicial], $C12, tblRed[Nodo Final], AE$3, tblRed[Activo], 1), 0)</f>
        <v>0</v>
      </c>
      <c r="AF12" s="77">
        <f>IF(MatrizDeAdyacencia!AF12=1, SUMIFS(tblRed[VALOR OPERATIVO], tblRed[Nodo Inicial], $C12, tblRed[Nodo Final], AF$3, tblRed[Activo], 1), 0)</f>
        <v>0</v>
      </c>
      <c r="AG12" s="77">
        <f>IF(MatrizDeAdyacencia!AG12=1, SUMIFS(tblRed[VALOR OPERATIVO], tblRed[Nodo Inicial], $C12, tblRed[Nodo Final], AG$3, tblRed[Activo], 1), 0)</f>
        <v>0</v>
      </c>
      <c r="AH12" s="77">
        <f>IF(MatrizDeAdyacencia!AH12=1, SUMIFS(tblRed[VALOR OPERATIVO], tblRed[Nodo Inicial], $C12, tblRed[Nodo Final], AH$3, tblRed[Activo], 1), 0)</f>
        <v>0</v>
      </c>
    </row>
    <row r="13" spans="2:34" ht="17.25" customHeight="1" x14ac:dyDescent="0.25">
      <c r="B13" s="8" t="str">
        <f>VLOOKUP(tblMatrizPonderadaValorOperativo[[#This Row],[Nodo Orig.\Dest.]],tblNodos[],2,FALSE)</f>
        <v>Agregadores de fondos</v>
      </c>
      <c r="C13" s="4" t="s">
        <v>43</v>
      </c>
      <c r="D13" s="77">
        <f>IF(MatrizDeAdyacencia!D13=1, SUMIFS(tblRed[VALOR OPERATIVO], tblRed[Nodo Inicial], $C13, tblRed[Nodo Final], D$3, tblRed[Activo], 1), 0)</f>
        <v>0</v>
      </c>
      <c r="E13" s="77">
        <f>IF(MatrizDeAdyacencia!E13=1, SUMIFS(tblRed[VALOR OPERATIVO], tblRed[Nodo Inicial], $C13, tblRed[Nodo Final], E$3, tblRed[Activo], 1), 0)</f>
        <v>0</v>
      </c>
      <c r="F13" s="77">
        <f>IF(MatrizDeAdyacencia!F13=1, SUMIFS(tblRed[VALOR OPERATIVO], tblRed[Nodo Inicial], $C13, tblRed[Nodo Final], F$3, tblRed[Activo], 1), 0)</f>
        <v>0</v>
      </c>
      <c r="G13" s="77">
        <f>IF(MatrizDeAdyacencia!G13=1, SUMIFS(tblRed[VALOR OPERATIVO], tblRed[Nodo Inicial], $C13, tblRed[Nodo Final], G$3, tblRed[Activo], 1), 0)</f>
        <v>0</v>
      </c>
      <c r="H13" s="77">
        <f>IF(MatrizDeAdyacencia!H13=1, SUMIFS(tblRed[VALOR OPERATIVO], tblRed[Nodo Inicial], $C13, tblRed[Nodo Final], H$3, tblRed[Activo], 1), 0)</f>
        <v>0</v>
      </c>
      <c r="I13" s="77">
        <f>IF(MatrizDeAdyacencia!I13=1, SUMIFS(tblRed[VALOR OPERATIVO], tblRed[Nodo Inicial], $C13, tblRed[Nodo Final], I$3, tblRed[Activo], 1), 0)</f>
        <v>0</v>
      </c>
      <c r="J13" s="77">
        <f>IF(MatrizDeAdyacencia!J13=1, SUMIFS(tblRed[VALOR OPERATIVO], tblRed[Nodo Inicial], $C13, tblRed[Nodo Final], J$3, tblRed[Activo], 1), 0)</f>
        <v>0</v>
      </c>
      <c r="K13" s="77">
        <f>IF(MatrizDeAdyacencia!K13=1, SUMIFS(tblRed[VALOR OPERATIVO], tblRed[Nodo Inicial], $C13, tblRed[Nodo Final], K$3, tblRed[Activo], 1), 0)</f>
        <v>0</v>
      </c>
      <c r="L13" s="77">
        <f>IF(MatrizDeAdyacencia!L13=1, SUMIFS(tblRed[VALOR OPERATIVO], tblRed[Nodo Inicial], $C13, tblRed[Nodo Final], L$3, tblRed[Activo], 1), 0)</f>
        <v>0</v>
      </c>
      <c r="M13" s="77">
        <f>IF(MatrizDeAdyacencia!M13=1, SUMIFS(tblRed[VALOR OPERATIVO], tblRed[Nodo Inicial], $C13, tblRed[Nodo Final], M$3, tblRed[Activo], 1), 0)</f>
        <v>0</v>
      </c>
      <c r="N13" s="77">
        <f>IF(MatrizDeAdyacencia!N13=1, SUMIFS(tblRed[VALOR OPERATIVO], tblRed[Nodo Inicial], $C13, tblRed[Nodo Final], N$3, tblRed[Activo], 1), 0)</f>
        <v>0</v>
      </c>
      <c r="O13" s="77">
        <f>IF(MatrizDeAdyacencia!O13=1, SUMIFS(tblRed[VALOR OPERATIVO], tblRed[Nodo Inicial], $C13, tblRed[Nodo Final], O$3, tblRed[Activo], 1), 0)</f>
        <v>0</v>
      </c>
      <c r="P13" s="77">
        <f>IF(MatrizDeAdyacencia!P13=1, SUMIFS(tblRed[VALOR OPERATIVO], tblRed[Nodo Inicial], $C13, tblRed[Nodo Final], P$3, tblRed[Activo], 1), 0)</f>
        <v>0</v>
      </c>
      <c r="Q13" s="77">
        <f>IF(MatrizDeAdyacencia!Q13=1, SUMIFS(tblRed[VALOR OPERATIVO], tblRed[Nodo Inicial], $C13, tblRed[Nodo Final], Q$3, tblRed[Activo], 1), 0)</f>
        <v>0</v>
      </c>
      <c r="R13" s="77">
        <f>IF(MatrizDeAdyacencia!R13=1, SUMIFS(tblRed[VALOR OPERATIVO], tblRed[Nodo Inicial], $C13, tblRed[Nodo Final], R$3, tblRed[Activo], 1), 0)</f>
        <v>0</v>
      </c>
      <c r="S13" s="77">
        <f>IF(MatrizDeAdyacencia!S13=1, SUMIFS(tblRed[VALOR OPERATIVO], tblRed[Nodo Inicial], $C13, tblRed[Nodo Final], S$3, tblRed[Activo], 1), 0)</f>
        <v>7</v>
      </c>
      <c r="T13" s="77">
        <f>IF(MatrizDeAdyacencia!T13=1, SUMIFS(tblRed[VALOR OPERATIVO], tblRed[Nodo Inicial], $C13, tblRed[Nodo Final], T$3, tblRed[Activo], 1), 0)</f>
        <v>9</v>
      </c>
      <c r="U13" s="77">
        <f>IF(MatrizDeAdyacencia!U13=1, SUMIFS(tblRed[VALOR OPERATIVO], tblRed[Nodo Inicial], $C13, tblRed[Nodo Final], U$3, tblRed[Activo], 1), 0)</f>
        <v>0</v>
      </c>
      <c r="V13" s="79">
        <f>IF(MatrizDeAdyacencia!V13=1, SUMIFS(tblRed[VALOR OPERATIVO], tblRed[Nodo Inicial], $C13, tblRed[Nodo Final], V$3, tblRed[Activo], 1), 0)</f>
        <v>0</v>
      </c>
      <c r="W13" s="77">
        <f>IF(MatrizDeAdyacencia!W13=1, SUMIFS(tblRed[VALOR OPERATIVO], tblRed[Nodo Inicial], $C13, tblRed[Nodo Final], W$3, tblRed[Activo], 1), 0)</f>
        <v>0</v>
      </c>
      <c r="X13" s="77">
        <f>IF(MatrizDeAdyacencia!X13=1, SUMIFS(tblRed[VALOR OPERATIVO], tblRed[Nodo Inicial], $C13, tblRed[Nodo Final], X$3, tblRed[Activo], 1), 0)</f>
        <v>9.1333333333333329</v>
      </c>
      <c r="Y13" s="77">
        <f>IF(MatrizDeAdyacencia!Y13=1, SUMIFS(tblRed[VALOR OPERATIVO], tblRed[Nodo Inicial], $C13, tblRed[Nodo Final], Y$3, tblRed[Activo], 1), 0)</f>
        <v>0</v>
      </c>
      <c r="Z13" s="77">
        <f>IF(MatrizDeAdyacencia!Z13=1, SUMIFS(tblRed[VALOR OPERATIVO], tblRed[Nodo Inicial], $C13, tblRed[Nodo Final], Z$3, tblRed[Activo], 1), 0)</f>
        <v>0</v>
      </c>
      <c r="AA13" s="77">
        <f>IF(MatrizDeAdyacencia!AA13=1, SUMIFS(tblRed[VALOR OPERATIVO], tblRed[Nodo Inicial], $C13, tblRed[Nodo Final], AA$3, tblRed[Activo], 1), 0)</f>
        <v>0</v>
      </c>
      <c r="AB13" s="77">
        <f>IF(MatrizDeAdyacencia!AB13=1, SUMIFS(tblRed[VALOR OPERATIVO], tblRed[Nodo Inicial], $C13, tblRed[Nodo Final], AB$3, tblRed[Activo], 1), 0)</f>
        <v>10.25</v>
      </c>
      <c r="AC13" s="77">
        <f>IF(MatrizDeAdyacencia!AC13=1, SUMIFS(tblRed[VALOR OPERATIVO], tblRed[Nodo Inicial], $C13, tblRed[Nodo Final], AC$3, tblRed[Activo], 1), 0)</f>
        <v>0</v>
      </c>
      <c r="AD13" s="77">
        <f>IF(MatrizDeAdyacencia!AD13=1, SUMIFS(tblRed[VALOR OPERATIVO], tblRed[Nodo Inicial], $C13, tblRed[Nodo Final], AD$3, tblRed[Activo], 1), 0)</f>
        <v>0</v>
      </c>
      <c r="AE13" s="77">
        <f>IF(MatrizDeAdyacencia!AE13=1, SUMIFS(tblRed[VALOR OPERATIVO], tblRed[Nodo Inicial], $C13, tblRed[Nodo Final], AE$3, tblRed[Activo], 1), 0)</f>
        <v>0</v>
      </c>
      <c r="AF13" s="77">
        <f>IF(MatrizDeAdyacencia!AF13=1, SUMIFS(tblRed[VALOR OPERATIVO], tblRed[Nodo Inicial], $C13, tblRed[Nodo Final], AF$3, tblRed[Activo], 1), 0)</f>
        <v>0</v>
      </c>
      <c r="AG13" s="77">
        <f>IF(MatrizDeAdyacencia!AG13=1, SUMIFS(tblRed[VALOR OPERATIVO], tblRed[Nodo Inicial], $C13, tblRed[Nodo Final], AG$3, tblRed[Activo], 1), 0)</f>
        <v>0</v>
      </c>
      <c r="AH13" s="77">
        <f>IF(MatrizDeAdyacencia!AH13=1, SUMIFS(tblRed[VALOR OPERATIVO], tblRed[Nodo Inicial], $C13, tblRed[Nodo Final], AH$3, tblRed[Activo], 1), 0)</f>
        <v>0</v>
      </c>
    </row>
    <row r="14" spans="2:34" ht="17.25" customHeight="1" x14ac:dyDescent="0.25">
      <c r="B14" s="8" t="str">
        <f>VLOOKUP(tblMatrizPonderadaValorOperativo[[#This Row],[Nodo Orig.\Dest.]],tblNodos[],2,FALSE)</f>
        <v>Estructuras organizadas de captación</v>
      </c>
      <c r="C14" s="4" t="s">
        <v>45</v>
      </c>
      <c r="D14" s="77">
        <f>IF(MatrizDeAdyacencia!D14=1, SUMIFS(tblRed[VALOR OPERATIVO], tblRed[Nodo Inicial], $C14, tblRed[Nodo Final], D$3, tblRed[Activo], 1), 0)</f>
        <v>0</v>
      </c>
      <c r="E14" s="77">
        <f>IF(MatrizDeAdyacencia!E14=1, SUMIFS(tblRed[VALOR OPERATIVO], tblRed[Nodo Inicial], $C14, tblRed[Nodo Final], E$3, tblRed[Activo], 1), 0)</f>
        <v>0</v>
      </c>
      <c r="F14" s="77">
        <f>IF(MatrizDeAdyacencia!F14=1, SUMIFS(tblRed[VALOR OPERATIVO], tblRed[Nodo Inicial], $C14, tblRed[Nodo Final], F$3, tblRed[Activo], 1), 0)</f>
        <v>0</v>
      </c>
      <c r="G14" s="77">
        <f>IF(MatrizDeAdyacencia!G14=1, SUMIFS(tblRed[VALOR OPERATIVO], tblRed[Nodo Inicial], $C14, tblRed[Nodo Final], G$3, tblRed[Activo], 1), 0)</f>
        <v>0</v>
      </c>
      <c r="H14" s="77">
        <f>IF(MatrizDeAdyacencia!H14=1, SUMIFS(tblRed[VALOR OPERATIVO], tblRed[Nodo Inicial], $C14, tblRed[Nodo Final], H$3, tblRed[Activo], 1), 0)</f>
        <v>0</v>
      </c>
      <c r="I14" s="77">
        <f>IF(MatrizDeAdyacencia!I14=1, SUMIFS(tblRed[VALOR OPERATIVO], tblRed[Nodo Inicial], $C14, tblRed[Nodo Final], I$3, tblRed[Activo], 1), 0)</f>
        <v>0</v>
      </c>
      <c r="J14" s="77">
        <f>IF(MatrizDeAdyacencia!J14=1, SUMIFS(tblRed[VALOR OPERATIVO], tblRed[Nodo Inicial], $C14, tblRed[Nodo Final], J$3, tblRed[Activo], 1), 0)</f>
        <v>0</v>
      </c>
      <c r="K14" s="77">
        <f>IF(MatrizDeAdyacencia!K14=1, SUMIFS(tblRed[VALOR OPERATIVO], tblRed[Nodo Inicial], $C14, tblRed[Nodo Final], K$3, tblRed[Activo], 1), 0)</f>
        <v>0</v>
      </c>
      <c r="L14" s="77">
        <f>IF(MatrizDeAdyacencia!L14=1, SUMIFS(tblRed[VALOR OPERATIVO], tblRed[Nodo Inicial], $C14, tblRed[Nodo Final], L$3, tblRed[Activo], 1), 0)</f>
        <v>0</v>
      </c>
      <c r="M14" s="77">
        <f>IF(MatrizDeAdyacencia!M14=1, SUMIFS(tblRed[VALOR OPERATIVO], tblRed[Nodo Inicial], $C14, tblRed[Nodo Final], M$3, tblRed[Activo], 1), 0)</f>
        <v>0</v>
      </c>
      <c r="N14" s="77">
        <f>IF(MatrizDeAdyacencia!N14=1, SUMIFS(tblRed[VALOR OPERATIVO], tblRed[Nodo Inicial], $C14, tblRed[Nodo Final], N$3, tblRed[Activo], 1), 0)</f>
        <v>0</v>
      </c>
      <c r="O14" s="77">
        <f>IF(MatrizDeAdyacencia!O14=1, SUMIFS(tblRed[VALOR OPERATIVO], tblRed[Nodo Inicial], $C14, tblRed[Nodo Final], O$3, tblRed[Activo], 1), 0)</f>
        <v>0</v>
      </c>
      <c r="P14" s="77">
        <f>IF(MatrizDeAdyacencia!P14=1, SUMIFS(tblRed[VALOR OPERATIVO], tblRed[Nodo Inicial], $C14, tblRed[Nodo Final], P$3, tblRed[Activo], 1), 0)</f>
        <v>0</v>
      </c>
      <c r="Q14" s="77">
        <f>IF(MatrizDeAdyacencia!Q14=1, SUMIFS(tblRed[VALOR OPERATIVO], tblRed[Nodo Inicial], $C14, tblRed[Nodo Final], Q$3, tblRed[Activo], 1), 0)</f>
        <v>0</v>
      </c>
      <c r="R14" s="77">
        <f>IF(MatrizDeAdyacencia!R14=1, SUMIFS(tblRed[VALOR OPERATIVO], tblRed[Nodo Inicial], $C14, tblRed[Nodo Final], R$3, tblRed[Activo], 1), 0)</f>
        <v>0</v>
      </c>
      <c r="S14" s="77">
        <f>IF(MatrizDeAdyacencia!S14=1, SUMIFS(tblRed[VALOR OPERATIVO], tblRed[Nodo Inicial], $C14, tblRed[Nodo Final], S$3, tblRed[Activo], 1), 0)</f>
        <v>6.7142857142857144</v>
      </c>
      <c r="T14" s="77">
        <f>IF(MatrizDeAdyacencia!T14=1, SUMIFS(tblRed[VALOR OPERATIVO], tblRed[Nodo Inicial], $C14, tblRed[Nodo Final], T$3, tblRed[Activo], 1), 0)</f>
        <v>0</v>
      </c>
      <c r="U14" s="77">
        <f>IF(MatrizDeAdyacencia!U14=1, SUMIFS(tblRed[VALOR OPERATIVO], tblRed[Nodo Inicial], $C14, tblRed[Nodo Final], U$3, tblRed[Activo], 1), 0)</f>
        <v>0</v>
      </c>
      <c r="V14" s="79">
        <f>IF(MatrizDeAdyacencia!V14=1, SUMIFS(tblRed[VALOR OPERATIVO], tblRed[Nodo Inicial], $C14, tblRed[Nodo Final], V$3, tblRed[Activo], 1), 0)</f>
        <v>0</v>
      </c>
      <c r="W14" s="77">
        <f>IF(MatrizDeAdyacencia!W14=1, SUMIFS(tblRed[VALOR OPERATIVO], tblRed[Nodo Inicial], $C14, tblRed[Nodo Final], W$3, tblRed[Activo], 1), 0)</f>
        <v>8.7894736842105257</v>
      </c>
      <c r="X14" s="77">
        <f>IF(MatrizDeAdyacencia!X14=1, SUMIFS(tblRed[VALOR OPERATIVO], tblRed[Nodo Inicial], $C14, tblRed[Nodo Final], X$3, tblRed[Activo], 1), 0)</f>
        <v>0</v>
      </c>
      <c r="Y14" s="77">
        <f>IF(MatrizDeAdyacencia!Y14=1, SUMIFS(tblRed[VALOR OPERATIVO], tblRed[Nodo Inicial], $C14, tblRed[Nodo Final], Y$3, tblRed[Activo], 1), 0)</f>
        <v>0</v>
      </c>
      <c r="Z14" s="77">
        <f>IF(MatrizDeAdyacencia!Z14=1, SUMIFS(tblRed[VALOR OPERATIVO], tblRed[Nodo Inicial], $C14, tblRed[Nodo Final], Z$3, tblRed[Activo], 1), 0)</f>
        <v>0</v>
      </c>
      <c r="AA14" s="77">
        <f>IF(MatrizDeAdyacencia!AA14=1, SUMIFS(tblRed[VALOR OPERATIVO], tblRed[Nodo Inicial], $C14, tblRed[Nodo Final], AA$3, tblRed[Activo], 1), 0)</f>
        <v>0</v>
      </c>
      <c r="AB14" s="77">
        <f>IF(MatrizDeAdyacencia!AB14=1, SUMIFS(tblRed[VALOR OPERATIVO], tblRed[Nodo Inicial], $C14, tblRed[Nodo Final], AB$3, tblRed[Activo], 1), 0)</f>
        <v>0</v>
      </c>
      <c r="AC14" s="77">
        <f>IF(MatrizDeAdyacencia!AC14=1, SUMIFS(tblRed[VALOR OPERATIVO], tblRed[Nodo Inicial], $C14, tblRed[Nodo Final], AC$3, tblRed[Activo], 1), 0)</f>
        <v>0</v>
      </c>
      <c r="AD14" s="77">
        <f>IF(MatrizDeAdyacencia!AD14=1, SUMIFS(tblRed[VALOR OPERATIVO], tblRed[Nodo Inicial], $C14, tblRed[Nodo Final], AD$3, tblRed[Activo], 1), 0)</f>
        <v>0</v>
      </c>
      <c r="AE14" s="77">
        <f>IF(MatrizDeAdyacencia!AE14=1, SUMIFS(tblRed[VALOR OPERATIVO], tblRed[Nodo Inicial], $C14, tblRed[Nodo Final], AE$3, tblRed[Activo], 1), 0)</f>
        <v>0</v>
      </c>
      <c r="AF14" s="77">
        <f>IF(MatrizDeAdyacencia!AF14=1, SUMIFS(tblRed[VALOR OPERATIVO], tblRed[Nodo Inicial], $C14, tblRed[Nodo Final], AF$3, tblRed[Activo], 1), 0)</f>
        <v>0</v>
      </c>
      <c r="AG14" s="77">
        <f>IF(MatrizDeAdyacencia!AG14=1, SUMIFS(tblRed[VALOR OPERATIVO], tblRed[Nodo Inicial], $C14, tblRed[Nodo Final], AG$3, tblRed[Activo], 1), 0)</f>
        <v>9</v>
      </c>
      <c r="AH14" s="77">
        <f>IF(MatrizDeAdyacencia!AH14=1, SUMIFS(tblRed[VALOR OPERATIVO], tblRed[Nodo Inicial], $C14, tblRed[Nodo Final], AH$3, tblRed[Activo], 1), 0)</f>
        <v>0</v>
      </c>
    </row>
    <row r="15" spans="2:34" ht="17.25" customHeight="1" x14ac:dyDescent="0.25">
      <c r="B15" s="8" t="str">
        <f>VLOOKUP(tblMatrizPonderadaValorOperativo[[#This Row],[Nodo Orig.\Dest.]],tblNodos[],2,FALSE)</f>
        <v>Colectores digitales instrumentales</v>
      </c>
      <c r="C15" s="4" t="s">
        <v>47</v>
      </c>
      <c r="D15" s="77">
        <f>IF(MatrizDeAdyacencia!D15=1, SUMIFS(tblRed[VALOR OPERATIVO], tblRed[Nodo Inicial], $C15, tblRed[Nodo Final], D$3, tblRed[Activo], 1), 0)</f>
        <v>0</v>
      </c>
      <c r="E15" s="77">
        <f>IF(MatrizDeAdyacencia!E15=1, SUMIFS(tblRed[VALOR OPERATIVO], tblRed[Nodo Inicial], $C15, tblRed[Nodo Final], E$3, tblRed[Activo], 1), 0)</f>
        <v>0</v>
      </c>
      <c r="F15" s="77">
        <f>IF(MatrizDeAdyacencia!F15=1, SUMIFS(tblRed[VALOR OPERATIVO], tblRed[Nodo Inicial], $C15, tblRed[Nodo Final], F$3, tblRed[Activo], 1), 0)</f>
        <v>0</v>
      </c>
      <c r="G15" s="77">
        <f>IF(MatrizDeAdyacencia!G15=1, SUMIFS(tblRed[VALOR OPERATIVO], tblRed[Nodo Inicial], $C15, tblRed[Nodo Final], G$3, tblRed[Activo], 1), 0)</f>
        <v>0</v>
      </c>
      <c r="H15" s="77">
        <f>IF(MatrizDeAdyacencia!H15=1, SUMIFS(tblRed[VALOR OPERATIVO], tblRed[Nodo Inicial], $C15, tblRed[Nodo Final], H$3, tblRed[Activo], 1), 0)</f>
        <v>0</v>
      </c>
      <c r="I15" s="77">
        <f>IF(MatrizDeAdyacencia!I15=1, SUMIFS(tblRed[VALOR OPERATIVO], tblRed[Nodo Inicial], $C15, tblRed[Nodo Final], I$3, tblRed[Activo], 1), 0)</f>
        <v>0</v>
      </c>
      <c r="J15" s="77">
        <f>IF(MatrizDeAdyacencia!J15=1, SUMIFS(tblRed[VALOR OPERATIVO], tblRed[Nodo Inicial], $C15, tblRed[Nodo Final], J$3, tblRed[Activo], 1), 0)</f>
        <v>0</v>
      </c>
      <c r="K15" s="77">
        <f>IF(MatrizDeAdyacencia!K15=1, SUMIFS(tblRed[VALOR OPERATIVO], tblRed[Nodo Inicial], $C15, tblRed[Nodo Final], K$3, tblRed[Activo], 1), 0)</f>
        <v>0</v>
      </c>
      <c r="L15" s="77">
        <f>IF(MatrizDeAdyacencia!L15=1, SUMIFS(tblRed[VALOR OPERATIVO], tblRed[Nodo Inicial], $C15, tblRed[Nodo Final], L$3, tblRed[Activo], 1), 0)</f>
        <v>0</v>
      </c>
      <c r="M15" s="77">
        <f>IF(MatrizDeAdyacencia!M15=1, SUMIFS(tblRed[VALOR OPERATIVO], tblRed[Nodo Inicial], $C15, tblRed[Nodo Final], M$3, tblRed[Activo], 1), 0)</f>
        <v>0</v>
      </c>
      <c r="N15" s="77">
        <f>IF(MatrizDeAdyacencia!N15=1, SUMIFS(tblRed[VALOR OPERATIVO], tblRed[Nodo Inicial], $C15, tblRed[Nodo Final], N$3, tblRed[Activo], 1), 0)</f>
        <v>0</v>
      </c>
      <c r="O15" s="77">
        <f>IF(MatrizDeAdyacencia!O15=1, SUMIFS(tblRed[VALOR OPERATIVO], tblRed[Nodo Inicial], $C15, tblRed[Nodo Final], O$3, tblRed[Activo], 1), 0)</f>
        <v>0</v>
      </c>
      <c r="P15" s="77">
        <f>IF(MatrizDeAdyacencia!P15=1, SUMIFS(tblRed[VALOR OPERATIVO], tblRed[Nodo Inicial], $C15, tblRed[Nodo Final], P$3, tblRed[Activo], 1), 0)</f>
        <v>0</v>
      </c>
      <c r="Q15" s="77">
        <f>IF(MatrizDeAdyacencia!Q15=1, SUMIFS(tblRed[VALOR OPERATIVO], tblRed[Nodo Inicial], $C15, tblRed[Nodo Final], Q$3, tblRed[Activo], 1), 0)</f>
        <v>0</v>
      </c>
      <c r="R15" s="77">
        <f>IF(MatrizDeAdyacencia!R15=1, SUMIFS(tblRed[VALOR OPERATIVO], tblRed[Nodo Inicial], $C15, tblRed[Nodo Final], R$3, tblRed[Activo], 1), 0)</f>
        <v>0</v>
      </c>
      <c r="S15" s="77">
        <f>IF(MatrizDeAdyacencia!S15=1, SUMIFS(tblRed[VALOR OPERATIVO], tblRed[Nodo Inicial], $C15, tblRed[Nodo Final], S$3, tblRed[Activo], 1), 0)</f>
        <v>0</v>
      </c>
      <c r="T15" s="77">
        <f>IF(MatrizDeAdyacencia!T15=1, SUMIFS(tblRed[VALOR OPERATIVO], tblRed[Nodo Inicial], $C15, tblRed[Nodo Final], T$3, tblRed[Activo], 1), 0)</f>
        <v>0</v>
      </c>
      <c r="U15" s="77">
        <f>IF(MatrizDeAdyacencia!U15=1, SUMIFS(tblRed[VALOR OPERATIVO], tblRed[Nodo Inicial], $C15, tblRed[Nodo Final], U$3, tblRed[Activo], 1), 0)</f>
        <v>0</v>
      </c>
      <c r="V15" s="79">
        <f>IF(MatrizDeAdyacencia!V15=1, SUMIFS(tblRed[VALOR OPERATIVO], tblRed[Nodo Inicial], $C15, tblRed[Nodo Final], V$3, tblRed[Activo], 1), 0)</f>
        <v>0</v>
      </c>
      <c r="W15" s="77">
        <f>IF(MatrizDeAdyacencia!W15=1, SUMIFS(tblRed[VALOR OPERATIVO], tblRed[Nodo Inicial], $C15, tblRed[Nodo Final], W$3, tblRed[Activo], 1), 0)</f>
        <v>8.6521739130434767</v>
      </c>
      <c r="X15" s="77">
        <f>IF(MatrizDeAdyacencia!X15=1, SUMIFS(tblRed[VALOR OPERATIVO], tblRed[Nodo Inicial], $C15, tblRed[Nodo Final], X$3, tblRed[Activo], 1), 0)</f>
        <v>9.5833333333333321</v>
      </c>
      <c r="Y15" s="77">
        <f>IF(MatrizDeAdyacencia!Y15=1, SUMIFS(tblRed[VALOR OPERATIVO], tblRed[Nodo Inicial], $C15, tblRed[Nodo Final], Y$3, tblRed[Activo], 1), 0)</f>
        <v>0</v>
      </c>
      <c r="Z15" s="77">
        <f>IF(MatrizDeAdyacencia!Z15=1, SUMIFS(tblRed[VALOR OPERATIVO], tblRed[Nodo Inicial], $C15, tblRed[Nodo Final], Z$3, tblRed[Activo], 1), 0)</f>
        <v>0</v>
      </c>
      <c r="AA15" s="77">
        <f>IF(MatrizDeAdyacencia!AA15=1, SUMIFS(tblRed[VALOR OPERATIVO], tblRed[Nodo Inicial], $C15, tblRed[Nodo Final], AA$3, tblRed[Activo], 1), 0)</f>
        <v>0</v>
      </c>
      <c r="AB15" s="77">
        <f>IF(MatrizDeAdyacencia!AB15=1, SUMIFS(tblRed[VALOR OPERATIVO], tblRed[Nodo Inicial], $C15, tblRed[Nodo Final], AB$3, tblRed[Activo], 1), 0)</f>
        <v>0</v>
      </c>
      <c r="AC15" s="77">
        <f>IF(MatrizDeAdyacencia!AC15=1, SUMIFS(tblRed[VALOR OPERATIVO], tblRed[Nodo Inicial], $C15, tblRed[Nodo Final], AC$3, tblRed[Activo], 1), 0)</f>
        <v>0</v>
      </c>
      <c r="AD15" s="77">
        <f>IF(MatrizDeAdyacencia!AD15=1, SUMIFS(tblRed[VALOR OPERATIVO], tblRed[Nodo Inicial], $C15, tblRed[Nodo Final], AD$3, tblRed[Activo], 1), 0)</f>
        <v>0</v>
      </c>
      <c r="AE15" s="77">
        <f>IF(MatrizDeAdyacencia!AE15=1, SUMIFS(tblRed[VALOR OPERATIVO], tblRed[Nodo Inicial], $C15, tblRed[Nodo Final], AE$3, tblRed[Activo], 1), 0)</f>
        <v>0</v>
      </c>
      <c r="AF15" s="77">
        <f>IF(MatrizDeAdyacencia!AF15=1, SUMIFS(tblRed[VALOR OPERATIVO], tblRed[Nodo Inicial], $C15, tblRed[Nodo Final], AF$3, tblRed[Activo], 1), 0)</f>
        <v>0</v>
      </c>
      <c r="AG15" s="77">
        <f>IF(MatrizDeAdyacencia!AG15=1, SUMIFS(tblRed[VALOR OPERATIVO], tblRed[Nodo Inicial], $C15, tblRed[Nodo Final], AG$3, tblRed[Activo], 1), 0)</f>
        <v>9.1538461538461551</v>
      </c>
      <c r="AH15" s="77">
        <f>IF(MatrizDeAdyacencia!AH15=1, SUMIFS(tblRed[VALOR OPERATIVO], tblRed[Nodo Inicial], $C15, tblRed[Nodo Final], AH$3, tblRed[Activo], 1), 0)</f>
        <v>0</v>
      </c>
    </row>
    <row r="16" spans="2:34" ht="17.25" customHeight="1" x14ac:dyDescent="0.25">
      <c r="B16" s="8" t="str">
        <f>VLOOKUP(tblMatrizPonderadaValorOperativo[[#This Row],[Nodo Orig.\Dest.]],tblNodos[],2,FALSE)</f>
        <v>Colectores empresariales y vehiculares</v>
      </c>
      <c r="C16" s="4" t="s">
        <v>49</v>
      </c>
      <c r="D16" s="77">
        <f>IF(MatrizDeAdyacencia!D16=1, SUMIFS(tblRed[VALOR OPERATIVO], tblRed[Nodo Inicial], $C16, tblRed[Nodo Final], D$3, tblRed[Activo], 1), 0)</f>
        <v>0</v>
      </c>
      <c r="E16" s="77">
        <f>IF(MatrizDeAdyacencia!E16=1, SUMIFS(tblRed[VALOR OPERATIVO], tblRed[Nodo Inicial], $C16, tblRed[Nodo Final], E$3, tblRed[Activo], 1), 0)</f>
        <v>0</v>
      </c>
      <c r="F16" s="77">
        <f>IF(MatrizDeAdyacencia!F16=1, SUMIFS(tblRed[VALOR OPERATIVO], tblRed[Nodo Inicial], $C16, tblRed[Nodo Final], F$3, tblRed[Activo], 1), 0)</f>
        <v>0</v>
      </c>
      <c r="G16" s="77">
        <f>IF(MatrizDeAdyacencia!G16=1, SUMIFS(tblRed[VALOR OPERATIVO], tblRed[Nodo Inicial], $C16, tblRed[Nodo Final], G$3, tblRed[Activo], 1), 0)</f>
        <v>0</v>
      </c>
      <c r="H16" s="77">
        <f>IF(MatrizDeAdyacencia!H16=1, SUMIFS(tblRed[VALOR OPERATIVO], tblRed[Nodo Inicial], $C16, tblRed[Nodo Final], H$3, tblRed[Activo], 1), 0)</f>
        <v>0</v>
      </c>
      <c r="I16" s="77">
        <f>IF(MatrizDeAdyacencia!I16=1, SUMIFS(tblRed[VALOR OPERATIVO], tblRed[Nodo Inicial], $C16, tblRed[Nodo Final], I$3, tblRed[Activo], 1), 0)</f>
        <v>0</v>
      </c>
      <c r="J16" s="77">
        <f>IF(MatrizDeAdyacencia!J16=1, SUMIFS(tblRed[VALOR OPERATIVO], tblRed[Nodo Inicial], $C16, tblRed[Nodo Final], J$3, tblRed[Activo], 1), 0)</f>
        <v>0</v>
      </c>
      <c r="K16" s="77">
        <f>IF(MatrizDeAdyacencia!K16=1, SUMIFS(tblRed[VALOR OPERATIVO], tblRed[Nodo Inicial], $C16, tblRed[Nodo Final], K$3, tblRed[Activo], 1), 0)</f>
        <v>0</v>
      </c>
      <c r="L16" s="77">
        <f>IF(MatrizDeAdyacencia!L16=1, SUMIFS(tblRed[VALOR OPERATIVO], tblRed[Nodo Inicial], $C16, tblRed[Nodo Final], L$3, tblRed[Activo], 1), 0)</f>
        <v>0</v>
      </c>
      <c r="M16" s="77">
        <f>IF(MatrizDeAdyacencia!M16=1, SUMIFS(tblRed[VALOR OPERATIVO], tblRed[Nodo Inicial], $C16, tblRed[Nodo Final], M$3, tblRed[Activo], 1), 0)</f>
        <v>0</v>
      </c>
      <c r="N16" s="77">
        <f>IF(MatrizDeAdyacencia!N16=1, SUMIFS(tblRed[VALOR OPERATIVO], tblRed[Nodo Inicial], $C16, tblRed[Nodo Final], N$3, tblRed[Activo], 1), 0)</f>
        <v>0</v>
      </c>
      <c r="O16" s="77">
        <f>IF(MatrizDeAdyacencia!O16=1, SUMIFS(tblRed[VALOR OPERATIVO], tblRed[Nodo Inicial], $C16, tblRed[Nodo Final], O$3, tblRed[Activo], 1), 0)</f>
        <v>0</v>
      </c>
      <c r="P16" s="77">
        <f>IF(MatrizDeAdyacencia!P16=1, SUMIFS(tblRed[VALOR OPERATIVO], tblRed[Nodo Inicial], $C16, tblRed[Nodo Final], P$3, tblRed[Activo], 1), 0)</f>
        <v>0</v>
      </c>
      <c r="Q16" s="77">
        <f>IF(MatrizDeAdyacencia!Q16=1, SUMIFS(tblRed[VALOR OPERATIVO], tblRed[Nodo Inicial], $C16, tblRed[Nodo Final], Q$3, tblRed[Activo], 1), 0)</f>
        <v>0</v>
      </c>
      <c r="R16" s="77">
        <f>IF(MatrizDeAdyacencia!R16=1, SUMIFS(tblRed[VALOR OPERATIVO], tblRed[Nodo Inicial], $C16, tblRed[Nodo Final], R$3, tblRed[Activo], 1), 0)</f>
        <v>0</v>
      </c>
      <c r="S16" s="77">
        <f>IF(MatrizDeAdyacencia!S16=1, SUMIFS(tblRed[VALOR OPERATIVO], tblRed[Nodo Inicial], $C16, tblRed[Nodo Final], S$3, tblRed[Activo], 1), 0)</f>
        <v>0</v>
      </c>
      <c r="T16" s="77">
        <f>IF(MatrizDeAdyacencia!T16=1, SUMIFS(tblRed[VALOR OPERATIVO], tblRed[Nodo Inicial], $C16, tblRed[Nodo Final], T$3, tblRed[Activo], 1), 0)</f>
        <v>0</v>
      </c>
      <c r="U16" s="77">
        <f>IF(MatrizDeAdyacencia!U16=1, SUMIFS(tblRed[VALOR OPERATIVO], tblRed[Nodo Inicial], $C16, tblRed[Nodo Final], U$3, tblRed[Activo], 1), 0)</f>
        <v>0</v>
      </c>
      <c r="V16" s="79">
        <f>IF(MatrizDeAdyacencia!V16=1, SUMIFS(tblRed[VALOR OPERATIVO], tblRed[Nodo Inicial], $C16, tblRed[Nodo Final], V$3, tblRed[Activo], 1), 0)</f>
        <v>11.5</v>
      </c>
      <c r="W16" s="77">
        <f>IF(MatrizDeAdyacencia!W16=1, SUMIFS(tblRed[VALOR OPERATIVO], tblRed[Nodo Inicial], $C16, tblRed[Nodo Final], W$3, tblRed[Activo], 1), 0)</f>
        <v>8.7333333333333325</v>
      </c>
      <c r="X16" s="77">
        <f>IF(MatrizDeAdyacencia!X16=1, SUMIFS(tblRed[VALOR OPERATIVO], tblRed[Nodo Inicial], $C16, tblRed[Nodo Final], X$3, tblRed[Activo], 1), 0)</f>
        <v>0</v>
      </c>
      <c r="Y16" s="77">
        <f>IF(MatrizDeAdyacencia!Y16=1, SUMIFS(tblRed[VALOR OPERATIVO], tblRed[Nodo Inicial], $C16, tblRed[Nodo Final], Y$3, tblRed[Activo], 1), 0)</f>
        <v>9.4285714285714288</v>
      </c>
      <c r="Z16" s="77">
        <f>IF(MatrizDeAdyacencia!Z16=1, SUMIFS(tblRed[VALOR OPERATIVO], tblRed[Nodo Inicial], $C16, tblRed[Nodo Final], Z$3, tblRed[Activo], 1), 0)</f>
        <v>0</v>
      </c>
      <c r="AA16" s="77">
        <f>IF(MatrizDeAdyacencia!AA16=1, SUMIFS(tblRed[VALOR OPERATIVO], tblRed[Nodo Inicial], $C16, tblRed[Nodo Final], AA$3, tblRed[Activo], 1), 0)</f>
        <v>0</v>
      </c>
      <c r="AB16" s="77">
        <f>IF(MatrizDeAdyacencia!AB16=1, SUMIFS(tblRed[VALOR OPERATIVO], tblRed[Nodo Inicial], $C16, tblRed[Nodo Final], AB$3, tblRed[Activo], 1), 0)</f>
        <v>10.25</v>
      </c>
      <c r="AC16" s="77">
        <f>IF(MatrizDeAdyacencia!AC16=1, SUMIFS(tblRed[VALOR OPERATIVO], tblRed[Nodo Inicial], $C16, tblRed[Nodo Final], AC$3, tblRed[Activo], 1), 0)</f>
        <v>0</v>
      </c>
      <c r="AD16" s="77">
        <f>IF(MatrizDeAdyacencia!AD16=1, SUMIFS(tblRed[VALOR OPERATIVO], tblRed[Nodo Inicial], $C16, tblRed[Nodo Final], AD$3, tblRed[Activo], 1), 0)</f>
        <v>0</v>
      </c>
      <c r="AE16" s="77">
        <f>IF(MatrizDeAdyacencia!AE16=1, SUMIFS(tblRed[VALOR OPERATIVO], tblRed[Nodo Inicial], $C16, tblRed[Nodo Final], AE$3, tblRed[Activo], 1), 0)</f>
        <v>0</v>
      </c>
      <c r="AF16" s="77">
        <f>IF(MatrizDeAdyacencia!AF16=1, SUMIFS(tblRed[VALOR OPERATIVO], tblRed[Nodo Inicial], $C16, tblRed[Nodo Final], AF$3, tblRed[Activo], 1), 0)</f>
        <v>0</v>
      </c>
      <c r="AG16" s="77">
        <f>IF(MatrizDeAdyacencia!AG16=1, SUMIFS(tblRed[VALOR OPERATIVO], tblRed[Nodo Inicial], $C16, tblRed[Nodo Final], AG$3, tblRed[Activo], 1), 0)</f>
        <v>0</v>
      </c>
      <c r="AH16" s="77">
        <f>IF(MatrizDeAdyacencia!AH16=1, SUMIFS(tblRed[VALOR OPERATIVO], tblRed[Nodo Inicial], $C16, tblRed[Nodo Final], AH$3, tblRed[Activo], 1), 0)</f>
        <v>0</v>
      </c>
    </row>
    <row r="17" spans="2:34" ht="17.25" customHeight="1" x14ac:dyDescent="0.25">
      <c r="B17" s="8" t="str">
        <f>VLOOKUP(tblMatrizPonderadaValorOperativo[[#This Row],[Nodo Orig.\Dest.]],tblNodos[],2,FALSE)</f>
        <v>Colectores instrumentales / de ocultación</v>
      </c>
      <c r="C17" s="4" t="s">
        <v>51</v>
      </c>
      <c r="D17" s="77">
        <f>IF(MatrizDeAdyacencia!D17=1, SUMIFS(tblRed[VALOR OPERATIVO], tblRed[Nodo Inicial], $C17, tblRed[Nodo Final], D$3, tblRed[Activo], 1), 0)</f>
        <v>0</v>
      </c>
      <c r="E17" s="77">
        <f>IF(MatrizDeAdyacencia!E17=1, SUMIFS(tblRed[VALOR OPERATIVO], tblRed[Nodo Inicial], $C17, tblRed[Nodo Final], E$3, tblRed[Activo], 1), 0)</f>
        <v>0</v>
      </c>
      <c r="F17" s="77">
        <f>IF(MatrizDeAdyacencia!F17=1, SUMIFS(tblRed[VALOR OPERATIVO], tblRed[Nodo Inicial], $C17, tblRed[Nodo Final], F$3, tblRed[Activo], 1), 0)</f>
        <v>0</v>
      </c>
      <c r="G17" s="77">
        <f>IF(MatrizDeAdyacencia!G17=1, SUMIFS(tblRed[VALOR OPERATIVO], tblRed[Nodo Inicial], $C17, tblRed[Nodo Final], G$3, tblRed[Activo], 1), 0)</f>
        <v>0</v>
      </c>
      <c r="H17" s="77">
        <f>IF(MatrizDeAdyacencia!H17=1, SUMIFS(tblRed[VALOR OPERATIVO], tblRed[Nodo Inicial], $C17, tblRed[Nodo Final], H$3, tblRed[Activo], 1), 0)</f>
        <v>0</v>
      </c>
      <c r="I17" s="77">
        <f>IF(MatrizDeAdyacencia!I17=1, SUMIFS(tblRed[VALOR OPERATIVO], tblRed[Nodo Inicial], $C17, tblRed[Nodo Final], I$3, tblRed[Activo], 1), 0)</f>
        <v>0</v>
      </c>
      <c r="J17" s="77">
        <f>IF(MatrizDeAdyacencia!J17=1, SUMIFS(tblRed[VALOR OPERATIVO], tblRed[Nodo Inicial], $C17, tblRed[Nodo Final], J$3, tblRed[Activo], 1), 0)</f>
        <v>0</v>
      </c>
      <c r="K17" s="77">
        <f>IF(MatrizDeAdyacencia!K17=1, SUMIFS(tblRed[VALOR OPERATIVO], tblRed[Nodo Inicial], $C17, tblRed[Nodo Final], K$3, tblRed[Activo], 1), 0)</f>
        <v>0</v>
      </c>
      <c r="L17" s="77">
        <f>IF(MatrizDeAdyacencia!L17=1, SUMIFS(tblRed[VALOR OPERATIVO], tblRed[Nodo Inicial], $C17, tblRed[Nodo Final], L$3, tblRed[Activo], 1), 0)</f>
        <v>0</v>
      </c>
      <c r="M17" s="77">
        <f>IF(MatrizDeAdyacencia!M17=1, SUMIFS(tblRed[VALOR OPERATIVO], tblRed[Nodo Inicial], $C17, tblRed[Nodo Final], M$3, tblRed[Activo], 1), 0)</f>
        <v>0</v>
      </c>
      <c r="N17" s="77">
        <f>IF(MatrizDeAdyacencia!N17=1, SUMIFS(tblRed[VALOR OPERATIVO], tblRed[Nodo Inicial], $C17, tblRed[Nodo Final], N$3, tblRed[Activo], 1), 0)</f>
        <v>0</v>
      </c>
      <c r="O17" s="77">
        <f>IF(MatrizDeAdyacencia!O17=1, SUMIFS(tblRed[VALOR OPERATIVO], tblRed[Nodo Inicial], $C17, tblRed[Nodo Final], O$3, tblRed[Activo], 1), 0)</f>
        <v>0</v>
      </c>
      <c r="P17" s="77">
        <f>IF(MatrizDeAdyacencia!P17=1, SUMIFS(tblRed[VALOR OPERATIVO], tblRed[Nodo Inicial], $C17, tblRed[Nodo Final], P$3, tblRed[Activo], 1), 0)</f>
        <v>0</v>
      </c>
      <c r="Q17" s="77">
        <f>IF(MatrizDeAdyacencia!Q17=1, SUMIFS(tblRed[VALOR OPERATIVO], tblRed[Nodo Inicial], $C17, tblRed[Nodo Final], Q$3, tblRed[Activo], 1), 0)</f>
        <v>0</v>
      </c>
      <c r="R17" s="77">
        <f>IF(MatrizDeAdyacencia!R17=1, SUMIFS(tblRed[VALOR OPERATIVO], tblRed[Nodo Inicial], $C17, tblRed[Nodo Final], R$3, tblRed[Activo], 1), 0)</f>
        <v>0</v>
      </c>
      <c r="S17" s="77">
        <f>IF(MatrizDeAdyacencia!S17=1, SUMIFS(tblRed[VALOR OPERATIVO], tblRed[Nodo Inicial], $C17, tblRed[Nodo Final], S$3, tblRed[Activo], 1), 0)</f>
        <v>0</v>
      </c>
      <c r="T17" s="77">
        <f>IF(MatrizDeAdyacencia!T17=1, SUMIFS(tblRed[VALOR OPERATIVO], tblRed[Nodo Inicial], $C17, tblRed[Nodo Final], T$3, tblRed[Activo], 1), 0)</f>
        <v>9</v>
      </c>
      <c r="U17" s="77">
        <f>IF(MatrizDeAdyacencia!U17=1, SUMIFS(tblRed[VALOR OPERATIVO], tblRed[Nodo Inicial], $C17, tblRed[Nodo Final], U$3, tblRed[Activo], 1), 0)</f>
        <v>0</v>
      </c>
      <c r="V17" s="79">
        <f>IF(MatrizDeAdyacencia!V17=1, SUMIFS(tblRed[VALOR OPERATIVO], tblRed[Nodo Inicial], $C17, tblRed[Nodo Final], V$3, tblRed[Activo], 1), 0)</f>
        <v>11.5</v>
      </c>
      <c r="W17" s="77">
        <f>IF(MatrizDeAdyacencia!W17=1, SUMIFS(tblRed[VALOR OPERATIVO], tblRed[Nodo Inicial], $C17, tblRed[Nodo Final], W$3, tblRed[Activo], 1), 0)</f>
        <v>9</v>
      </c>
      <c r="X17" s="77">
        <f>IF(MatrizDeAdyacencia!X17=1, SUMIFS(tblRed[VALOR OPERATIVO], tblRed[Nodo Inicial], $C17, tblRed[Nodo Final], X$3, tblRed[Activo], 1), 0)</f>
        <v>0</v>
      </c>
      <c r="Y17" s="77">
        <f>IF(MatrizDeAdyacencia!Y17=1, SUMIFS(tblRed[VALOR OPERATIVO], tblRed[Nodo Inicial], $C17, tblRed[Nodo Final], Y$3, tblRed[Activo], 1), 0)</f>
        <v>0</v>
      </c>
      <c r="Z17" s="77">
        <f>IF(MatrizDeAdyacencia!Z17=1, SUMIFS(tblRed[VALOR OPERATIVO], tblRed[Nodo Inicial], $C17, tblRed[Nodo Final], Z$3, tblRed[Activo], 1), 0)</f>
        <v>0</v>
      </c>
      <c r="AA17" s="77">
        <f>IF(MatrizDeAdyacencia!AA17=1, SUMIFS(tblRed[VALOR OPERATIVO], tblRed[Nodo Inicial], $C17, tblRed[Nodo Final], AA$3, tblRed[Activo], 1), 0)</f>
        <v>6.6666666666666661</v>
      </c>
      <c r="AB17" s="77">
        <f>IF(MatrizDeAdyacencia!AB17=1, SUMIFS(tblRed[VALOR OPERATIVO], tblRed[Nodo Inicial], $C17, tblRed[Nodo Final], AB$3, tblRed[Activo], 1), 0)</f>
        <v>0</v>
      </c>
      <c r="AC17" s="77">
        <f>IF(MatrizDeAdyacencia!AC17=1, SUMIFS(tblRed[VALOR OPERATIVO], tblRed[Nodo Inicial], $C17, tblRed[Nodo Final], AC$3, tblRed[Activo], 1), 0)</f>
        <v>0</v>
      </c>
      <c r="AD17" s="77">
        <f>IF(MatrizDeAdyacencia!AD17=1, SUMIFS(tblRed[VALOR OPERATIVO], tblRed[Nodo Inicial], $C17, tblRed[Nodo Final], AD$3, tblRed[Activo], 1), 0)</f>
        <v>0</v>
      </c>
      <c r="AE17" s="77">
        <f>IF(MatrizDeAdyacencia!AE17=1, SUMIFS(tblRed[VALOR OPERATIVO], tblRed[Nodo Inicial], $C17, tblRed[Nodo Final], AE$3, tblRed[Activo], 1), 0)</f>
        <v>0</v>
      </c>
      <c r="AF17" s="77">
        <f>IF(MatrizDeAdyacencia!AF17=1, SUMIFS(tblRed[VALOR OPERATIVO], tblRed[Nodo Inicial], $C17, tblRed[Nodo Final], AF$3, tblRed[Activo], 1), 0)</f>
        <v>0</v>
      </c>
      <c r="AG17" s="77">
        <f>IF(MatrizDeAdyacencia!AG17=1, SUMIFS(tblRed[VALOR OPERATIVO], tblRed[Nodo Inicial], $C17, tblRed[Nodo Final], AG$3, tblRed[Activo], 1), 0)</f>
        <v>0</v>
      </c>
      <c r="AH17" s="77">
        <f>IF(MatrizDeAdyacencia!AH17=1, SUMIFS(tblRed[VALOR OPERATIVO], tblRed[Nodo Inicial], $C17, tblRed[Nodo Final], AH$3, tblRed[Activo], 1), 0)</f>
        <v>0</v>
      </c>
    </row>
    <row r="18" spans="2:34" ht="17.25" customHeight="1" x14ac:dyDescent="0.25">
      <c r="B18" s="8" t="str">
        <f>VLOOKUP(tblMatrizPonderadaValorOperativo[[#This Row],[Nodo Orig.\Dest.]],tblNodos[],2,FALSE)</f>
        <v>Intermediarios físicos de transporte de valor</v>
      </c>
      <c r="C18" s="4" t="s">
        <v>53</v>
      </c>
      <c r="D18" s="77">
        <f>IF(MatrizDeAdyacencia!D18=1, SUMIFS(tblRed[VALOR OPERATIVO], tblRed[Nodo Inicial], $C18, tblRed[Nodo Final], D$3, tblRed[Activo], 1), 0)</f>
        <v>0</v>
      </c>
      <c r="E18" s="77">
        <f>IF(MatrizDeAdyacencia!E18=1, SUMIFS(tblRed[VALOR OPERATIVO], tblRed[Nodo Inicial], $C18, tblRed[Nodo Final], E$3, tblRed[Activo], 1), 0)</f>
        <v>0</v>
      </c>
      <c r="F18" s="77">
        <f>IF(MatrizDeAdyacencia!F18=1, SUMIFS(tblRed[VALOR OPERATIVO], tblRed[Nodo Inicial], $C18, tblRed[Nodo Final], F$3, tblRed[Activo], 1), 0)</f>
        <v>0</v>
      </c>
      <c r="G18" s="77">
        <f>IF(MatrizDeAdyacencia!G18=1, SUMIFS(tblRed[VALOR OPERATIVO], tblRed[Nodo Inicial], $C18, tblRed[Nodo Final], G$3, tblRed[Activo], 1), 0)</f>
        <v>0</v>
      </c>
      <c r="H18" s="77">
        <f>IF(MatrizDeAdyacencia!H18=1, SUMIFS(tblRed[VALOR OPERATIVO], tblRed[Nodo Inicial], $C18, tblRed[Nodo Final], H$3, tblRed[Activo], 1), 0)</f>
        <v>0</v>
      </c>
      <c r="I18" s="77">
        <f>IF(MatrizDeAdyacencia!I18=1, SUMIFS(tblRed[VALOR OPERATIVO], tblRed[Nodo Inicial], $C18, tblRed[Nodo Final], I$3, tblRed[Activo], 1), 0)</f>
        <v>0</v>
      </c>
      <c r="J18" s="77">
        <f>IF(MatrizDeAdyacencia!J18=1, SUMIFS(tblRed[VALOR OPERATIVO], tblRed[Nodo Inicial], $C18, tblRed[Nodo Final], J$3, tblRed[Activo], 1), 0)</f>
        <v>0</v>
      </c>
      <c r="K18" s="77">
        <f>IF(MatrizDeAdyacencia!K18=1, SUMIFS(tblRed[VALOR OPERATIVO], tblRed[Nodo Inicial], $C18, tblRed[Nodo Final], K$3, tblRed[Activo], 1), 0)</f>
        <v>0</v>
      </c>
      <c r="L18" s="77">
        <f>IF(MatrizDeAdyacencia!L18=1, SUMIFS(tblRed[VALOR OPERATIVO], tblRed[Nodo Inicial], $C18, tblRed[Nodo Final], L$3, tblRed[Activo], 1), 0)</f>
        <v>0</v>
      </c>
      <c r="M18" s="77">
        <f>IF(MatrizDeAdyacencia!M18=1, SUMIFS(tblRed[VALOR OPERATIVO], tblRed[Nodo Inicial], $C18, tblRed[Nodo Final], M$3, tblRed[Activo], 1), 0)</f>
        <v>0</v>
      </c>
      <c r="N18" s="77">
        <f>IF(MatrizDeAdyacencia!N18=1, SUMIFS(tblRed[VALOR OPERATIVO], tblRed[Nodo Inicial], $C18, tblRed[Nodo Final], N$3, tblRed[Activo], 1), 0)</f>
        <v>0</v>
      </c>
      <c r="O18" s="77">
        <f>IF(MatrizDeAdyacencia!O18=1, SUMIFS(tblRed[VALOR OPERATIVO], tblRed[Nodo Inicial], $C18, tblRed[Nodo Final], O$3, tblRed[Activo], 1), 0)</f>
        <v>0</v>
      </c>
      <c r="P18" s="77">
        <f>IF(MatrizDeAdyacencia!P18=1, SUMIFS(tblRed[VALOR OPERATIVO], tblRed[Nodo Inicial], $C18, tblRed[Nodo Final], P$3, tblRed[Activo], 1), 0)</f>
        <v>0</v>
      </c>
      <c r="Q18" s="77">
        <f>IF(MatrizDeAdyacencia!Q18=1, SUMIFS(tblRed[VALOR OPERATIVO], tblRed[Nodo Inicial], $C18, tblRed[Nodo Final], Q$3, tblRed[Activo], 1), 0)</f>
        <v>0</v>
      </c>
      <c r="R18" s="77">
        <f>IF(MatrizDeAdyacencia!R18=1, SUMIFS(tblRed[VALOR OPERATIVO], tblRed[Nodo Inicial], $C18, tblRed[Nodo Final], R$3, tblRed[Activo], 1), 0)</f>
        <v>0</v>
      </c>
      <c r="S18" s="77">
        <f>IF(MatrizDeAdyacencia!S18=1, SUMIFS(tblRed[VALOR OPERATIVO], tblRed[Nodo Inicial], $C18, tblRed[Nodo Final], S$3, tblRed[Activo], 1), 0)</f>
        <v>0</v>
      </c>
      <c r="T18" s="77">
        <f>IF(MatrizDeAdyacencia!T18=1, SUMIFS(tblRed[VALOR OPERATIVO], tblRed[Nodo Inicial], $C18, tblRed[Nodo Final], T$3, tblRed[Activo], 1), 0)</f>
        <v>0</v>
      </c>
      <c r="U18" s="77">
        <f>IF(MatrizDeAdyacencia!U18=1, SUMIFS(tblRed[VALOR OPERATIVO], tblRed[Nodo Inicial], $C18, tblRed[Nodo Final], U$3, tblRed[Activo], 1), 0)</f>
        <v>0</v>
      </c>
      <c r="V18" s="79">
        <f>IF(MatrizDeAdyacencia!V18=1, SUMIFS(tblRed[VALOR OPERATIVO], tblRed[Nodo Inicial], $C18, tblRed[Nodo Final], V$3, tblRed[Activo], 1), 0)</f>
        <v>0</v>
      </c>
      <c r="W18" s="77">
        <f>IF(MatrizDeAdyacencia!W18=1, SUMIFS(tblRed[VALOR OPERATIVO], tblRed[Nodo Inicial], $C18, tblRed[Nodo Final], W$3, tblRed[Activo], 1), 0)</f>
        <v>0</v>
      </c>
      <c r="X18" s="77">
        <f>IF(MatrizDeAdyacencia!X18=1, SUMIFS(tblRed[VALOR OPERATIVO], tblRed[Nodo Inicial], $C18, tblRed[Nodo Final], X$3, tblRed[Activo], 1), 0)</f>
        <v>0</v>
      </c>
      <c r="Y18" s="77">
        <f>IF(MatrizDeAdyacencia!Y18=1, SUMIFS(tblRed[VALOR OPERATIVO], tblRed[Nodo Inicial], $C18, tblRed[Nodo Final], Y$3, tblRed[Activo], 1), 0)</f>
        <v>0</v>
      </c>
      <c r="Z18" s="77">
        <f>IF(MatrizDeAdyacencia!Z18=1, SUMIFS(tblRed[VALOR OPERATIVO], tblRed[Nodo Inicial], $C18, tblRed[Nodo Final], Z$3, tblRed[Activo], 1), 0)</f>
        <v>0</v>
      </c>
      <c r="AA18" s="77">
        <f>IF(MatrizDeAdyacencia!AA18=1, SUMIFS(tblRed[VALOR OPERATIVO], tblRed[Nodo Inicial], $C18, tblRed[Nodo Final], AA$3, tblRed[Activo], 1), 0)</f>
        <v>0</v>
      </c>
      <c r="AB18" s="77">
        <f>IF(MatrizDeAdyacencia!AB18=1, SUMIFS(tblRed[VALOR OPERATIVO], tblRed[Nodo Inicial], $C18, tblRed[Nodo Final], AB$3, tblRed[Activo], 1), 0)</f>
        <v>0</v>
      </c>
      <c r="AC18" s="77">
        <f>IF(MatrizDeAdyacencia!AC18=1, SUMIFS(tblRed[VALOR OPERATIVO], tblRed[Nodo Inicial], $C18, tblRed[Nodo Final], AC$3, tblRed[Activo], 1), 0)</f>
        <v>0</v>
      </c>
      <c r="AD18" s="77">
        <f>IF(MatrizDeAdyacencia!AD18=1, SUMIFS(tblRed[VALOR OPERATIVO], tblRed[Nodo Inicial], $C18, tblRed[Nodo Final], AD$3, tblRed[Activo], 1), 0)</f>
        <v>9.625</v>
      </c>
      <c r="AE18" s="77">
        <f>IF(MatrizDeAdyacencia!AE18=1, SUMIFS(tblRed[VALOR OPERATIVO], tblRed[Nodo Inicial], $C18, tblRed[Nodo Final], AE$3, tblRed[Activo], 1), 0)</f>
        <v>8.4</v>
      </c>
      <c r="AF18" s="77">
        <f>IF(MatrizDeAdyacencia!AF18=1, SUMIFS(tblRed[VALOR OPERATIVO], tblRed[Nodo Inicial], $C18, tblRed[Nodo Final], AF$3, tblRed[Activo], 1), 0)</f>
        <v>0</v>
      </c>
      <c r="AG18" s="77">
        <f>IF(MatrizDeAdyacencia!AG18=1, SUMIFS(tblRed[VALOR OPERATIVO], tblRed[Nodo Inicial], $C18, tblRed[Nodo Final], AG$3, tblRed[Activo], 1), 0)</f>
        <v>0</v>
      </c>
      <c r="AH18" s="77">
        <f>IF(MatrizDeAdyacencia!AH18=1, SUMIFS(tblRed[VALOR OPERATIVO], tblRed[Nodo Inicial], $C18, tblRed[Nodo Final], AH$3, tblRed[Activo], 1), 0)</f>
        <v>0</v>
      </c>
    </row>
    <row r="19" spans="2:34" ht="17.25" customHeight="1" x14ac:dyDescent="0.25">
      <c r="B19" s="8" t="str">
        <f>VLOOKUP(tblMatrizPonderadaValorOperativo[[#This Row],[Nodo Orig.\Dest.]],tblNodos[],2,FALSE)</f>
        <v>Intermediarios informales y paralelos</v>
      </c>
      <c r="C19" s="4" t="s">
        <v>55</v>
      </c>
      <c r="D19" s="77">
        <f>IF(MatrizDeAdyacencia!D19=1, SUMIFS(tblRed[VALOR OPERATIVO], tblRed[Nodo Inicial], $C19, tblRed[Nodo Final], D$3, tblRed[Activo], 1), 0)</f>
        <v>0</v>
      </c>
      <c r="E19" s="77">
        <f>IF(MatrizDeAdyacencia!E19=1, SUMIFS(tblRed[VALOR OPERATIVO], tblRed[Nodo Inicial], $C19, tblRed[Nodo Final], E$3, tblRed[Activo], 1), 0)</f>
        <v>0</v>
      </c>
      <c r="F19" s="77">
        <f>IF(MatrizDeAdyacencia!F19=1, SUMIFS(tblRed[VALOR OPERATIVO], tblRed[Nodo Inicial], $C19, tblRed[Nodo Final], F$3, tblRed[Activo], 1), 0)</f>
        <v>0</v>
      </c>
      <c r="G19" s="77">
        <f>IF(MatrizDeAdyacencia!G19=1, SUMIFS(tblRed[VALOR OPERATIVO], tblRed[Nodo Inicial], $C19, tblRed[Nodo Final], G$3, tblRed[Activo], 1), 0)</f>
        <v>0</v>
      </c>
      <c r="H19" s="77">
        <f>IF(MatrizDeAdyacencia!H19=1, SUMIFS(tblRed[VALOR OPERATIVO], tblRed[Nodo Inicial], $C19, tblRed[Nodo Final], H$3, tblRed[Activo], 1), 0)</f>
        <v>0</v>
      </c>
      <c r="I19" s="77">
        <f>IF(MatrizDeAdyacencia!I19=1, SUMIFS(tblRed[VALOR OPERATIVO], tblRed[Nodo Inicial], $C19, tblRed[Nodo Final], I$3, tblRed[Activo], 1), 0)</f>
        <v>0</v>
      </c>
      <c r="J19" s="77">
        <f>IF(MatrizDeAdyacencia!J19=1, SUMIFS(tblRed[VALOR OPERATIVO], tblRed[Nodo Inicial], $C19, tblRed[Nodo Final], J$3, tblRed[Activo], 1), 0)</f>
        <v>0</v>
      </c>
      <c r="K19" s="77">
        <f>IF(MatrizDeAdyacencia!K19=1, SUMIFS(tblRed[VALOR OPERATIVO], tblRed[Nodo Inicial], $C19, tblRed[Nodo Final], K$3, tblRed[Activo], 1), 0)</f>
        <v>0</v>
      </c>
      <c r="L19" s="77">
        <f>IF(MatrizDeAdyacencia!L19=1, SUMIFS(tblRed[VALOR OPERATIVO], tblRed[Nodo Inicial], $C19, tblRed[Nodo Final], L$3, tblRed[Activo], 1), 0)</f>
        <v>0</v>
      </c>
      <c r="M19" s="77">
        <f>IF(MatrizDeAdyacencia!M19=1, SUMIFS(tblRed[VALOR OPERATIVO], tblRed[Nodo Inicial], $C19, tblRed[Nodo Final], M$3, tblRed[Activo], 1), 0)</f>
        <v>0</v>
      </c>
      <c r="N19" s="77">
        <f>IF(MatrizDeAdyacencia!N19=1, SUMIFS(tblRed[VALOR OPERATIVO], tblRed[Nodo Inicial], $C19, tblRed[Nodo Final], N$3, tblRed[Activo], 1), 0)</f>
        <v>0</v>
      </c>
      <c r="O19" s="77">
        <f>IF(MatrizDeAdyacencia!O19=1, SUMIFS(tblRed[VALOR OPERATIVO], tblRed[Nodo Inicial], $C19, tblRed[Nodo Final], O$3, tblRed[Activo], 1), 0)</f>
        <v>0</v>
      </c>
      <c r="P19" s="77">
        <f>IF(MatrizDeAdyacencia!P19=1, SUMIFS(tblRed[VALOR OPERATIVO], tblRed[Nodo Inicial], $C19, tblRed[Nodo Final], P$3, tblRed[Activo], 1), 0)</f>
        <v>0</v>
      </c>
      <c r="Q19" s="77">
        <f>IF(MatrizDeAdyacencia!Q19=1, SUMIFS(tblRed[VALOR OPERATIVO], tblRed[Nodo Inicial], $C19, tblRed[Nodo Final], Q$3, tblRed[Activo], 1), 0)</f>
        <v>0</v>
      </c>
      <c r="R19" s="77">
        <f>IF(MatrizDeAdyacencia!R19=1, SUMIFS(tblRed[VALOR OPERATIVO], tblRed[Nodo Inicial], $C19, tblRed[Nodo Final], R$3, tblRed[Activo], 1), 0)</f>
        <v>0</v>
      </c>
      <c r="S19" s="77">
        <f>IF(MatrizDeAdyacencia!S19=1, SUMIFS(tblRed[VALOR OPERATIVO], tblRed[Nodo Inicial], $C19, tblRed[Nodo Final], S$3, tblRed[Activo], 1), 0)</f>
        <v>0</v>
      </c>
      <c r="T19" s="77">
        <f>IF(MatrizDeAdyacencia!T19=1, SUMIFS(tblRed[VALOR OPERATIVO], tblRed[Nodo Inicial], $C19, tblRed[Nodo Final], T$3, tblRed[Activo], 1), 0)</f>
        <v>0</v>
      </c>
      <c r="U19" s="77">
        <f>IF(MatrizDeAdyacencia!U19=1, SUMIFS(tblRed[VALOR OPERATIVO], tblRed[Nodo Inicial], $C19, tblRed[Nodo Final], U$3, tblRed[Activo], 1), 0)</f>
        <v>0</v>
      </c>
      <c r="V19" s="79">
        <f>IF(MatrizDeAdyacencia!V19=1, SUMIFS(tblRed[VALOR OPERATIVO], tblRed[Nodo Inicial], $C19, tblRed[Nodo Final], V$3, tblRed[Activo], 1), 0)</f>
        <v>0</v>
      </c>
      <c r="W19" s="77">
        <f>IF(MatrizDeAdyacencia!W19=1, SUMIFS(tblRed[VALOR OPERATIVO], tblRed[Nodo Inicial], $C19, tblRed[Nodo Final], W$3, tblRed[Activo], 1), 0)</f>
        <v>0</v>
      </c>
      <c r="X19" s="77">
        <f>IF(MatrizDeAdyacencia!X19=1, SUMIFS(tblRed[VALOR OPERATIVO], tblRed[Nodo Inicial], $C19, tblRed[Nodo Final], X$3, tblRed[Activo], 1), 0)</f>
        <v>0</v>
      </c>
      <c r="Y19" s="77">
        <f>IF(MatrizDeAdyacencia!Y19=1, SUMIFS(tblRed[VALOR OPERATIVO], tblRed[Nodo Inicial], $C19, tblRed[Nodo Final], Y$3, tblRed[Activo], 1), 0)</f>
        <v>0</v>
      </c>
      <c r="Z19" s="77">
        <f>IF(MatrizDeAdyacencia!Z19=1, SUMIFS(tblRed[VALOR OPERATIVO], tblRed[Nodo Inicial], $C19, tblRed[Nodo Final], Z$3, tblRed[Activo], 1), 0)</f>
        <v>0</v>
      </c>
      <c r="AA19" s="77">
        <f>IF(MatrizDeAdyacencia!AA19=1, SUMIFS(tblRed[VALOR OPERATIVO], tblRed[Nodo Inicial], $C19, tblRed[Nodo Final], AA$3, tblRed[Activo], 1), 0)</f>
        <v>0</v>
      </c>
      <c r="AB19" s="77">
        <f>IF(MatrizDeAdyacencia!AB19=1, SUMIFS(tblRed[VALOR OPERATIVO], tblRed[Nodo Inicial], $C19, tblRed[Nodo Final], AB$3, tblRed[Activo], 1), 0)</f>
        <v>0</v>
      </c>
      <c r="AC19" s="77">
        <f>IF(MatrizDeAdyacencia!AC19=1, SUMIFS(tblRed[VALOR OPERATIVO], tblRed[Nodo Inicial], $C19, tblRed[Nodo Final], AC$3, tblRed[Activo], 1), 0)</f>
        <v>0</v>
      </c>
      <c r="AD19" s="77">
        <f>IF(MatrizDeAdyacencia!AD19=1, SUMIFS(tblRed[VALOR OPERATIVO], tblRed[Nodo Inicial], $C19, tblRed[Nodo Final], AD$3, tblRed[Activo], 1), 0)</f>
        <v>0</v>
      </c>
      <c r="AE19" s="77">
        <f>IF(MatrizDeAdyacencia!AE19=1, SUMIFS(tblRed[VALOR OPERATIVO], tblRed[Nodo Inicial], $C19, tblRed[Nodo Final], AE$3, tblRed[Activo], 1), 0)</f>
        <v>0</v>
      </c>
      <c r="AF19" s="77">
        <f>IF(MatrizDeAdyacencia!AF19=1, SUMIFS(tblRed[VALOR OPERATIVO], tblRed[Nodo Inicial], $C19, tblRed[Nodo Final], AF$3, tblRed[Activo], 1), 0)</f>
        <v>6.7142857142857144</v>
      </c>
      <c r="AG19" s="77">
        <f>IF(MatrizDeAdyacencia!AG19=1, SUMIFS(tblRed[VALOR OPERATIVO], tblRed[Nodo Inicial], $C19, tblRed[Nodo Final], AG$3, tblRed[Activo], 1), 0)</f>
        <v>0</v>
      </c>
      <c r="AH19" s="77">
        <f>IF(MatrizDeAdyacencia!AH19=1, SUMIFS(tblRed[VALOR OPERATIVO], tblRed[Nodo Inicial], $C19, tblRed[Nodo Final], AH$3, tblRed[Activo], 1), 0)</f>
        <v>0</v>
      </c>
    </row>
    <row r="20" spans="2:34" ht="17.25" customHeight="1" x14ac:dyDescent="0.25">
      <c r="B20" s="8" t="str">
        <f>VLOOKUP(tblMatrizPonderadaValorOperativo[[#This Row],[Nodo Orig.\Dest.]],tblNodos[],2,FALSE)</f>
        <v>Intermediarios MVTS y remesas</v>
      </c>
      <c r="C20" s="4" t="s">
        <v>57</v>
      </c>
      <c r="D20" s="77">
        <f>IF(MatrizDeAdyacencia!D20=1, SUMIFS(tblRed[VALOR OPERATIVO], tblRed[Nodo Inicial], $C20, tblRed[Nodo Final], D$3, tblRed[Activo], 1), 0)</f>
        <v>0</v>
      </c>
      <c r="E20" s="77">
        <f>IF(MatrizDeAdyacencia!E20=1, SUMIFS(tblRed[VALOR OPERATIVO], tblRed[Nodo Inicial], $C20, tblRed[Nodo Final], E$3, tblRed[Activo], 1), 0)</f>
        <v>0</v>
      </c>
      <c r="F20" s="77">
        <f>IF(MatrizDeAdyacencia!F20=1, SUMIFS(tblRed[VALOR OPERATIVO], tblRed[Nodo Inicial], $C20, tblRed[Nodo Final], F$3, tblRed[Activo], 1), 0)</f>
        <v>0</v>
      </c>
      <c r="G20" s="77">
        <f>IF(MatrizDeAdyacencia!G20=1, SUMIFS(tblRed[VALOR OPERATIVO], tblRed[Nodo Inicial], $C20, tblRed[Nodo Final], G$3, tblRed[Activo], 1), 0)</f>
        <v>0</v>
      </c>
      <c r="H20" s="77">
        <f>IF(MatrizDeAdyacencia!H20=1, SUMIFS(tblRed[VALOR OPERATIVO], tblRed[Nodo Inicial], $C20, tblRed[Nodo Final], H$3, tblRed[Activo], 1), 0)</f>
        <v>0</v>
      </c>
      <c r="I20" s="77">
        <f>IF(MatrizDeAdyacencia!I20=1, SUMIFS(tblRed[VALOR OPERATIVO], tblRed[Nodo Inicial], $C20, tblRed[Nodo Final], I$3, tblRed[Activo], 1), 0)</f>
        <v>0</v>
      </c>
      <c r="J20" s="77">
        <f>IF(MatrizDeAdyacencia!J20=1, SUMIFS(tblRed[VALOR OPERATIVO], tblRed[Nodo Inicial], $C20, tblRed[Nodo Final], J$3, tblRed[Activo], 1), 0)</f>
        <v>0</v>
      </c>
      <c r="K20" s="77">
        <f>IF(MatrizDeAdyacencia!K20=1, SUMIFS(tblRed[VALOR OPERATIVO], tblRed[Nodo Inicial], $C20, tblRed[Nodo Final], K$3, tblRed[Activo], 1), 0)</f>
        <v>0</v>
      </c>
      <c r="L20" s="77">
        <f>IF(MatrizDeAdyacencia!L20=1, SUMIFS(tblRed[VALOR OPERATIVO], tblRed[Nodo Inicial], $C20, tblRed[Nodo Final], L$3, tblRed[Activo], 1), 0)</f>
        <v>0</v>
      </c>
      <c r="M20" s="77">
        <f>IF(MatrizDeAdyacencia!M20=1, SUMIFS(tblRed[VALOR OPERATIVO], tblRed[Nodo Inicial], $C20, tblRed[Nodo Final], M$3, tblRed[Activo], 1), 0)</f>
        <v>0</v>
      </c>
      <c r="N20" s="77">
        <f>IF(MatrizDeAdyacencia!N20=1, SUMIFS(tblRed[VALOR OPERATIVO], tblRed[Nodo Inicial], $C20, tblRed[Nodo Final], N$3, tblRed[Activo], 1), 0)</f>
        <v>0</v>
      </c>
      <c r="O20" s="77">
        <f>IF(MatrizDeAdyacencia!O20=1, SUMIFS(tblRed[VALOR OPERATIVO], tblRed[Nodo Inicial], $C20, tblRed[Nodo Final], O$3, tblRed[Activo], 1), 0)</f>
        <v>0</v>
      </c>
      <c r="P20" s="77">
        <f>IF(MatrizDeAdyacencia!P20=1, SUMIFS(tblRed[VALOR OPERATIVO], tblRed[Nodo Inicial], $C20, tblRed[Nodo Final], P$3, tblRed[Activo], 1), 0)</f>
        <v>0</v>
      </c>
      <c r="Q20" s="77">
        <f>IF(MatrizDeAdyacencia!Q20=1, SUMIFS(tblRed[VALOR OPERATIVO], tblRed[Nodo Inicial], $C20, tblRed[Nodo Final], Q$3, tblRed[Activo], 1), 0)</f>
        <v>0</v>
      </c>
      <c r="R20" s="77">
        <f>IF(MatrizDeAdyacencia!R20=1, SUMIFS(tblRed[VALOR OPERATIVO], tblRed[Nodo Inicial], $C20, tblRed[Nodo Final], R$3, tblRed[Activo], 1), 0)</f>
        <v>0</v>
      </c>
      <c r="S20" s="77">
        <f>IF(MatrizDeAdyacencia!S20=1, SUMIFS(tblRed[VALOR OPERATIVO], tblRed[Nodo Inicial], $C20, tblRed[Nodo Final], S$3, tblRed[Activo], 1), 0)</f>
        <v>0</v>
      </c>
      <c r="T20" s="77">
        <f>IF(MatrizDeAdyacencia!T20=1, SUMIFS(tblRed[VALOR OPERATIVO], tblRed[Nodo Inicial], $C20, tblRed[Nodo Final], T$3, tblRed[Activo], 1), 0)</f>
        <v>0</v>
      </c>
      <c r="U20" s="77">
        <f>IF(MatrizDeAdyacencia!U20=1, SUMIFS(tblRed[VALOR OPERATIVO], tblRed[Nodo Inicial], $C20, tblRed[Nodo Final], U$3, tblRed[Activo], 1), 0)</f>
        <v>0</v>
      </c>
      <c r="V20" s="79">
        <f>IF(MatrizDeAdyacencia!V20=1, SUMIFS(tblRed[VALOR OPERATIVO], tblRed[Nodo Inicial], $C20, tblRed[Nodo Final], V$3, tblRed[Activo], 1), 0)</f>
        <v>0</v>
      </c>
      <c r="W20" s="77">
        <f>IF(MatrizDeAdyacencia!W20=1, SUMIFS(tblRed[VALOR OPERATIVO], tblRed[Nodo Inicial], $C20, tblRed[Nodo Final], W$3, tblRed[Activo], 1), 0)</f>
        <v>0</v>
      </c>
      <c r="X20" s="77">
        <f>IF(MatrizDeAdyacencia!X20=1, SUMIFS(tblRed[VALOR OPERATIVO], tblRed[Nodo Inicial], $C20, tblRed[Nodo Final], X$3, tblRed[Activo], 1), 0)</f>
        <v>0</v>
      </c>
      <c r="Y20" s="77">
        <f>IF(MatrizDeAdyacencia!Y20=1, SUMIFS(tblRed[VALOR OPERATIVO], tblRed[Nodo Inicial], $C20, tblRed[Nodo Final], Y$3, tblRed[Activo], 1), 0)</f>
        <v>0</v>
      </c>
      <c r="Z20" s="77">
        <f>IF(MatrizDeAdyacencia!Z20=1, SUMIFS(tblRed[VALOR OPERATIVO], tblRed[Nodo Inicial], $C20, tblRed[Nodo Final], Z$3, tblRed[Activo], 1), 0)</f>
        <v>0</v>
      </c>
      <c r="AA20" s="77">
        <f>IF(MatrizDeAdyacencia!AA20=1, SUMIFS(tblRed[VALOR OPERATIVO], tblRed[Nodo Inicial], $C20, tblRed[Nodo Final], AA$3, tblRed[Activo], 1), 0)</f>
        <v>0</v>
      </c>
      <c r="AB20" s="77">
        <f>IF(MatrizDeAdyacencia!AB20=1, SUMIFS(tblRed[VALOR OPERATIVO], tblRed[Nodo Inicial], $C20, tblRed[Nodo Final], AB$3, tblRed[Activo], 1), 0)</f>
        <v>0</v>
      </c>
      <c r="AC20" s="77">
        <f>IF(MatrizDeAdyacencia!AC20=1, SUMIFS(tblRed[VALOR OPERATIVO], tblRed[Nodo Inicial], $C20, tblRed[Nodo Final], AC$3, tblRed[Activo], 1), 0)</f>
        <v>0</v>
      </c>
      <c r="AD20" s="77">
        <f>IF(MatrizDeAdyacencia!AD20=1, SUMIFS(tblRed[VALOR OPERATIVO], tblRed[Nodo Inicial], $C20, tblRed[Nodo Final], AD$3, tblRed[Activo], 1), 0)</f>
        <v>0</v>
      </c>
      <c r="AE20" s="77">
        <f>IF(MatrizDeAdyacencia!AE20=1, SUMIFS(tblRed[VALOR OPERATIVO], tblRed[Nodo Inicial], $C20, tblRed[Nodo Final], AE$3, tblRed[Activo], 1), 0)</f>
        <v>0</v>
      </c>
      <c r="AF20" s="77">
        <f>IF(MatrizDeAdyacencia!AF20=1, SUMIFS(tblRed[VALOR OPERATIVO], tblRed[Nodo Inicial], $C20, tblRed[Nodo Final], AF$3, tblRed[Activo], 1), 0)</f>
        <v>0</v>
      </c>
      <c r="AG20" s="77">
        <f>IF(MatrizDeAdyacencia!AG20=1, SUMIFS(tblRed[VALOR OPERATIVO], tblRed[Nodo Inicial], $C20, tblRed[Nodo Final], AG$3, tblRed[Activo], 1), 0)</f>
        <v>9</v>
      </c>
      <c r="AH20" s="77">
        <f>IF(MatrizDeAdyacencia!AH20=1, SUMIFS(tblRed[VALOR OPERATIVO], tblRed[Nodo Inicial], $C20, tblRed[Nodo Final], AH$3, tblRed[Activo], 1), 0)</f>
        <v>0</v>
      </c>
    </row>
    <row r="21" spans="2:34" ht="17.25" customHeight="1" x14ac:dyDescent="0.25">
      <c r="B21" s="8" t="str">
        <f>VLOOKUP(tblMatrizPonderadaValorOperativo[[#This Row],[Nodo Orig.\Dest.]],tblNodos[],2,FALSE)</f>
        <v>Intermediarios de dinero móvil</v>
      </c>
      <c r="C21" s="4" t="s">
        <v>59</v>
      </c>
      <c r="D21" s="77">
        <f>IF(MatrizDeAdyacencia!D21=1, SUMIFS(tblRed[VALOR OPERATIVO], tblRed[Nodo Inicial], $C21, tblRed[Nodo Final], D$3, tblRed[Activo], 1), 0)</f>
        <v>0</v>
      </c>
      <c r="E21" s="77">
        <f>IF(MatrizDeAdyacencia!E21=1, SUMIFS(tblRed[VALOR OPERATIVO], tblRed[Nodo Inicial], $C21, tblRed[Nodo Final], E$3, tblRed[Activo], 1), 0)</f>
        <v>0</v>
      </c>
      <c r="F21" s="77">
        <f>IF(MatrizDeAdyacencia!F21=1, SUMIFS(tblRed[VALOR OPERATIVO], tblRed[Nodo Inicial], $C21, tblRed[Nodo Final], F$3, tblRed[Activo], 1), 0)</f>
        <v>0</v>
      </c>
      <c r="G21" s="77">
        <f>IF(MatrizDeAdyacencia!G21=1, SUMIFS(tblRed[VALOR OPERATIVO], tblRed[Nodo Inicial], $C21, tblRed[Nodo Final], G$3, tblRed[Activo], 1), 0)</f>
        <v>0</v>
      </c>
      <c r="H21" s="77">
        <f>IF(MatrizDeAdyacencia!H21=1, SUMIFS(tblRed[VALOR OPERATIVO], tblRed[Nodo Inicial], $C21, tblRed[Nodo Final], H$3, tblRed[Activo], 1), 0)</f>
        <v>0</v>
      </c>
      <c r="I21" s="77">
        <f>IF(MatrizDeAdyacencia!I21=1, SUMIFS(tblRed[VALOR OPERATIVO], tblRed[Nodo Inicial], $C21, tblRed[Nodo Final], I$3, tblRed[Activo], 1), 0)</f>
        <v>0</v>
      </c>
      <c r="J21" s="77">
        <f>IF(MatrizDeAdyacencia!J21=1, SUMIFS(tblRed[VALOR OPERATIVO], tblRed[Nodo Inicial], $C21, tblRed[Nodo Final], J$3, tblRed[Activo], 1), 0)</f>
        <v>0</v>
      </c>
      <c r="K21" s="77">
        <f>IF(MatrizDeAdyacencia!K21=1, SUMIFS(tblRed[VALOR OPERATIVO], tblRed[Nodo Inicial], $C21, tblRed[Nodo Final], K$3, tblRed[Activo], 1), 0)</f>
        <v>0</v>
      </c>
      <c r="L21" s="77">
        <f>IF(MatrizDeAdyacencia!L21=1, SUMIFS(tblRed[VALOR OPERATIVO], tblRed[Nodo Inicial], $C21, tblRed[Nodo Final], L$3, tblRed[Activo], 1), 0)</f>
        <v>0</v>
      </c>
      <c r="M21" s="77">
        <f>IF(MatrizDeAdyacencia!M21=1, SUMIFS(tblRed[VALOR OPERATIVO], tblRed[Nodo Inicial], $C21, tblRed[Nodo Final], M$3, tblRed[Activo], 1), 0)</f>
        <v>0</v>
      </c>
      <c r="N21" s="77">
        <f>IF(MatrizDeAdyacencia!N21=1, SUMIFS(tblRed[VALOR OPERATIVO], tblRed[Nodo Inicial], $C21, tblRed[Nodo Final], N$3, tblRed[Activo], 1), 0)</f>
        <v>0</v>
      </c>
      <c r="O21" s="77">
        <f>IF(MatrizDeAdyacencia!O21=1, SUMIFS(tblRed[VALOR OPERATIVO], tblRed[Nodo Inicial], $C21, tblRed[Nodo Final], O$3, tblRed[Activo], 1), 0)</f>
        <v>0</v>
      </c>
      <c r="P21" s="77">
        <f>IF(MatrizDeAdyacencia!P21=1, SUMIFS(tblRed[VALOR OPERATIVO], tblRed[Nodo Inicial], $C21, tblRed[Nodo Final], P$3, tblRed[Activo], 1), 0)</f>
        <v>0</v>
      </c>
      <c r="Q21" s="77">
        <f>IF(MatrizDeAdyacencia!Q21=1, SUMIFS(tblRed[VALOR OPERATIVO], tblRed[Nodo Inicial], $C21, tblRed[Nodo Final], Q$3, tblRed[Activo], 1), 0)</f>
        <v>0</v>
      </c>
      <c r="R21" s="77">
        <f>IF(MatrizDeAdyacencia!R21=1, SUMIFS(tblRed[VALOR OPERATIVO], tblRed[Nodo Inicial], $C21, tblRed[Nodo Final], R$3, tblRed[Activo], 1), 0)</f>
        <v>0</v>
      </c>
      <c r="S21" s="77">
        <f>IF(MatrizDeAdyacencia!S21=1, SUMIFS(tblRed[VALOR OPERATIVO], tblRed[Nodo Inicial], $C21, tblRed[Nodo Final], S$3, tblRed[Activo], 1), 0)</f>
        <v>0</v>
      </c>
      <c r="T21" s="77">
        <f>IF(MatrizDeAdyacencia!T21=1, SUMIFS(tblRed[VALOR OPERATIVO], tblRed[Nodo Inicial], $C21, tblRed[Nodo Final], T$3, tblRed[Activo], 1), 0)</f>
        <v>0</v>
      </c>
      <c r="U21" s="77">
        <f>IF(MatrizDeAdyacencia!U21=1, SUMIFS(tblRed[VALOR OPERATIVO], tblRed[Nodo Inicial], $C21, tblRed[Nodo Final], U$3, tblRed[Activo], 1), 0)</f>
        <v>0</v>
      </c>
      <c r="V21" s="79">
        <f>IF(MatrizDeAdyacencia!V21=1, SUMIFS(tblRed[VALOR OPERATIVO], tblRed[Nodo Inicial], $C21, tblRed[Nodo Final], V$3, tblRed[Activo], 1), 0)</f>
        <v>0</v>
      </c>
      <c r="W21" s="77">
        <f>IF(MatrizDeAdyacencia!W21=1, SUMIFS(tblRed[VALOR OPERATIVO], tblRed[Nodo Inicial], $C21, tblRed[Nodo Final], W$3, tblRed[Activo], 1), 0)</f>
        <v>0</v>
      </c>
      <c r="X21" s="77">
        <f>IF(MatrizDeAdyacencia!X21=1, SUMIFS(tblRed[VALOR OPERATIVO], tblRed[Nodo Inicial], $C21, tblRed[Nodo Final], X$3, tblRed[Activo], 1), 0)</f>
        <v>0</v>
      </c>
      <c r="Y21" s="77">
        <f>IF(MatrizDeAdyacencia!Y21=1, SUMIFS(tblRed[VALOR OPERATIVO], tblRed[Nodo Inicial], $C21, tblRed[Nodo Final], Y$3, tblRed[Activo], 1), 0)</f>
        <v>0</v>
      </c>
      <c r="Z21" s="77">
        <f>IF(MatrizDeAdyacencia!Z21=1, SUMIFS(tblRed[VALOR OPERATIVO], tblRed[Nodo Inicial], $C21, tblRed[Nodo Final], Z$3, tblRed[Activo], 1), 0)</f>
        <v>0</v>
      </c>
      <c r="AA21" s="77">
        <f>IF(MatrizDeAdyacencia!AA21=1, SUMIFS(tblRed[VALOR OPERATIVO], tblRed[Nodo Inicial], $C21, tblRed[Nodo Final], AA$3, tblRed[Activo], 1), 0)</f>
        <v>0</v>
      </c>
      <c r="AB21" s="77">
        <f>IF(MatrizDeAdyacencia!AB21=1, SUMIFS(tblRed[VALOR OPERATIVO], tblRed[Nodo Inicial], $C21, tblRed[Nodo Final], AB$3, tblRed[Activo], 1), 0)</f>
        <v>0</v>
      </c>
      <c r="AC21" s="77">
        <f>IF(MatrizDeAdyacencia!AC21=1, SUMIFS(tblRed[VALOR OPERATIVO], tblRed[Nodo Inicial], $C21, tblRed[Nodo Final], AC$3, tblRed[Activo], 1), 0)</f>
        <v>0</v>
      </c>
      <c r="AD21" s="77">
        <f>IF(MatrizDeAdyacencia!AD21=1, SUMIFS(tblRed[VALOR OPERATIVO], tblRed[Nodo Inicial], $C21, tblRed[Nodo Final], AD$3, tblRed[Activo], 1), 0)</f>
        <v>0</v>
      </c>
      <c r="AE21" s="77">
        <f>IF(MatrizDeAdyacencia!AE21=1, SUMIFS(tblRed[VALOR OPERATIVO], tblRed[Nodo Inicial], $C21, tblRed[Nodo Final], AE$3, tblRed[Activo], 1), 0)</f>
        <v>9</v>
      </c>
      <c r="AF21" s="77">
        <f>IF(MatrizDeAdyacencia!AF21=1, SUMIFS(tblRed[VALOR OPERATIVO], tblRed[Nodo Inicial], $C21, tblRed[Nodo Final], AF$3, tblRed[Activo], 1), 0)</f>
        <v>0</v>
      </c>
      <c r="AG21" s="77">
        <f>IF(MatrizDeAdyacencia!AG21=1, SUMIFS(tblRed[VALOR OPERATIVO], tblRed[Nodo Inicial], $C21, tblRed[Nodo Final], AG$3, tblRed[Activo], 1), 0)</f>
        <v>0</v>
      </c>
      <c r="AH21" s="77">
        <f>IF(MatrizDeAdyacencia!AH21=1, SUMIFS(tblRed[VALOR OPERATIVO], tblRed[Nodo Inicial], $C21, tblRed[Nodo Final], AH$3, tblRed[Activo], 1), 0)</f>
        <v>0</v>
      </c>
    </row>
    <row r="22" spans="2:34" ht="17.25" customHeight="1" x14ac:dyDescent="0.25">
      <c r="B22" s="9" t="str">
        <f>VLOOKUP(tblMatrizPonderadaValorOperativo[[#This Row],[Nodo Orig.\Dest.]],tblNodos[],2,FALSE)</f>
        <v>Intermediarios bancarios formales</v>
      </c>
      <c r="C22" s="6" t="s">
        <v>61</v>
      </c>
      <c r="D22" s="80">
        <f>IF(MatrizDeAdyacencia!D22=1, SUMIFS(tblRed[VALOR OPERATIVO], tblRed[Nodo Inicial], $C22, tblRed[Nodo Final], D$3, tblRed[Activo], 1), 0)</f>
        <v>0</v>
      </c>
      <c r="E22" s="80">
        <f>IF(MatrizDeAdyacencia!E22=1, SUMIFS(tblRed[VALOR OPERATIVO], tblRed[Nodo Inicial], $C22, tblRed[Nodo Final], E$3, tblRed[Activo], 1), 0)</f>
        <v>0</v>
      </c>
      <c r="F22" s="80">
        <f>IF(MatrizDeAdyacencia!F22=1, SUMIFS(tblRed[VALOR OPERATIVO], tblRed[Nodo Inicial], $C22, tblRed[Nodo Final], F$3, tblRed[Activo], 1), 0)</f>
        <v>0</v>
      </c>
      <c r="G22" s="80">
        <f>IF(MatrizDeAdyacencia!G22=1, SUMIFS(tblRed[VALOR OPERATIVO], tblRed[Nodo Inicial], $C22, tblRed[Nodo Final], G$3, tblRed[Activo], 1), 0)</f>
        <v>0</v>
      </c>
      <c r="H22" s="80">
        <f>IF(MatrizDeAdyacencia!H22=1, SUMIFS(tblRed[VALOR OPERATIVO], tblRed[Nodo Inicial], $C22, tblRed[Nodo Final], H$3, tblRed[Activo], 1), 0)</f>
        <v>0</v>
      </c>
      <c r="I22" s="80">
        <f>IF(MatrizDeAdyacencia!I22=1, SUMIFS(tblRed[VALOR OPERATIVO], tblRed[Nodo Inicial], $C22, tblRed[Nodo Final], I$3, tblRed[Activo], 1), 0)</f>
        <v>0</v>
      </c>
      <c r="J22" s="80">
        <f>IF(MatrizDeAdyacencia!J22=1, SUMIFS(tblRed[VALOR OPERATIVO], tblRed[Nodo Inicial], $C22, tblRed[Nodo Final], J$3, tblRed[Activo], 1), 0)</f>
        <v>0</v>
      </c>
      <c r="K22" s="80">
        <f>IF(MatrizDeAdyacencia!K22=1, SUMIFS(tblRed[VALOR OPERATIVO], tblRed[Nodo Inicial], $C22, tblRed[Nodo Final], K$3, tblRed[Activo], 1), 0)</f>
        <v>0</v>
      </c>
      <c r="L22" s="80">
        <f>IF(MatrizDeAdyacencia!L22=1, SUMIFS(tblRed[VALOR OPERATIVO], tblRed[Nodo Inicial], $C22, tblRed[Nodo Final], L$3, tblRed[Activo], 1), 0)</f>
        <v>0</v>
      </c>
      <c r="M22" s="80">
        <f>IF(MatrizDeAdyacencia!M22=1, SUMIFS(tblRed[VALOR OPERATIVO], tblRed[Nodo Inicial], $C22, tblRed[Nodo Final], M$3, tblRed[Activo], 1), 0)</f>
        <v>0</v>
      </c>
      <c r="N22" s="80">
        <f>IF(MatrizDeAdyacencia!N22=1, SUMIFS(tblRed[VALOR OPERATIVO], tblRed[Nodo Inicial], $C22, tblRed[Nodo Final], N$3, tblRed[Activo], 1), 0)</f>
        <v>0</v>
      </c>
      <c r="O22" s="80">
        <f>IF(MatrizDeAdyacencia!O22=1, SUMIFS(tblRed[VALOR OPERATIVO], tblRed[Nodo Inicial], $C22, tblRed[Nodo Final], O$3, tblRed[Activo], 1), 0)</f>
        <v>0</v>
      </c>
      <c r="P22" s="80">
        <f>IF(MatrizDeAdyacencia!P22=1, SUMIFS(tblRed[VALOR OPERATIVO], tblRed[Nodo Inicial], $C22, tblRed[Nodo Final], P$3, tblRed[Activo], 1), 0)</f>
        <v>0</v>
      </c>
      <c r="Q22" s="80">
        <f>IF(MatrizDeAdyacencia!Q22=1, SUMIFS(tblRed[VALOR OPERATIVO], tblRed[Nodo Inicial], $C22, tblRed[Nodo Final], Q$3, tblRed[Activo], 1), 0)</f>
        <v>0</v>
      </c>
      <c r="R22" s="80">
        <f>IF(MatrizDeAdyacencia!R22=1, SUMIFS(tblRed[VALOR OPERATIVO], tblRed[Nodo Inicial], $C22, tblRed[Nodo Final], R$3, tblRed[Activo], 1), 0)</f>
        <v>0</v>
      </c>
      <c r="S22" s="80">
        <f>IF(MatrizDeAdyacencia!S22=1, SUMIFS(tblRed[VALOR OPERATIVO], tblRed[Nodo Inicial], $C22, tblRed[Nodo Final], S$3, tblRed[Activo], 1), 0)</f>
        <v>0</v>
      </c>
      <c r="T22" s="80">
        <f>IF(MatrizDeAdyacencia!T22=1, SUMIFS(tblRed[VALOR OPERATIVO], tblRed[Nodo Inicial], $C22, tblRed[Nodo Final], T$3, tblRed[Activo], 1), 0)</f>
        <v>0</v>
      </c>
      <c r="U22" s="80">
        <f>IF(MatrizDeAdyacencia!U22=1, SUMIFS(tblRed[VALOR OPERATIVO], tblRed[Nodo Inicial], $C22, tblRed[Nodo Final], U$3, tblRed[Activo], 1), 0)</f>
        <v>0</v>
      </c>
      <c r="V22" s="81">
        <f>IF(MatrizDeAdyacencia!V22=1, SUMIFS(tblRed[VALOR OPERATIVO], tblRed[Nodo Inicial], $C22, tblRed[Nodo Final], V$3, tblRed[Activo], 1), 0)</f>
        <v>0</v>
      </c>
      <c r="W22" s="77">
        <f>IF(MatrizDeAdyacencia!W22=1, SUMIFS(tblRed[VALOR OPERATIVO], tblRed[Nodo Inicial], $C22, tblRed[Nodo Final], W$3, tblRed[Activo], 1), 0)</f>
        <v>0</v>
      </c>
      <c r="X22" s="77">
        <f>IF(MatrizDeAdyacencia!X22=1, SUMIFS(tblRed[VALOR OPERATIVO], tblRed[Nodo Inicial], $C22, tblRed[Nodo Final], X$3, tblRed[Activo], 1), 0)</f>
        <v>0</v>
      </c>
      <c r="Y22" s="77">
        <f>IF(MatrizDeAdyacencia!Y22=1, SUMIFS(tblRed[VALOR OPERATIVO], tblRed[Nodo Inicial], $C22, tblRed[Nodo Final], Y$3, tblRed[Activo], 1), 0)</f>
        <v>0</v>
      </c>
      <c r="Z22" s="77">
        <f>IF(MatrizDeAdyacencia!Z22=1, SUMIFS(tblRed[VALOR OPERATIVO], tblRed[Nodo Inicial], $C22, tblRed[Nodo Final], Z$3, tblRed[Activo], 1), 0)</f>
        <v>0</v>
      </c>
      <c r="AA22" s="77">
        <f>IF(MatrizDeAdyacencia!AA22=1, SUMIFS(tblRed[VALOR OPERATIVO], tblRed[Nodo Inicial], $C22, tblRed[Nodo Final], AA$3, tblRed[Activo], 1), 0)</f>
        <v>0</v>
      </c>
      <c r="AB22" s="77">
        <f>IF(MatrizDeAdyacencia!AB22=1, SUMIFS(tblRed[VALOR OPERATIVO], tblRed[Nodo Inicial], $C22, tblRed[Nodo Final], AB$3, tblRed[Activo], 1), 0)</f>
        <v>0</v>
      </c>
      <c r="AC22" s="77">
        <f>IF(MatrizDeAdyacencia!AC22=1, SUMIFS(tblRed[VALOR OPERATIVO], tblRed[Nodo Inicial], $C22, tblRed[Nodo Final], AC$3, tblRed[Activo], 1), 0)</f>
        <v>0</v>
      </c>
      <c r="AD22" s="77">
        <f>IF(MatrizDeAdyacencia!AD22=1, SUMIFS(tblRed[VALOR OPERATIVO], tblRed[Nodo Inicial], $C22, tblRed[Nodo Final], AD$3, tblRed[Activo], 1), 0)</f>
        <v>0</v>
      </c>
      <c r="AE22" s="77">
        <f>IF(MatrizDeAdyacencia!AE22=1, SUMIFS(tblRed[VALOR OPERATIVO], tblRed[Nodo Inicial], $C22, tblRed[Nodo Final], AE$3, tblRed[Activo], 1), 0)</f>
        <v>10.5</v>
      </c>
      <c r="AF22" s="77">
        <f>IF(MatrizDeAdyacencia!AF22=1, SUMIFS(tblRed[VALOR OPERATIVO], tblRed[Nodo Inicial], $C22, tblRed[Nodo Final], AF$3, tblRed[Activo], 1), 0)</f>
        <v>0</v>
      </c>
      <c r="AG22" s="77">
        <f>IF(MatrizDeAdyacencia!AG22=1, SUMIFS(tblRed[VALOR OPERATIVO], tblRed[Nodo Inicial], $C22, tblRed[Nodo Final], AG$3, tblRed[Activo], 1), 0)</f>
        <v>11.5</v>
      </c>
      <c r="AH22" s="77">
        <f>IF(MatrizDeAdyacencia!AH22=1, SUMIFS(tblRed[VALOR OPERATIVO], tblRed[Nodo Inicial], $C22, tblRed[Nodo Final], AH$3, tblRed[Activo], 1), 0)</f>
        <v>0</v>
      </c>
    </row>
    <row r="23" spans="2:34" ht="17.25" customHeight="1" x14ac:dyDescent="0.25">
      <c r="B23" s="48" t="str">
        <f>VLOOKUP(tblMatrizPonderadaValorOperativo[[#This Row],[Nodo Orig.\Dest.]],tblNodos[],2,FALSE)</f>
        <v>Intermediarios de pago digital (PSP /FinTech)</v>
      </c>
      <c r="C23" s="75" t="s">
        <v>63</v>
      </c>
      <c r="D23" s="77">
        <f>IF(MatrizDeAdyacencia!D23=1, SUMIFS(tblRed[VALOR OPERATIVO], tblRed[Nodo Inicial], $C23, tblRed[Nodo Final], D$3, tblRed[Activo], 1), 0)</f>
        <v>0</v>
      </c>
      <c r="E23" s="77">
        <f>IF(MatrizDeAdyacencia!E23=1, SUMIFS(tblRed[VALOR OPERATIVO], tblRed[Nodo Inicial], $C23, tblRed[Nodo Final], E$3, tblRed[Activo], 1), 0)</f>
        <v>0</v>
      </c>
      <c r="F23" s="77">
        <f>IF(MatrizDeAdyacencia!F23=1, SUMIFS(tblRed[VALOR OPERATIVO], tblRed[Nodo Inicial], $C23, tblRed[Nodo Final], F$3, tblRed[Activo], 1), 0)</f>
        <v>0</v>
      </c>
      <c r="G23" s="77">
        <f>IF(MatrizDeAdyacencia!G23=1, SUMIFS(tblRed[VALOR OPERATIVO], tblRed[Nodo Inicial], $C23, tblRed[Nodo Final], G$3, tblRed[Activo], 1), 0)</f>
        <v>0</v>
      </c>
      <c r="H23" s="77">
        <f>IF(MatrizDeAdyacencia!H23=1, SUMIFS(tblRed[VALOR OPERATIVO], tblRed[Nodo Inicial], $C23, tblRed[Nodo Final], H$3, tblRed[Activo], 1), 0)</f>
        <v>0</v>
      </c>
      <c r="I23" s="77">
        <f>IF(MatrizDeAdyacencia!I23=1, SUMIFS(tblRed[VALOR OPERATIVO], tblRed[Nodo Inicial], $C23, tblRed[Nodo Final], I$3, tblRed[Activo], 1), 0)</f>
        <v>0</v>
      </c>
      <c r="J23" s="77">
        <f>IF(MatrizDeAdyacencia!J23=1, SUMIFS(tblRed[VALOR OPERATIVO], tblRed[Nodo Inicial], $C23, tblRed[Nodo Final], J$3, tblRed[Activo], 1), 0)</f>
        <v>0</v>
      </c>
      <c r="K23" s="77">
        <f>IF(MatrizDeAdyacencia!K23=1, SUMIFS(tblRed[VALOR OPERATIVO], tblRed[Nodo Inicial], $C23, tblRed[Nodo Final], K$3, tblRed[Activo], 1), 0)</f>
        <v>0</v>
      </c>
      <c r="L23" s="77">
        <f>IF(MatrizDeAdyacencia!L23=1, SUMIFS(tblRed[VALOR OPERATIVO], tblRed[Nodo Inicial], $C23, tblRed[Nodo Final], L$3, tblRed[Activo], 1), 0)</f>
        <v>0</v>
      </c>
      <c r="M23" s="77">
        <f>IF(MatrizDeAdyacencia!M23=1, SUMIFS(tblRed[VALOR OPERATIVO], tblRed[Nodo Inicial], $C23, tblRed[Nodo Final], M$3, tblRed[Activo], 1), 0)</f>
        <v>0</v>
      </c>
      <c r="N23" s="77">
        <f>IF(MatrizDeAdyacencia!N23=1, SUMIFS(tblRed[VALOR OPERATIVO], tblRed[Nodo Inicial], $C23, tblRed[Nodo Final], N$3, tblRed[Activo], 1), 0)</f>
        <v>0</v>
      </c>
      <c r="O23" s="77">
        <f>IF(MatrizDeAdyacencia!O23=1, SUMIFS(tblRed[VALOR OPERATIVO], tblRed[Nodo Inicial], $C23, tblRed[Nodo Final], O$3, tblRed[Activo], 1), 0)</f>
        <v>0</v>
      </c>
      <c r="P23" s="77">
        <f>IF(MatrizDeAdyacencia!P23=1, SUMIFS(tblRed[VALOR OPERATIVO], tblRed[Nodo Inicial], $C23, tblRed[Nodo Final], P$3, tblRed[Activo], 1), 0)</f>
        <v>0</v>
      </c>
      <c r="Q23" s="77">
        <f>IF(MatrizDeAdyacencia!Q23=1, SUMIFS(tblRed[VALOR OPERATIVO], tblRed[Nodo Inicial], $C23, tblRed[Nodo Final], Q$3, tblRed[Activo], 1), 0)</f>
        <v>0</v>
      </c>
      <c r="R23" s="77">
        <f>IF(MatrizDeAdyacencia!R23=1, SUMIFS(tblRed[VALOR OPERATIVO], tblRed[Nodo Inicial], $C23, tblRed[Nodo Final], R$3, tblRed[Activo], 1), 0)</f>
        <v>0</v>
      </c>
      <c r="S23" s="77">
        <f>IF(MatrizDeAdyacencia!S23=1, SUMIFS(tblRed[VALOR OPERATIVO], tblRed[Nodo Inicial], $C23, tblRed[Nodo Final], S$3, tblRed[Activo], 1), 0)</f>
        <v>0</v>
      </c>
      <c r="T23" s="77">
        <f>IF(MatrizDeAdyacencia!T23=1, SUMIFS(tblRed[VALOR OPERATIVO], tblRed[Nodo Inicial], $C23, tblRed[Nodo Final], T$3, tblRed[Activo], 1), 0)</f>
        <v>0</v>
      </c>
      <c r="U23" s="77">
        <f>IF(MatrizDeAdyacencia!U23=1, SUMIFS(tblRed[VALOR OPERATIVO], tblRed[Nodo Inicial], $C23, tblRed[Nodo Final], U$3, tblRed[Activo], 1), 0)</f>
        <v>0</v>
      </c>
      <c r="V23" s="79">
        <f>IF(MatrizDeAdyacencia!V23=1, SUMIFS(tblRed[VALOR OPERATIVO], tblRed[Nodo Inicial], $C23, tblRed[Nodo Final], V$3, tblRed[Activo], 1), 0)</f>
        <v>0</v>
      </c>
      <c r="W23" s="77">
        <f>IF(MatrizDeAdyacencia!W23=1, SUMIFS(tblRed[VALOR OPERATIVO], tblRed[Nodo Inicial], $C23, tblRed[Nodo Final], W$3, tblRed[Activo], 1), 0)</f>
        <v>0</v>
      </c>
      <c r="X23" s="77">
        <f>IF(MatrizDeAdyacencia!X23=1, SUMIFS(tblRed[VALOR OPERATIVO], tblRed[Nodo Inicial], $C23, tblRed[Nodo Final], X$3, tblRed[Activo], 1), 0)</f>
        <v>0</v>
      </c>
      <c r="Y23" s="77">
        <f>IF(MatrizDeAdyacencia!Y23=1, SUMIFS(tblRed[VALOR OPERATIVO], tblRed[Nodo Inicial], $C23, tblRed[Nodo Final], Y$3, tblRed[Activo], 1), 0)</f>
        <v>0</v>
      </c>
      <c r="Z23" s="77">
        <f>IF(MatrizDeAdyacencia!Z23=1, SUMIFS(tblRed[VALOR OPERATIVO], tblRed[Nodo Inicial], $C23, tblRed[Nodo Final], Z$3, tblRed[Activo], 1), 0)</f>
        <v>0</v>
      </c>
      <c r="AA23" s="77">
        <f>IF(MatrizDeAdyacencia!AA23=1, SUMIFS(tblRed[VALOR OPERATIVO], tblRed[Nodo Inicial], $C23, tblRed[Nodo Final], AA$3, tblRed[Activo], 1), 0)</f>
        <v>0</v>
      </c>
      <c r="AB23" s="77">
        <f>IF(MatrizDeAdyacencia!AB23=1, SUMIFS(tblRed[VALOR OPERATIVO], tblRed[Nodo Inicial], $C23, tblRed[Nodo Final], AB$3, tblRed[Activo], 1), 0)</f>
        <v>0</v>
      </c>
      <c r="AC23" s="77">
        <f>IF(MatrizDeAdyacencia!AC23=1, SUMIFS(tblRed[VALOR OPERATIVO], tblRed[Nodo Inicial], $C23, tblRed[Nodo Final], AC$3, tblRed[Activo], 1), 0)</f>
        <v>0</v>
      </c>
      <c r="AD23" s="77">
        <f>IF(MatrizDeAdyacencia!AD23=1, SUMIFS(tblRed[VALOR OPERATIVO], tblRed[Nodo Inicial], $C23, tblRed[Nodo Final], AD$3, tblRed[Activo], 1), 0)</f>
        <v>0</v>
      </c>
      <c r="AE23" s="77">
        <f>IF(MatrizDeAdyacencia!AE23=1, SUMIFS(tblRed[VALOR OPERATIVO], tblRed[Nodo Inicial], $C23, tblRed[Nodo Final], AE$3, tblRed[Activo], 1), 0)</f>
        <v>0</v>
      </c>
      <c r="AF23" s="77">
        <f>IF(MatrizDeAdyacencia!AF23=1, SUMIFS(tblRed[VALOR OPERATIVO], tblRed[Nodo Inicial], $C23, tblRed[Nodo Final], AF$3, tblRed[Activo], 1), 0)</f>
        <v>0</v>
      </c>
      <c r="AG23" s="77">
        <f>IF(MatrizDeAdyacencia!AG23=1, SUMIFS(tblRed[VALOR OPERATIVO], tblRed[Nodo Inicial], $C23, tblRed[Nodo Final], AG$3, tblRed[Activo], 1), 0)</f>
        <v>8.862068965517242</v>
      </c>
      <c r="AH23" s="77">
        <f>IF(MatrizDeAdyacencia!AH23=1, SUMIFS(tblRed[VALOR OPERATIVO], tblRed[Nodo Inicial], $C23, tblRed[Nodo Final], AH$3, tblRed[Activo], 1), 0)</f>
        <v>0</v>
      </c>
    </row>
    <row r="24" spans="2:34" ht="17.25" customHeight="1" x14ac:dyDescent="0.25">
      <c r="B24" s="48" t="str">
        <f>VLOOKUP(tblMatrizPonderadaValorOperativo[[#This Row],[Nodo Orig.\Dest.]],tblNodos[],2,FALSE)</f>
        <v>Intermediarios de activos virtuales y conversión</v>
      </c>
      <c r="C24" s="75" t="s">
        <v>65</v>
      </c>
      <c r="D24" s="77">
        <f>IF(MatrizDeAdyacencia!D24=1, SUMIFS(tblRed[VALOR OPERATIVO], tblRed[Nodo Inicial], $C24, tblRed[Nodo Final], D$3, tblRed[Activo], 1), 0)</f>
        <v>0</v>
      </c>
      <c r="E24" s="77">
        <f>IF(MatrizDeAdyacencia!E24=1, SUMIFS(tblRed[VALOR OPERATIVO], tblRed[Nodo Inicial], $C24, tblRed[Nodo Final], E$3, tblRed[Activo], 1), 0)</f>
        <v>0</v>
      </c>
      <c r="F24" s="77">
        <f>IF(MatrizDeAdyacencia!F24=1, SUMIFS(tblRed[VALOR OPERATIVO], tblRed[Nodo Inicial], $C24, tblRed[Nodo Final], F$3, tblRed[Activo], 1), 0)</f>
        <v>0</v>
      </c>
      <c r="G24" s="77">
        <f>IF(MatrizDeAdyacencia!G24=1, SUMIFS(tblRed[VALOR OPERATIVO], tblRed[Nodo Inicial], $C24, tblRed[Nodo Final], G$3, tblRed[Activo], 1), 0)</f>
        <v>0</v>
      </c>
      <c r="H24" s="77">
        <f>IF(MatrizDeAdyacencia!H24=1, SUMIFS(tblRed[VALOR OPERATIVO], tblRed[Nodo Inicial], $C24, tblRed[Nodo Final], H$3, tblRed[Activo], 1), 0)</f>
        <v>0</v>
      </c>
      <c r="I24" s="77">
        <f>IF(MatrizDeAdyacencia!I24=1, SUMIFS(tblRed[VALOR OPERATIVO], tblRed[Nodo Inicial], $C24, tblRed[Nodo Final], I$3, tblRed[Activo], 1), 0)</f>
        <v>0</v>
      </c>
      <c r="J24" s="77">
        <f>IF(MatrizDeAdyacencia!J24=1, SUMIFS(tblRed[VALOR OPERATIVO], tblRed[Nodo Inicial], $C24, tblRed[Nodo Final], J$3, tblRed[Activo], 1), 0)</f>
        <v>0</v>
      </c>
      <c r="K24" s="77">
        <f>IF(MatrizDeAdyacencia!K24=1, SUMIFS(tblRed[VALOR OPERATIVO], tblRed[Nodo Inicial], $C24, tblRed[Nodo Final], K$3, tblRed[Activo], 1), 0)</f>
        <v>0</v>
      </c>
      <c r="L24" s="77">
        <f>IF(MatrizDeAdyacencia!L24=1, SUMIFS(tblRed[VALOR OPERATIVO], tblRed[Nodo Inicial], $C24, tblRed[Nodo Final], L$3, tblRed[Activo], 1), 0)</f>
        <v>0</v>
      </c>
      <c r="M24" s="77">
        <f>IF(MatrizDeAdyacencia!M24=1, SUMIFS(tblRed[VALOR OPERATIVO], tblRed[Nodo Inicial], $C24, tblRed[Nodo Final], M$3, tblRed[Activo], 1), 0)</f>
        <v>0</v>
      </c>
      <c r="N24" s="77">
        <f>IF(MatrizDeAdyacencia!N24=1, SUMIFS(tblRed[VALOR OPERATIVO], tblRed[Nodo Inicial], $C24, tblRed[Nodo Final], N$3, tblRed[Activo], 1), 0)</f>
        <v>0</v>
      </c>
      <c r="O24" s="77">
        <f>IF(MatrizDeAdyacencia!O24=1, SUMIFS(tblRed[VALOR OPERATIVO], tblRed[Nodo Inicial], $C24, tblRed[Nodo Final], O$3, tblRed[Activo], 1), 0)</f>
        <v>0</v>
      </c>
      <c r="P24" s="77">
        <f>IF(MatrizDeAdyacencia!P24=1, SUMIFS(tblRed[VALOR OPERATIVO], tblRed[Nodo Inicial], $C24, tblRed[Nodo Final], P$3, tblRed[Activo], 1), 0)</f>
        <v>0</v>
      </c>
      <c r="Q24" s="77">
        <f>IF(MatrizDeAdyacencia!Q24=1, SUMIFS(tblRed[VALOR OPERATIVO], tblRed[Nodo Inicial], $C24, tblRed[Nodo Final], Q$3, tblRed[Activo], 1), 0)</f>
        <v>0</v>
      </c>
      <c r="R24" s="77">
        <f>IF(MatrizDeAdyacencia!R24=1, SUMIFS(tblRed[VALOR OPERATIVO], tblRed[Nodo Inicial], $C24, tblRed[Nodo Final], R$3, tblRed[Activo], 1), 0)</f>
        <v>0</v>
      </c>
      <c r="S24" s="77">
        <f>IF(MatrizDeAdyacencia!S24=1, SUMIFS(tblRed[VALOR OPERATIVO], tblRed[Nodo Inicial], $C24, tblRed[Nodo Final], S$3, tblRed[Activo], 1), 0)</f>
        <v>0</v>
      </c>
      <c r="T24" s="77">
        <f>IF(MatrizDeAdyacencia!T24=1, SUMIFS(tblRed[VALOR OPERATIVO], tblRed[Nodo Inicial], $C24, tblRed[Nodo Final], T$3, tblRed[Activo], 1), 0)</f>
        <v>0</v>
      </c>
      <c r="U24" s="77">
        <f>IF(MatrizDeAdyacencia!U24=1, SUMIFS(tblRed[VALOR OPERATIVO], tblRed[Nodo Inicial], $C24, tblRed[Nodo Final], U$3, tblRed[Activo], 1), 0)</f>
        <v>0</v>
      </c>
      <c r="V24" s="79">
        <f>IF(MatrizDeAdyacencia!V24=1, SUMIFS(tblRed[VALOR OPERATIVO], tblRed[Nodo Inicial], $C24, tblRed[Nodo Final], V$3, tblRed[Activo], 1), 0)</f>
        <v>0</v>
      </c>
      <c r="W24" s="77">
        <f>IF(MatrizDeAdyacencia!W24=1, SUMIFS(tblRed[VALOR OPERATIVO], tblRed[Nodo Inicial], $C24, tblRed[Nodo Final], W$3, tblRed[Activo], 1), 0)</f>
        <v>0</v>
      </c>
      <c r="X24" s="77">
        <f>IF(MatrizDeAdyacencia!X24=1, SUMIFS(tblRed[VALOR OPERATIVO], tblRed[Nodo Inicial], $C24, tblRed[Nodo Final], X$3, tblRed[Activo], 1), 0)</f>
        <v>0</v>
      </c>
      <c r="Y24" s="77">
        <f>IF(MatrizDeAdyacencia!Y24=1, SUMIFS(tblRed[VALOR OPERATIVO], tblRed[Nodo Inicial], $C24, tblRed[Nodo Final], Y$3, tblRed[Activo], 1), 0)</f>
        <v>0</v>
      </c>
      <c r="Z24" s="77">
        <f>IF(MatrizDeAdyacencia!Z24=1, SUMIFS(tblRed[VALOR OPERATIVO], tblRed[Nodo Inicial], $C24, tblRed[Nodo Final], Z$3, tblRed[Activo], 1), 0)</f>
        <v>0</v>
      </c>
      <c r="AA24" s="77">
        <f>IF(MatrizDeAdyacencia!AA24=1, SUMIFS(tblRed[VALOR OPERATIVO], tblRed[Nodo Inicial], $C24, tblRed[Nodo Final], AA$3, tblRed[Activo], 1), 0)</f>
        <v>0</v>
      </c>
      <c r="AB24" s="77">
        <f>IF(MatrizDeAdyacencia!AB24=1, SUMIFS(tblRed[VALOR OPERATIVO], tblRed[Nodo Inicial], $C24, tblRed[Nodo Final], AB$3, tblRed[Activo], 1), 0)</f>
        <v>0</v>
      </c>
      <c r="AC24" s="77">
        <f>IF(MatrizDeAdyacencia!AC24=1, SUMIFS(tblRed[VALOR OPERATIVO], tblRed[Nodo Inicial], $C24, tblRed[Nodo Final], AC$3, tblRed[Activo], 1), 0)</f>
        <v>0</v>
      </c>
      <c r="AD24" s="77">
        <f>IF(MatrizDeAdyacencia!AD24=1, SUMIFS(tblRed[VALOR OPERATIVO], tblRed[Nodo Inicial], $C24, tblRed[Nodo Final], AD$3, tblRed[Activo], 1), 0)</f>
        <v>0</v>
      </c>
      <c r="AE24" s="77">
        <f>IF(MatrizDeAdyacencia!AE24=1, SUMIFS(tblRed[VALOR OPERATIVO], tblRed[Nodo Inicial], $C24, tblRed[Nodo Final], AE$3, tblRed[Activo], 1), 0)</f>
        <v>0</v>
      </c>
      <c r="AF24" s="77">
        <f>IF(MatrizDeAdyacencia!AF24=1, SUMIFS(tblRed[VALOR OPERATIVO], tblRed[Nodo Inicial], $C24, tblRed[Nodo Final], AF$3, tblRed[Activo], 1), 0)</f>
        <v>9.3571428571428559</v>
      </c>
      <c r="AG24" s="77">
        <f>IF(MatrizDeAdyacencia!AG24=1, SUMIFS(tblRed[VALOR OPERATIVO], tblRed[Nodo Inicial], $C24, tblRed[Nodo Final], AG$3, tblRed[Activo], 1), 0)</f>
        <v>8.6999999999999993</v>
      </c>
      <c r="AH24" s="77">
        <f>IF(MatrizDeAdyacencia!AH24=1, SUMIFS(tblRed[VALOR OPERATIVO], tblRed[Nodo Inicial], $C24, tblRed[Nodo Final], AH$3, tblRed[Activo], 1), 0)</f>
        <v>0</v>
      </c>
    </row>
    <row r="25" spans="2:34" ht="17.25" customHeight="1" x14ac:dyDescent="0.25">
      <c r="B25" s="48" t="str">
        <f>VLOOKUP(tblMatrizPonderadaValorOperativo[[#This Row],[Nodo Orig.\Dest.]],tblNodos[],2,FALSE)</f>
        <v>Intermediarios comerciales y transaccionales</v>
      </c>
      <c r="C25" s="75" t="s">
        <v>67</v>
      </c>
      <c r="D25" s="77">
        <f>IF(MatrizDeAdyacencia!D25=1, SUMIFS(tblRed[VALOR OPERATIVO], tblRed[Nodo Inicial], $C25, tblRed[Nodo Final], D$3, tblRed[Activo], 1), 0)</f>
        <v>0</v>
      </c>
      <c r="E25" s="77">
        <f>IF(MatrizDeAdyacencia!E25=1, SUMIFS(tblRed[VALOR OPERATIVO], tblRed[Nodo Inicial], $C25, tblRed[Nodo Final], E$3, tblRed[Activo], 1), 0)</f>
        <v>0</v>
      </c>
      <c r="F25" s="77">
        <f>IF(MatrizDeAdyacencia!F25=1, SUMIFS(tblRed[VALOR OPERATIVO], tblRed[Nodo Inicial], $C25, tblRed[Nodo Final], F$3, tblRed[Activo], 1), 0)</f>
        <v>0</v>
      </c>
      <c r="G25" s="77">
        <f>IF(MatrizDeAdyacencia!G25=1, SUMIFS(tblRed[VALOR OPERATIVO], tblRed[Nodo Inicial], $C25, tblRed[Nodo Final], G$3, tblRed[Activo], 1), 0)</f>
        <v>0</v>
      </c>
      <c r="H25" s="77">
        <f>IF(MatrizDeAdyacencia!H25=1, SUMIFS(tblRed[VALOR OPERATIVO], tblRed[Nodo Inicial], $C25, tblRed[Nodo Final], H$3, tblRed[Activo], 1), 0)</f>
        <v>0</v>
      </c>
      <c r="I25" s="77">
        <f>IF(MatrizDeAdyacencia!I25=1, SUMIFS(tblRed[VALOR OPERATIVO], tblRed[Nodo Inicial], $C25, tblRed[Nodo Final], I$3, tblRed[Activo], 1), 0)</f>
        <v>0</v>
      </c>
      <c r="J25" s="77">
        <f>IF(MatrizDeAdyacencia!J25=1, SUMIFS(tblRed[VALOR OPERATIVO], tblRed[Nodo Inicial], $C25, tblRed[Nodo Final], J$3, tblRed[Activo], 1), 0)</f>
        <v>0</v>
      </c>
      <c r="K25" s="77">
        <f>IF(MatrizDeAdyacencia!K25=1, SUMIFS(tblRed[VALOR OPERATIVO], tblRed[Nodo Inicial], $C25, tblRed[Nodo Final], K$3, tblRed[Activo], 1), 0)</f>
        <v>0</v>
      </c>
      <c r="L25" s="77">
        <f>IF(MatrizDeAdyacencia!L25=1, SUMIFS(tblRed[VALOR OPERATIVO], tblRed[Nodo Inicial], $C25, tblRed[Nodo Final], L$3, tblRed[Activo], 1), 0)</f>
        <v>0</v>
      </c>
      <c r="M25" s="77">
        <f>IF(MatrizDeAdyacencia!M25=1, SUMIFS(tblRed[VALOR OPERATIVO], tblRed[Nodo Inicial], $C25, tblRed[Nodo Final], M$3, tblRed[Activo], 1), 0)</f>
        <v>0</v>
      </c>
      <c r="N25" s="77">
        <f>IF(MatrizDeAdyacencia!N25=1, SUMIFS(tblRed[VALOR OPERATIVO], tblRed[Nodo Inicial], $C25, tblRed[Nodo Final], N$3, tblRed[Activo], 1), 0)</f>
        <v>0</v>
      </c>
      <c r="O25" s="77">
        <f>IF(MatrizDeAdyacencia!O25=1, SUMIFS(tblRed[VALOR OPERATIVO], tblRed[Nodo Inicial], $C25, tblRed[Nodo Final], O$3, tblRed[Activo], 1), 0)</f>
        <v>0</v>
      </c>
      <c r="P25" s="77">
        <f>IF(MatrizDeAdyacencia!P25=1, SUMIFS(tblRed[VALOR OPERATIVO], tblRed[Nodo Inicial], $C25, tblRed[Nodo Final], P$3, tblRed[Activo], 1), 0)</f>
        <v>0</v>
      </c>
      <c r="Q25" s="77">
        <f>IF(MatrizDeAdyacencia!Q25=1, SUMIFS(tblRed[VALOR OPERATIVO], tblRed[Nodo Inicial], $C25, tblRed[Nodo Final], Q$3, tblRed[Activo], 1), 0)</f>
        <v>0</v>
      </c>
      <c r="R25" s="77">
        <f>IF(MatrizDeAdyacencia!R25=1, SUMIFS(tblRed[VALOR OPERATIVO], tblRed[Nodo Inicial], $C25, tblRed[Nodo Final], R$3, tblRed[Activo], 1), 0)</f>
        <v>0</v>
      </c>
      <c r="S25" s="77">
        <f>IF(MatrizDeAdyacencia!S25=1, SUMIFS(tblRed[VALOR OPERATIVO], tblRed[Nodo Inicial], $C25, tblRed[Nodo Final], S$3, tblRed[Activo], 1), 0)</f>
        <v>0</v>
      </c>
      <c r="T25" s="77">
        <f>IF(MatrizDeAdyacencia!T25=1, SUMIFS(tblRed[VALOR OPERATIVO], tblRed[Nodo Inicial], $C25, tblRed[Nodo Final], T$3, tblRed[Activo], 1), 0)</f>
        <v>0</v>
      </c>
      <c r="U25" s="77">
        <f>IF(MatrizDeAdyacencia!U25=1, SUMIFS(tblRed[VALOR OPERATIVO], tblRed[Nodo Inicial], $C25, tblRed[Nodo Final], U$3, tblRed[Activo], 1), 0)</f>
        <v>0</v>
      </c>
      <c r="V25" s="79">
        <f>IF(MatrizDeAdyacencia!V25=1, SUMIFS(tblRed[VALOR OPERATIVO], tblRed[Nodo Inicial], $C25, tblRed[Nodo Final], V$3, tblRed[Activo], 1), 0)</f>
        <v>0</v>
      </c>
      <c r="W25" s="77">
        <f>IF(MatrizDeAdyacencia!W25=1, SUMIFS(tblRed[VALOR OPERATIVO], tblRed[Nodo Inicial], $C25, tblRed[Nodo Final], W$3, tblRed[Activo], 1), 0)</f>
        <v>0</v>
      </c>
      <c r="X25" s="77">
        <f>IF(MatrizDeAdyacencia!X25=1, SUMIFS(tblRed[VALOR OPERATIVO], tblRed[Nodo Inicial], $C25, tblRed[Nodo Final], X$3, tblRed[Activo], 1), 0)</f>
        <v>0</v>
      </c>
      <c r="Y25" s="77">
        <f>IF(MatrizDeAdyacencia!Y25=1, SUMIFS(tblRed[VALOR OPERATIVO], tblRed[Nodo Inicial], $C25, tblRed[Nodo Final], Y$3, tblRed[Activo], 1), 0)</f>
        <v>0</v>
      </c>
      <c r="Z25" s="77">
        <f>IF(MatrizDeAdyacencia!Z25=1, SUMIFS(tblRed[VALOR OPERATIVO], tblRed[Nodo Inicial], $C25, tblRed[Nodo Final], Z$3, tblRed[Activo], 1), 0)</f>
        <v>0</v>
      </c>
      <c r="AA25" s="77">
        <f>IF(MatrizDeAdyacencia!AA25=1, SUMIFS(tblRed[VALOR OPERATIVO], tblRed[Nodo Inicial], $C25, tblRed[Nodo Final], AA$3, tblRed[Activo], 1), 0)</f>
        <v>0</v>
      </c>
      <c r="AB25" s="77">
        <f>IF(MatrizDeAdyacencia!AB25=1, SUMIFS(tblRed[VALOR OPERATIVO], tblRed[Nodo Inicial], $C25, tblRed[Nodo Final], AB$3, tblRed[Activo], 1), 0)</f>
        <v>0</v>
      </c>
      <c r="AC25" s="77">
        <f>IF(MatrizDeAdyacencia!AC25=1, SUMIFS(tblRed[VALOR OPERATIVO], tblRed[Nodo Inicial], $C25, tblRed[Nodo Final], AC$3, tblRed[Activo], 1), 0)</f>
        <v>0</v>
      </c>
      <c r="AD25" s="77">
        <f>IF(MatrizDeAdyacencia!AD25=1, SUMIFS(tblRed[VALOR OPERATIVO], tblRed[Nodo Inicial], $C25, tblRed[Nodo Final], AD$3, tblRed[Activo], 1), 0)</f>
        <v>10.304347826086957</v>
      </c>
      <c r="AE25" s="77">
        <f>IF(MatrizDeAdyacencia!AE25=1, SUMIFS(tblRed[VALOR OPERATIVO], tblRed[Nodo Inicial], $C25, tblRed[Nodo Final], AE$3, tblRed[Activo], 1), 0)</f>
        <v>5.6666666666666661</v>
      </c>
      <c r="AF25" s="77">
        <f>IF(MatrizDeAdyacencia!AF25=1, SUMIFS(tblRed[VALOR OPERATIVO], tblRed[Nodo Inicial], $C25, tblRed[Nodo Final], AF$3, tblRed[Activo], 1), 0)</f>
        <v>9.3333333333333321</v>
      </c>
      <c r="AG25" s="77">
        <f>IF(MatrizDeAdyacencia!AG25=1, SUMIFS(tblRed[VALOR OPERATIVO], tblRed[Nodo Inicial], $C25, tblRed[Nodo Final], AG$3, tblRed[Activo], 1), 0)</f>
        <v>0</v>
      </c>
      <c r="AH25" s="77">
        <f>IF(MatrizDeAdyacencia!AH25=1, SUMIFS(tblRed[VALOR OPERATIVO], tblRed[Nodo Inicial], $C25, tblRed[Nodo Final], AH$3, tblRed[Activo], 1), 0)</f>
        <v>0</v>
      </c>
    </row>
    <row r="26" spans="2:34" ht="17.25" customHeight="1" x14ac:dyDescent="0.25">
      <c r="B26" s="48" t="str">
        <f>VLOOKUP(tblMatrizPonderadaValorOperativo[[#This Row],[Nodo Orig.\Dest.]],tblNodos[],2,FALSE)</f>
        <v>Intermediarios logísticos del contrabando</v>
      </c>
      <c r="C26" s="75" t="s">
        <v>69</v>
      </c>
      <c r="D26" s="77">
        <f>IF(MatrizDeAdyacencia!D26=1, SUMIFS(tblRed[VALOR OPERATIVO], tblRed[Nodo Inicial], $C26, tblRed[Nodo Final], D$3, tblRed[Activo], 1), 0)</f>
        <v>0</v>
      </c>
      <c r="E26" s="77">
        <f>IF(MatrizDeAdyacencia!E26=1, SUMIFS(tblRed[VALOR OPERATIVO], tblRed[Nodo Inicial], $C26, tblRed[Nodo Final], E$3, tblRed[Activo], 1), 0)</f>
        <v>0</v>
      </c>
      <c r="F26" s="77">
        <f>IF(MatrizDeAdyacencia!F26=1, SUMIFS(tblRed[VALOR OPERATIVO], tblRed[Nodo Inicial], $C26, tblRed[Nodo Final], F$3, tblRed[Activo], 1), 0)</f>
        <v>0</v>
      </c>
      <c r="G26" s="77">
        <f>IF(MatrizDeAdyacencia!G26=1, SUMIFS(tblRed[VALOR OPERATIVO], tblRed[Nodo Inicial], $C26, tblRed[Nodo Final], G$3, tblRed[Activo], 1), 0)</f>
        <v>0</v>
      </c>
      <c r="H26" s="77">
        <f>IF(MatrizDeAdyacencia!H26=1, SUMIFS(tblRed[VALOR OPERATIVO], tblRed[Nodo Inicial], $C26, tblRed[Nodo Final], H$3, tblRed[Activo], 1), 0)</f>
        <v>0</v>
      </c>
      <c r="I26" s="77">
        <f>IF(MatrizDeAdyacencia!I26=1, SUMIFS(tblRed[VALOR OPERATIVO], tblRed[Nodo Inicial], $C26, tblRed[Nodo Final], I$3, tblRed[Activo], 1), 0)</f>
        <v>0</v>
      </c>
      <c r="J26" s="77">
        <f>IF(MatrizDeAdyacencia!J26=1, SUMIFS(tblRed[VALOR OPERATIVO], tblRed[Nodo Inicial], $C26, tblRed[Nodo Final], J$3, tblRed[Activo], 1), 0)</f>
        <v>0</v>
      </c>
      <c r="K26" s="77">
        <f>IF(MatrizDeAdyacencia!K26=1, SUMIFS(tblRed[VALOR OPERATIVO], tblRed[Nodo Inicial], $C26, tblRed[Nodo Final], K$3, tblRed[Activo], 1), 0)</f>
        <v>0</v>
      </c>
      <c r="L26" s="77">
        <f>IF(MatrizDeAdyacencia!L26=1, SUMIFS(tblRed[VALOR OPERATIVO], tblRed[Nodo Inicial], $C26, tblRed[Nodo Final], L$3, tblRed[Activo], 1), 0)</f>
        <v>0</v>
      </c>
      <c r="M26" s="77">
        <f>IF(MatrizDeAdyacencia!M26=1, SUMIFS(tblRed[VALOR OPERATIVO], tblRed[Nodo Inicial], $C26, tblRed[Nodo Final], M$3, tblRed[Activo], 1), 0)</f>
        <v>0</v>
      </c>
      <c r="N26" s="77">
        <f>IF(MatrizDeAdyacencia!N26=1, SUMIFS(tblRed[VALOR OPERATIVO], tblRed[Nodo Inicial], $C26, tblRed[Nodo Final], N$3, tblRed[Activo], 1), 0)</f>
        <v>0</v>
      </c>
      <c r="O26" s="77">
        <f>IF(MatrizDeAdyacencia!O26=1, SUMIFS(tblRed[VALOR OPERATIVO], tblRed[Nodo Inicial], $C26, tblRed[Nodo Final], O$3, tblRed[Activo], 1), 0)</f>
        <v>0</v>
      </c>
      <c r="P26" s="77">
        <f>IF(MatrizDeAdyacencia!P26=1, SUMIFS(tblRed[VALOR OPERATIVO], tblRed[Nodo Inicial], $C26, tblRed[Nodo Final], P$3, tblRed[Activo], 1), 0)</f>
        <v>0</v>
      </c>
      <c r="Q26" s="77">
        <f>IF(MatrizDeAdyacencia!Q26=1, SUMIFS(tblRed[VALOR OPERATIVO], tblRed[Nodo Inicial], $C26, tblRed[Nodo Final], Q$3, tblRed[Activo], 1), 0)</f>
        <v>0</v>
      </c>
      <c r="R26" s="77">
        <f>IF(MatrizDeAdyacencia!R26=1, SUMIFS(tblRed[VALOR OPERATIVO], tblRed[Nodo Inicial], $C26, tblRed[Nodo Final], R$3, tblRed[Activo], 1), 0)</f>
        <v>0</v>
      </c>
      <c r="S26" s="77">
        <f>IF(MatrizDeAdyacencia!S26=1, SUMIFS(tblRed[VALOR OPERATIVO], tblRed[Nodo Inicial], $C26, tblRed[Nodo Final], S$3, tblRed[Activo], 1), 0)</f>
        <v>0</v>
      </c>
      <c r="T26" s="77">
        <f>IF(MatrizDeAdyacencia!T26=1, SUMIFS(tblRed[VALOR OPERATIVO], tblRed[Nodo Inicial], $C26, tblRed[Nodo Final], T$3, tblRed[Activo], 1), 0)</f>
        <v>0</v>
      </c>
      <c r="U26" s="77">
        <f>IF(MatrizDeAdyacencia!U26=1, SUMIFS(tblRed[VALOR OPERATIVO], tblRed[Nodo Inicial], $C26, tblRed[Nodo Final], U$3, tblRed[Activo], 1), 0)</f>
        <v>0</v>
      </c>
      <c r="V26" s="79">
        <f>IF(MatrizDeAdyacencia!V26=1, SUMIFS(tblRed[VALOR OPERATIVO], tblRed[Nodo Inicial], $C26, tblRed[Nodo Final], V$3, tblRed[Activo], 1), 0)</f>
        <v>0</v>
      </c>
      <c r="W26" s="77">
        <f>IF(MatrizDeAdyacencia!W26=1, SUMIFS(tblRed[VALOR OPERATIVO], tblRed[Nodo Inicial], $C26, tblRed[Nodo Final], W$3, tblRed[Activo], 1), 0)</f>
        <v>0</v>
      </c>
      <c r="X26" s="77">
        <f>IF(MatrizDeAdyacencia!X26=1, SUMIFS(tblRed[VALOR OPERATIVO], tblRed[Nodo Inicial], $C26, tblRed[Nodo Final], X$3, tblRed[Activo], 1), 0)</f>
        <v>0</v>
      </c>
      <c r="Y26" s="77">
        <f>IF(MatrizDeAdyacencia!Y26=1, SUMIFS(tblRed[VALOR OPERATIVO], tblRed[Nodo Inicial], $C26, tblRed[Nodo Final], Y$3, tblRed[Activo], 1), 0)</f>
        <v>0</v>
      </c>
      <c r="Z26" s="77">
        <f>IF(MatrizDeAdyacencia!Z26=1, SUMIFS(tblRed[VALOR OPERATIVO], tblRed[Nodo Inicial], $C26, tblRed[Nodo Final], Z$3, tblRed[Activo], 1), 0)</f>
        <v>0</v>
      </c>
      <c r="AA26" s="77">
        <f>IF(MatrizDeAdyacencia!AA26=1, SUMIFS(tblRed[VALOR OPERATIVO], tblRed[Nodo Inicial], $C26, tblRed[Nodo Final], AA$3, tblRed[Activo], 1), 0)</f>
        <v>0</v>
      </c>
      <c r="AB26" s="77">
        <f>IF(MatrizDeAdyacencia!AB26=1, SUMIFS(tblRed[VALOR OPERATIVO], tblRed[Nodo Inicial], $C26, tblRed[Nodo Final], AB$3, tblRed[Activo], 1), 0)</f>
        <v>0</v>
      </c>
      <c r="AC26" s="77">
        <f>IF(MatrizDeAdyacencia!AC26=1, SUMIFS(tblRed[VALOR OPERATIVO], tblRed[Nodo Inicial], $C26, tblRed[Nodo Final], AC$3, tblRed[Activo], 1), 0)</f>
        <v>0</v>
      </c>
      <c r="AD26" s="77">
        <f>IF(MatrizDeAdyacencia!AD26=1, SUMIFS(tblRed[VALOR OPERATIVO], tblRed[Nodo Inicial], $C26, tblRed[Nodo Final], AD$3, tblRed[Activo], 1), 0)</f>
        <v>10.304347826086955</v>
      </c>
      <c r="AE26" s="77">
        <f>IF(MatrizDeAdyacencia!AE26=1, SUMIFS(tblRed[VALOR OPERATIVO], tblRed[Nodo Inicial], $C26, tblRed[Nodo Final], AE$3, tblRed[Activo], 1), 0)</f>
        <v>0</v>
      </c>
      <c r="AF26" s="77">
        <f>IF(MatrizDeAdyacencia!AF26=1, SUMIFS(tblRed[VALOR OPERATIVO], tblRed[Nodo Inicial], $C26, tblRed[Nodo Final], AF$3, tblRed[Activo], 1), 0)</f>
        <v>0</v>
      </c>
      <c r="AG26" s="77">
        <f>IF(MatrizDeAdyacencia!AG26=1, SUMIFS(tblRed[VALOR OPERATIVO], tblRed[Nodo Inicial], $C26, tblRed[Nodo Final], AG$3, tblRed[Activo], 1), 0)</f>
        <v>11</v>
      </c>
      <c r="AH26" s="77">
        <f>IF(MatrizDeAdyacencia!AH26=1, SUMIFS(tblRed[VALOR OPERATIVO], tblRed[Nodo Inicial], $C26, tblRed[Nodo Final], AH$3, tblRed[Activo], 1), 0)</f>
        <v>0</v>
      </c>
    </row>
    <row r="27" spans="2:34" ht="17.25" customHeight="1" x14ac:dyDescent="0.25">
      <c r="B27" s="48" t="str">
        <f>VLOOKUP(tblMatrizPonderadaValorOperativo[[#This Row],[Nodo Orig.\Dest.]],tblNodos[],2,FALSE)</f>
        <v>Intermediarios financeros especializados</v>
      </c>
      <c r="C27" s="75" t="s">
        <v>71</v>
      </c>
      <c r="D27" s="77">
        <f>IF(MatrizDeAdyacencia!D27=1, SUMIFS(tblRed[VALOR OPERATIVO], tblRed[Nodo Inicial], $C27, tblRed[Nodo Final], D$3, tblRed[Activo], 1), 0)</f>
        <v>0</v>
      </c>
      <c r="E27" s="77">
        <f>IF(MatrizDeAdyacencia!E27=1, SUMIFS(tblRed[VALOR OPERATIVO], tblRed[Nodo Inicial], $C27, tblRed[Nodo Final], E$3, tblRed[Activo], 1), 0)</f>
        <v>0</v>
      </c>
      <c r="F27" s="77">
        <f>IF(MatrizDeAdyacencia!F27=1, SUMIFS(tblRed[VALOR OPERATIVO], tblRed[Nodo Inicial], $C27, tblRed[Nodo Final], F$3, tblRed[Activo], 1), 0)</f>
        <v>0</v>
      </c>
      <c r="G27" s="77">
        <f>IF(MatrizDeAdyacencia!G27=1, SUMIFS(tblRed[VALOR OPERATIVO], tblRed[Nodo Inicial], $C27, tblRed[Nodo Final], G$3, tblRed[Activo], 1), 0)</f>
        <v>0</v>
      </c>
      <c r="H27" s="77">
        <f>IF(MatrizDeAdyacencia!H27=1, SUMIFS(tblRed[VALOR OPERATIVO], tblRed[Nodo Inicial], $C27, tblRed[Nodo Final], H$3, tblRed[Activo], 1), 0)</f>
        <v>0</v>
      </c>
      <c r="I27" s="77">
        <f>IF(MatrizDeAdyacencia!I27=1, SUMIFS(tblRed[VALOR OPERATIVO], tblRed[Nodo Inicial], $C27, tblRed[Nodo Final], I$3, tblRed[Activo], 1), 0)</f>
        <v>0</v>
      </c>
      <c r="J27" s="77">
        <f>IF(MatrizDeAdyacencia!J27=1, SUMIFS(tblRed[VALOR OPERATIVO], tblRed[Nodo Inicial], $C27, tblRed[Nodo Final], J$3, tblRed[Activo], 1), 0)</f>
        <v>0</v>
      </c>
      <c r="K27" s="77">
        <f>IF(MatrizDeAdyacencia!K27=1, SUMIFS(tblRed[VALOR OPERATIVO], tblRed[Nodo Inicial], $C27, tblRed[Nodo Final], K$3, tblRed[Activo], 1), 0)</f>
        <v>0</v>
      </c>
      <c r="L27" s="77">
        <f>IF(MatrizDeAdyacencia!L27=1, SUMIFS(tblRed[VALOR OPERATIVO], tblRed[Nodo Inicial], $C27, tblRed[Nodo Final], L$3, tblRed[Activo], 1), 0)</f>
        <v>0</v>
      </c>
      <c r="M27" s="77">
        <f>IF(MatrizDeAdyacencia!M27=1, SUMIFS(tblRed[VALOR OPERATIVO], tblRed[Nodo Inicial], $C27, tblRed[Nodo Final], M$3, tblRed[Activo], 1), 0)</f>
        <v>0</v>
      </c>
      <c r="N27" s="77">
        <f>IF(MatrizDeAdyacencia!N27=1, SUMIFS(tblRed[VALOR OPERATIVO], tblRed[Nodo Inicial], $C27, tblRed[Nodo Final], N$3, tblRed[Activo], 1), 0)</f>
        <v>0</v>
      </c>
      <c r="O27" s="77">
        <f>IF(MatrizDeAdyacencia!O27=1, SUMIFS(tblRed[VALOR OPERATIVO], tblRed[Nodo Inicial], $C27, tblRed[Nodo Final], O$3, tblRed[Activo], 1), 0)</f>
        <v>0</v>
      </c>
      <c r="P27" s="77">
        <f>IF(MatrizDeAdyacencia!P27=1, SUMIFS(tblRed[VALOR OPERATIVO], tblRed[Nodo Inicial], $C27, tblRed[Nodo Final], P$3, tblRed[Activo], 1), 0)</f>
        <v>0</v>
      </c>
      <c r="Q27" s="77">
        <f>IF(MatrizDeAdyacencia!Q27=1, SUMIFS(tblRed[VALOR OPERATIVO], tblRed[Nodo Inicial], $C27, tblRed[Nodo Final], Q$3, tblRed[Activo], 1), 0)</f>
        <v>0</v>
      </c>
      <c r="R27" s="77">
        <f>IF(MatrizDeAdyacencia!R27=1, SUMIFS(tblRed[VALOR OPERATIVO], tblRed[Nodo Inicial], $C27, tblRed[Nodo Final], R$3, tblRed[Activo], 1), 0)</f>
        <v>0</v>
      </c>
      <c r="S27" s="77">
        <f>IF(MatrizDeAdyacencia!S27=1, SUMIFS(tblRed[VALOR OPERATIVO], tblRed[Nodo Inicial], $C27, tblRed[Nodo Final], S$3, tblRed[Activo], 1), 0)</f>
        <v>0</v>
      </c>
      <c r="T27" s="77">
        <f>IF(MatrizDeAdyacencia!T27=1, SUMIFS(tblRed[VALOR OPERATIVO], tblRed[Nodo Inicial], $C27, tblRed[Nodo Final], T$3, tblRed[Activo], 1), 0)</f>
        <v>0</v>
      </c>
      <c r="U27" s="77">
        <f>IF(MatrizDeAdyacencia!U27=1, SUMIFS(tblRed[VALOR OPERATIVO], tblRed[Nodo Inicial], $C27, tblRed[Nodo Final], U$3, tblRed[Activo], 1), 0)</f>
        <v>0</v>
      </c>
      <c r="V27" s="79">
        <f>IF(MatrizDeAdyacencia!V27=1, SUMIFS(tblRed[VALOR OPERATIVO], tblRed[Nodo Inicial], $C27, tblRed[Nodo Final], V$3, tblRed[Activo], 1), 0)</f>
        <v>0</v>
      </c>
      <c r="W27" s="77">
        <f>IF(MatrizDeAdyacencia!W27=1, SUMIFS(tblRed[VALOR OPERATIVO], tblRed[Nodo Inicial], $C27, tblRed[Nodo Final], W$3, tblRed[Activo], 1), 0)</f>
        <v>0</v>
      </c>
      <c r="X27" s="77">
        <f>IF(MatrizDeAdyacencia!X27=1, SUMIFS(tblRed[VALOR OPERATIVO], tblRed[Nodo Inicial], $C27, tblRed[Nodo Final], X$3, tblRed[Activo], 1), 0)</f>
        <v>0</v>
      </c>
      <c r="Y27" s="77">
        <f>IF(MatrizDeAdyacencia!Y27=1, SUMIFS(tblRed[VALOR OPERATIVO], tblRed[Nodo Inicial], $C27, tblRed[Nodo Final], Y$3, tblRed[Activo], 1), 0)</f>
        <v>0</v>
      </c>
      <c r="Z27" s="77">
        <f>IF(MatrizDeAdyacencia!Z27=1, SUMIFS(tblRed[VALOR OPERATIVO], tblRed[Nodo Inicial], $C27, tblRed[Nodo Final], Z$3, tblRed[Activo], 1), 0)</f>
        <v>0</v>
      </c>
      <c r="AA27" s="77">
        <f>IF(MatrizDeAdyacencia!AA27=1, SUMIFS(tblRed[VALOR OPERATIVO], tblRed[Nodo Inicial], $C27, tblRed[Nodo Final], AA$3, tblRed[Activo], 1), 0)</f>
        <v>0</v>
      </c>
      <c r="AB27" s="77">
        <f>IF(MatrizDeAdyacencia!AB27=1, SUMIFS(tblRed[VALOR OPERATIVO], tblRed[Nodo Inicial], $C27, tblRed[Nodo Final], AB$3, tblRed[Activo], 1), 0)</f>
        <v>0</v>
      </c>
      <c r="AC27" s="77">
        <f>IF(MatrizDeAdyacencia!AC27=1, SUMIFS(tblRed[VALOR OPERATIVO], tblRed[Nodo Inicial], $C27, tblRed[Nodo Final], AC$3, tblRed[Activo], 1), 0)</f>
        <v>0</v>
      </c>
      <c r="AD27" s="77">
        <f>IF(MatrizDeAdyacencia!AD27=1, SUMIFS(tblRed[VALOR OPERATIVO], tblRed[Nodo Inicial], $C27, tblRed[Nodo Final], AD$3, tblRed[Activo], 1), 0)</f>
        <v>10.6</v>
      </c>
      <c r="AE27" s="77">
        <f>IF(MatrizDeAdyacencia!AE27=1, SUMIFS(tblRed[VALOR OPERATIVO], tblRed[Nodo Inicial], $C27, tblRed[Nodo Final], AE$3, tblRed[Activo], 1), 0)</f>
        <v>6.5</v>
      </c>
      <c r="AF27" s="77">
        <f>IF(MatrizDeAdyacencia!AF27=1, SUMIFS(tblRed[VALOR OPERATIVO], tblRed[Nodo Inicial], $C27, tblRed[Nodo Final], AF$3, tblRed[Activo], 1), 0)</f>
        <v>0</v>
      </c>
      <c r="AG27" s="77">
        <f>IF(MatrizDeAdyacencia!AG27=1, SUMIFS(tblRed[VALOR OPERATIVO], tblRed[Nodo Inicial], $C27, tblRed[Nodo Final], AG$3, tblRed[Activo], 1), 0)</f>
        <v>0</v>
      </c>
      <c r="AH27" s="77">
        <f>IF(MatrizDeAdyacencia!AH27=1, SUMIFS(tblRed[VALOR OPERATIVO], tblRed[Nodo Inicial], $C27, tblRed[Nodo Final], AH$3, tblRed[Activo], 1), 0)</f>
        <v>0</v>
      </c>
    </row>
    <row r="28" spans="2:34" ht="17.25" customHeight="1" x14ac:dyDescent="0.25">
      <c r="B28" s="48" t="str">
        <f>VLOOKUP(tblMatrizPonderadaValorOperativo[[#This Row],[Nodo Orig.\Dest.]],tblNodos[],2,FALSE)</f>
        <v>Intermediarios operativos y de cobertura</v>
      </c>
      <c r="C28" s="75" t="s">
        <v>73</v>
      </c>
      <c r="D28" s="77">
        <f>IF(MatrizDeAdyacencia!D28=1, SUMIFS(tblRed[VALOR OPERATIVO], tblRed[Nodo Inicial], $C28, tblRed[Nodo Final], D$3, tblRed[Activo], 1), 0)</f>
        <v>0</v>
      </c>
      <c r="E28" s="77">
        <f>IF(MatrizDeAdyacencia!E28=1, SUMIFS(tblRed[VALOR OPERATIVO], tblRed[Nodo Inicial], $C28, tblRed[Nodo Final], E$3, tblRed[Activo], 1), 0)</f>
        <v>0</v>
      </c>
      <c r="F28" s="77">
        <f>IF(MatrizDeAdyacencia!F28=1, SUMIFS(tblRed[VALOR OPERATIVO], tblRed[Nodo Inicial], $C28, tblRed[Nodo Final], F$3, tblRed[Activo], 1), 0)</f>
        <v>0</v>
      </c>
      <c r="G28" s="77">
        <f>IF(MatrizDeAdyacencia!G28=1, SUMIFS(tblRed[VALOR OPERATIVO], tblRed[Nodo Inicial], $C28, tblRed[Nodo Final], G$3, tblRed[Activo], 1), 0)</f>
        <v>0</v>
      </c>
      <c r="H28" s="77">
        <f>IF(MatrizDeAdyacencia!H28=1, SUMIFS(tblRed[VALOR OPERATIVO], tblRed[Nodo Inicial], $C28, tblRed[Nodo Final], H$3, tblRed[Activo], 1), 0)</f>
        <v>0</v>
      </c>
      <c r="I28" s="77">
        <f>IF(MatrizDeAdyacencia!I28=1, SUMIFS(tblRed[VALOR OPERATIVO], tblRed[Nodo Inicial], $C28, tblRed[Nodo Final], I$3, tblRed[Activo], 1), 0)</f>
        <v>0</v>
      </c>
      <c r="J28" s="77">
        <f>IF(MatrizDeAdyacencia!J28=1, SUMIFS(tblRed[VALOR OPERATIVO], tblRed[Nodo Inicial], $C28, tblRed[Nodo Final], J$3, tblRed[Activo], 1), 0)</f>
        <v>0</v>
      </c>
      <c r="K28" s="77">
        <f>IF(MatrizDeAdyacencia!K28=1, SUMIFS(tblRed[VALOR OPERATIVO], tblRed[Nodo Inicial], $C28, tblRed[Nodo Final], K$3, tblRed[Activo], 1), 0)</f>
        <v>0</v>
      </c>
      <c r="L28" s="77">
        <f>IF(MatrizDeAdyacencia!L28=1, SUMIFS(tblRed[VALOR OPERATIVO], tblRed[Nodo Inicial], $C28, tblRed[Nodo Final], L$3, tblRed[Activo], 1), 0)</f>
        <v>0</v>
      </c>
      <c r="M28" s="77">
        <f>IF(MatrizDeAdyacencia!M28=1, SUMIFS(tblRed[VALOR OPERATIVO], tblRed[Nodo Inicial], $C28, tblRed[Nodo Final], M$3, tblRed[Activo], 1), 0)</f>
        <v>0</v>
      </c>
      <c r="N28" s="77">
        <f>IF(MatrizDeAdyacencia!N28=1, SUMIFS(tblRed[VALOR OPERATIVO], tblRed[Nodo Inicial], $C28, tblRed[Nodo Final], N$3, tblRed[Activo], 1), 0)</f>
        <v>0</v>
      </c>
      <c r="O28" s="77">
        <f>IF(MatrizDeAdyacencia!O28=1, SUMIFS(tblRed[VALOR OPERATIVO], tblRed[Nodo Inicial], $C28, tblRed[Nodo Final], O$3, tblRed[Activo], 1), 0)</f>
        <v>0</v>
      </c>
      <c r="P28" s="77">
        <f>IF(MatrizDeAdyacencia!P28=1, SUMIFS(tblRed[VALOR OPERATIVO], tblRed[Nodo Inicial], $C28, tblRed[Nodo Final], P$3, tblRed[Activo], 1), 0)</f>
        <v>0</v>
      </c>
      <c r="Q28" s="77">
        <f>IF(MatrizDeAdyacencia!Q28=1, SUMIFS(tblRed[VALOR OPERATIVO], tblRed[Nodo Inicial], $C28, tblRed[Nodo Final], Q$3, tblRed[Activo], 1), 0)</f>
        <v>0</v>
      </c>
      <c r="R28" s="77">
        <f>IF(MatrizDeAdyacencia!R28=1, SUMIFS(tblRed[VALOR OPERATIVO], tblRed[Nodo Inicial], $C28, tblRed[Nodo Final], R$3, tblRed[Activo], 1), 0)</f>
        <v>0</v>
      </c>
      <c r="S28" s="77">
        <f>IF(MatrizDeAdyacencia!S28=1, SUMIFS(tblRed[VALOR OPERATIVO], tblRed[Nodo Inicial], $C28, tblRed[Nodo Final], S$3, tblRed[Activo], 1), 0)</f>
        <v>0</v>
      </c>
      <c r="T28" s="77">
        <f>IF(MatrizDeAdyacencia!T28=1, SUMIFS(tblRed[VALOR OPERATIVO], tblRed[Nodo Inicial], $C28, tblRed[Nodo Final], T$3, tblRed[Activo], 1), 0)</f>
        <v>0</v>
      </c>
      <c r="U28" s="77">
        <f>IF(MatrizDeAdyacencia!U28=1, SUMIFS(tblRed[VALOR OPERATIVO], tblRed[Nodo Inicial], $C28, tblRed[Nodo Final], U$3, tblRed[Activo], 1), 0)</f>
        <v>0</v>
      </c>
      <c r="V28" s="79">
        <f>IF(MatrizDeAdyacencia!V28=1, SUMIFS(tblRed[VALOR OPERATIVO], tblRed[Nodo Inicial], $C28, tblRed[Nodo Final], V$3, tblRed[Activo], 1), 0)</f>
        <v>0</v>
      </c>
      <c r="W28" s="77">
        <f>IF(MatrizDeAdyacencia!W28=1, SUMIFS(tblRed[VALOR OPERATIVO], tblRed[Nodo Inicial], $C28, tblRed[Nodo Final], W$3, tblRed[Activo], 1), 0)</f>
        <v>0</v>
      </c>
      <c r="X28" s="77">
        <f>IF(MatrizDeAdyacencia!X28=1, SUMIFS(tblRed[VALOR OPERATIVO], tblRed[Nodo Inicial], $C28, tblRed[Nodo Final], X$3, tblRed[Activo], 1), 0)</f>
        <v>0</v>
      </c>
      <c r="Y28" s="77">
        <f>IF(MatrizDeAdyacencia!Y28=1, SUMIFS(tblRed[VALOR OPERATIVO], tblRed[Nodo Inicial], $C28, tblRed[Nodo Final], Y$3, tblRed[Activo], 1), 0)</f>
        <v>0</v>
      </c>
      <c r="Z28" s="77">
        <f>IF(MatrizDeAdyacencia!Z28=1, SUMIFS(tblRed[VALOR OPERATIVO], tblRed[Nodo Inicial], $C28, tblRed[Nodo Final], Z$3, tblRed[Activo], 1), 0)</f>
        <v>0</v>
      </c>
      <c r="AA28" s="77">
        <f>IF(MatrizDeAdyacencia!AA28=1, SUMIFS(tblRed[VALOR OPERATIVO], tblRed[Nodo Inicial], $C28, tblRed[Nodo Final], AA$3, tblRed[Activo], 1), 0)</f>
        <v>0</v>
      </c>
      <c r="AB28" s="77">
        <f>IF(MatrizDeAdyacencia!AB28=1, SUMIFS(tblRed[VALOR OPERATIVO], tblRed[Nodo Inicial], $C28, tblRed[Nodo Final], AB$3, tblRed[Activo], 1), 0)</f>
        <v>0</v>
      </c>
      <c r="AC28" s="77">
        <f>IF(MatrizDeAdyacencia!AC28=1, SUMIFS(tblRed[VALOR OPERATIVO], tblRed[Nodo Inicial], $C28, tblRed[Nodo Final], AC$3, tblRed[Activo], 1), 0)</f>
        <v>0</v>
      </c>
      <c r="AD28" s="77">
        <f>IF(MatrizDeAdyacencia!AD28=1, SUMIFS(tblRed[VALOR OPERATIVO], tblRed[Nodo Inicial], $C28, tblRed[Nodo Final], AD$3, tblRed[Activo], 1), 0)</f>
        <v>11</v>
      </c>
      <c r="AE28" s="77">
        <f>IF(MatrizDeAdyacencia!AE28=1, SUMIFS(tblRed[VALOR OPERATIVO], tblRed[Nodo Inicial], $C28, tblRed[Nodo Final], AE$3, tblRed[Activo], 1), 0)</f>
        <v>0</v>
      </c>
      <c r="AF28" s="77">
        <f>IF(MatrizDeAdyacencia!AF28=1, SUMIFS(tblRed[VALOR OPERATIVO], tblRed[Nodo Inicial], $C28, tblRed[Nodo Final], AF$3, tblRed[Activo], 1), 0)</f>
        <v>0</v>
      </c>
      <c r="AG28" s="77">
        <f>IF(MatrizDeAdyacencia!AG28=1, SUMIFS(tblRed[VALOR OPERATIVO], tblRed[Nodo Inicial], $C28, tblRed[Nodo Final], AG$3, tblRed[Activo], 1), 0)</f>
        <v>0</v>
      </c>
      <c r="AH28" s="77">
        <f>IF(MatrizDeAdyacencia!AH28=1, SUMIFS(tblRed[VALOR OPERATIVO], tblRed[Nodo Inicial], $C28, tblRed[Nodo Final], AH$3, tblRed[Activo], 1), 0)</f>
        <v>0</v>
      </c>
    </row>
    <row r="29" spans="2:34" ht="17.25" customHeight="1" x14ac:dyDescent="0.25">
      <c r="B29" s="48" t="str">
        <f>VLOOKUP(tblMatrizPonderadaValorOperativo[[#This Row],[Nodo Orig.\Dest.]],tblNodos[],2,FALSE)</f>
        <v>Intermediarios de negociación y rescate</v>
      </c>
      <c r="C29" s="75" t="s">
        <v>75</v>
      </c>
      <c r="D29" s="77">
        <f>IF(MatrizDeAdyacencia!D29=1, SUMIFS(tblRed[VALOR OPERATIVO], tblRed[Nodo Inicial], $C29, tblRed[Nodo Final], D$3, tblRed[Activo], 1), 0)</f>
        <v>0</v>
      </c>
      <c r="E29" s="77">
        <f>IF(MatrizDeAdyacencia!E29=1, SUMIFS(tblRed[VALOR OPERATIVO], tblRed[Nodo Inicial], $C29, tblRed[Nodo Final], E$3, tblRed[Activo], 1), 0)</f>
        <v>0</v>
      </c>
      <c r="F29" s="77">
        <f>IF(MatrizDeAdyacencia!F29=1, SUMIFS(tblRed[VALOR OPERATIVO], tblRed[Nodo Inicial], $C29, tblRed[Nodo Final], F$3, tblRed[Activo], 1), 0)</f>
        <v>0</v>
      </c>
      <c r="G29" s="77">
        <f>IF(MatrizDeAdyacencia!G29=1, SUMIFS(tblRed[VALOR OPERATIVO], tblRed[Nodo Inicial], $C29, tblRed[Nodo Final], G$3, tblRed[Activo], 1), 0)</f>
        <v>0</v>
      </c>
      <c r="H29" s="77">
        <f>IF(MatrizDeAdyacencia!H29=1, SUMIFS(tblRed[VALOR OPERATIVO], tblRed[Nodo Inicial], $C29, tblRed[Nodo Final], H$3, tblRed[Activo], 1), 0)</f>
        <v>0</v>
      </c>
      <c r="I29" s="77">
        <f>IF(MatrizDeAdyacencia!I29=1, SUMIFS(tblRed[VALOR OPERATIVO], tblRed[Nodo Inicial], $C29, tblRed[Nodo Final], I$3, tblRed[Activo], 1), 0)</f>
        <v>0</v>
      </c>
      <c r="J29" s="77">
        <f>IF(MatrizDeAdyacencia!J29=1, SUMIFS(tblRed[VALOR OPERATIVO], tblRed[Nodo Inicial], $C29, tblRed[Nodo Final], J$3, tblRed[Activo], 1), 0)</f>
        <v>0</v>
      </c>
      <c r="K29" s="77">
        <f>IF(MatrizDeAdyacencia!K29=1, SUMIFS(tblRed[VALOR OPERATIVO], tblRed[Nodo Inicial], $C29, tblRed[Nodo Final], K$3, tblRed[Activo], 1), 0)</f>
        <v>0</v>
      </c>
      <c r="L29" s="77">
        <f>IF(MatrizDeAdyacencia!L29=1, SUMIFS(tblRed[VALOR OPERATIVO], tblRed[Nodo Inicial], $C29, tblRed[Nodo Final], L$3, tblRed[Activo], 1), 0)</f>
        <v>0</v>
      </c>
      <c r="M29" s="77">
        <f>IF(MatrizDeAdyacencia!M29=1, SUMIFS(tblRed[VALOR OPERATIVO], tblRed[Nodo Inicial], $C29, tblRed[Nodo Final], M$3, tblRed[Activo], 1), 0)</f>
        <v>0</v>
      </c>
      <c r="N29" s="77">
        <f>IF(MatrizDeAdyacencia!N29=1, SUMIFS(tblRed[VALOR OPERATIVO], tblRed[Nodo Inicial], $C29, tblRed[Nodo Final], N$3, tblRed[Activo], 1), 0)</f>
        <v>0</v>
      </c>
      <c r="O29" s="77">
        <f>IF(MatrizDeAdyacencia!O29=1, SUMIFS(tblRed[VALOR OPERATIVO], tblRed[Nodo Inicial], $C29, tblRed[Nodo Final], O$3, tblRed[Activo], 1), 0)</f>
        <v>0</v>
      </c>
      <c r="P29" s="77">
        <f>IF(MatrizDeAdyacencia!P29=1, SUMIFS(tblRed[VALOR OPERATIVO], tblRed[Nodo Inicial], $C29, tblRed[Nodo Final], P$3, tblRed[Activo], 1), 0)</f>
        <v>0</v>
      </c>
      <c r="Q29" s="77">
        <f>IF(MatrizDeAdyacencia!Q29=1, SUMIFS(tblRed[VALOR OPERATIVO], tblRed[Nodo Inicial], $C29, tblRed[Nodo Final], Q$3, tblRed[Activo], 1), 0)</f>
        <v>0</v>
      </c>
      <c r="R29" s="77">
        <f>IF(MatrizDeAdyacencia!R29=1, SUMIFS(tblRed[VALOR OPERATIVO], tblRed[Nodo Inicial], $C29, tblRed[Nodo Final], R$3, tblRed[Activo], 1), 0)</f>
        <v>0</v>
      </c>
      <c r="S29" s="77">
        <f>IF(MatrizDeAdyacencia!S29=1, SUMIFS(tblRed[VALOR OPERATIVO], tblRed[Nodo Inicial], $C29, tblRed[Nodo Final], S$3, tblRed[Activo], 1), 0)</f>
        <v>0</v>
      </c>
      <c r="T29" s="77">
        <f>IF(MatrizDeAdyacencia!T29=1, SUMIFS(tblRed[VALOR OPERATIVO], tblRed[Nodo Inicial], $C29, tblRed[Nodo Final], T$3, tblRed[Activo], 1), 0)</f>
        <v>0</v>
      </c>
      <c r="U29" s="77">
        <f>IF(MatrizDeAdyacencia!U29=1, SUMIFS(tblRed[VALOR OPERATIVO], tblRed[Nodo Inicial], $C29, tblRed[Nodo Final], U$3, tblRed[Activo], 1), 0)</f>
        <v>0</v>
      </c>
      <c r="V29" s="79">
        <f>IF(MatrizDeAdyacencia!V29=1, SUMIFS(tblRed[VALOR OPERATIVO], tblRed[Nodo Inicial], $C29, tblRed[Nodo Final], V$3, tblRed[Activo], 1), 0)</f>
        <v>0</v>
      </c>
      <c r="W29" s="77">
        <f>IF(MatrizDeAdyacencia!W29=1, SUMIFS(tblRed[VALOR OPERATIVO], tblRed[Nodo Inicial], $C29, tblRed[Nodo Final], W$3, tblRed[Activo], 1), 0)</f>
        <v>0</v>
      </c>
      <c r="X29" s="77">
        <f>IF(MatrizDeAdyacencia!X29=1, SUMIFS(tblRed[VALOR OPERATIVO], tblRed[Nodo Inicial], $C29, tblRed[Nodo Final], X$3, tblRed[Activo], 1), 0)</f>
        <v>0</v>
      </c>
      <c r="Y29" s="77">
        <f>IF(MatrizDeAdyacencia!Y29=1, SUMIFS(tblRed[VALOR OPERATIVO], tblRed[Nodo Inicial], $C29, tblRed[Nodo Final], Y$3, tblRed[Activo], 1), 0)</f>
        <v>0</v>
      </c>
      <c r="Z29" s="77">
        <f>IF(MatrizDeAdyacencia!Z29=1, SUMIFS(tblRed[VALOR OPERATIVO], tblRed[Nodo Inicial], $C29, tblRed[Nodo Final], Z$3, tblRed[Activo], 1), 0)</f>
        <v>0</v>
      </c>
      <c r="AA29" s="77">
        <f>IF(MatrizDeAdyacencia!AA29=1, SUMIFS(tblRed[VALOR OPERATIVO], tblRed[Nodo Inicial], $C29, tblRed[Nodo Final], AA$3, tblRed[Activo], 1), 0)</f>
        <v>0</v>
      </c>
      <c r="AB29" s="77">
        <f>IF(MatrizDeAdyacencia!AB29=1, SUMIFS(tblRed[VALOR OPERATIVO], tblRed[Nodo Inicial], $C29, tblRed[Nodo Final], AB$3, tblRed[Activo], 1), 0)</f>
        <v>0</v>
      </c>
      <c r="AC29" s="77">
        <f>IF(MatrizDeAdyacencia!AC29=1, SUMIFS(tblRed[VALOR OPERATIVO], tblRed[Nodo Inicial], $C29, tblRed[Nodo Final], AC$3, tblRed[Activo], 1), 0)</f>
        <v>0</v>
      </c>
      <c r="AD29" s="77">
        <f>IF(MatrizDeAdyacencia!AD29=1, SUMIFS(tblRed[VALOR OPERATIVO], tblRed[Nodo Inicial], $C29, tblRed[Nodo Final], AD$3, tblRed[Activo], 1), 0)</f>
        <v>0</v>
      </c>
      <c r="AE29" s="77">
        <f>IF(MatrizDeAdyacencia!AE29=1, SUMIFS(tblRed[VALOR OPERATIVO], tblRed[Nodo Inicial], $C29, tblRed[Nodo Final], AE$3, tblRed[Activo], 1), 0)</f>
        <v>0</v>
      </c>
      <c r="AF29" s="77">
        <f>IF(MatrizDeAdyacencia!AF29=1, SUMIFS(tblRed[VALOR OPERATIVO], tblRed[Nodo Inicial], $C29, tblRed[Nodo Final], AF$3, tblRed[Activo], 1), 0)</f>
        <v>0</v>
      </c>
      <c r="AG29" s="77">
        <f>IF(MatrizDeAdyacencia!AG29=1, SUMIFS(tblRed[VALOR OPERATIVO], tblRed[Nodo Inicial], $C29, tblRed[Nodo Final], AG$3, tblRed[Activo], 1), 0)</f>
        <v>8</v>
      </c>
      <c r="AH29" s="77">
        <f>IF(MatrizDeAdyacencia!AH29=1, SUMIFS(tblRed[VALOR OPERATIVO], tblRed[Nodo Inicial], $C29, tblRed[Nodo Final], AH$3, tblRed[Activo], 1), 0)</f>
        <v>0</v>
      </c>
    </row>
    <row r="30" spans="2:34" ht="17.25" customHeight="1" x14ac:dyDescent="0.25">
      <c r="B30" s="48" t="str">
        <f>VLOOKUP(tblMatrizPonderadaValorOperativo[[#This Row],[Nodo Orig.\Dest.]],tblNodos[],2,FALSE)</f>
        <v>Dirección financiera</v>
      </c>
      <c r="C30" s="75" t="s">
        <v>77</v>
      </c>
      <c r="D30" s="77">
        <f>IF(MatrizDeAdyacencia!D30=1, SUMIFS(tblRed[VALOR OPERATIVO], tblRed[Nodo Inicial], $C30, tblRed[Nodo Final], D$3, tblRed[Activo], 1), 0)</f>
        <v>0</v>
      </c>
      <c r="E30" s="77">
        <f>IF(MatrizDeAdyacencia!E30=1, SUMIFS(tblRed[VALOR OPERATIVO], tblRed[Nodo Inicial], $C30, tblRed[Nodo Final], E$3, tblRed[Activo], 1), 0)</f>
        <v>0</v>
      </c>
      <c r="F30" s="77">
        <f>IF(MatrizDeAdyacencia!F30=1, SUMIFS(tblRed[VALOR OPERATIVO], tblRed[Nodo Inicial], $C30, tblRed[Nodo Final], F$3, tblRed[Activo], 1), 0)</f>
        <v>0</v>
      </c>
      <c r="G30" s="77">
        <f>IF(MatrizDeAdyacencia!G30=1, SUMIFS(tblRed[VALOR OPERATIVO], tblRed[Nodo Inicial], $C30, tblRed[Nodo Final], G$3, tblRed[Activo], 1), 0)</f>
        <v>0</v>
      </c>
      <c r="H30" s="77">
        <f>IF(MatrizDeAdyacencia!H30=1, SUMIFS(tblRed[VALOR OPERATIVO], tblRed[Nodo Inicial], $C30, tblRed[Nodo Final], H$3, tblRed[Activo], 1), 0)</f>
        <v>0</v>
      </c>
      <c r="I30" s="77">
        <f>IF(MatrizDeAdyacencia!I30=1, SUMIFS(tblRed[VALOR OPERATIVO], tblRed[Nodo Inicial], $C30, tblRed[Nodo Final], I$3, tblRed[Activo], 1), 0)</f>
        <v>0</v>
      </c>
      <c r="J30" s="77">
        <f>IF(MatrizDeAdyacencia!J30=1, SUMIFS(tblRed[VALOR OPERATIVO], tblRed[Nodo Inicial], $C30, tblRed[Nodo Final], J$3, tblRed[Activo], 1), 0)</f>
        <v>0</v>
      </c>
      <c r="K30" s="77">
        <f>IF(MatrizDeAdyacencia!K30=1, SUMIFS(tblRed[VALOR OPERATIVO], tblRed[Nodo Inicial], $C30, tblRed[Nodo Final], K$3, tblRed[Activo], 1), 0)</f>
        <v>0</v>
      </c>
      <c r="L30" s="77">
        <f>IF(MatrizDeAdyacencia!L30=1, SUMIFS(tblRed[VALOR OPERATIVO], tblRed[Nodo Inicial], $C30, tblRed[Nodo Final], L$3, tblRed[Activo], 1), 0)</f>
        <v>0</v>
      </c>
      <c r="M30" s="77">
        <f>IF(MatrizDeAdyacencia!M30=1, SUMIFS(tblRed[VALOR OPERATIVO], tblRed[Nodo Inicial], $C30, tblRed[Nodo Final], M$3, tblRed[Activo], 1), 0)</f>
        <v>0</v>
      </c>
      <c r="N30" s="77">
        <f>IF(MatrizDeAdyacencia!N30=1, SUMIFS(tblRed[VALOR OPERATIVO], tblRed[Nodo Inicial], $C30, tblRed[Nodo Final], N$3, tblRed[Activo], 1), 0)</f>
        <v>0</v>
      </c>
      <c r="O30" s="77">
        <f>IF(MatrizDeAdyacencia!O30=1, SUMIFS(tblRed[VALOR OPERATIVO], tblRed[Nodo Inicial], $C30, tblRed[Nodo Final], O$3, tblRed[Activo], 1), 0)</f>
        <v>0</v>
      </c>
      <c r="P30" s="77">
        <f>IF(MatrizDeAdyacencia!P30=1, SUMIFS(tblRed[VALOR OPERATIVO], tblRed[Nodo Inicial], $C30, tblRed[Nodo Final], P$3, tblRed[Activo], 1), 0)</f>
        <v>0</v>
      </c>
      <c r="Q30" s="77">
        <f>IF(MatrizDeAdyacencia!Q30=1, SUMIFS(tblRed[VALOR OPERATIVO], tblRed[Nodo Inicial], $C30, tblRed[Nodo Final], Q$3, tblRed[Activo], 1), 0)</f>
        <v>0</v>
      </c>
      <c r="R30" s="77">
        <f>IF(MatrizDeAdyacencia!R30=1, SUMIFS(tblRed[VALOR OPERATIVO], tblRed[Nodo Inicial], $C30, tblRed[Nodo Final], R$3, tblRed[Activo], 1), 0)</f>
        <v>0</v>
      </c>
      <c r="S30" s="77">
        <f>IF(MatrizDeAdyacencia!S30=1, SUMIFS(tblRed[VALOR OPERATIVO], tblRed[Nodo Inicial], $C30, tblRed[Nodo Final], S$3, tblRed[Activo], 1), 0)</f>
        <v>0</v>
      </c>
      <c r="T30" s="77">
        <f>IF(MatrizDeAdyacencia!T30=1, SUMIFS(tblRed[VALOR OPERATIVO], tblRed[Nodo Inicial], $C30, tblRed[Nodo Final], T$3, tblRed[Activo], 1), 0)</f>
        <v>0</v>
      </c>
      <c r="U30" s="77">
        <f>IF(MatrizDeAdyacencia!U30=1, SUMIFS(tblRed[VALOR OPERATIVO], tblRed[Nodo Inicial], $C30, tblRed[Nodo Final], U$3, tblRed[Activo], 1), 0)</f>
        <v>0</v>
      </c>
      <c r="V30" s="79">
        <f>IF(MatrizDeAdyacencia!V30=1, SUMIFS(tblRed[VALOR OPERATIVO], tblRed[Nodo Inicial], $C30, tblRed[Nodo Final], V$3, tblRed[Activo], 1), 0)</f>
        <v>0</v>
      </c>
      <c r="W30" s="77">
        <f>IF(MatrizDeAdyacencia!W30=1, SUMIFS(tblRed[VALOR OPERATIVO], tblRed[Nodo Inicial], $C30, tblRed[Nodo Final], W$3, tblRed[Activo], 1), 0)</f>
        <v>0</v>
      </c>
      <c r="X30" s="77">
        <f>IF(MatrizDeAdyacencia!X30=1, SUMIFS(tblRed[VALOR OPERATIVO], tblRed[Nodo Inicial], $C30, tblRed[Nodo Final], X$3, tblRed[Activo], 1), 0)</f>
        <v>0</v>
      </c>
      <c r="Y30" s="77">
        <f>IF(MatrizDeAdyacencia!Y30=1, SUMIFS(tblRed[VALOR OPERATIVO], tblRed[Nodo Inicial], $C30, tblRed[Nodo Final], Y$3, tblRed[Activo], 1), 0)</f>
        <v>0</v>
      </c>
      <c r="Z30" s="77">
        <f>IF(MatrizDeAdyacencia!Z30=1, SUMIFS(tblRed[VALOR OPERATIVO], tblRed[Nodo Inicial], $C30, tblRed[Nodo Final], Z$3, tblRed[Activo], 1), 0)</f>
        <v>0</v>
      </c>
      <c r="AA30" s="77">
        <f>IF(MatrizDeAdyacencia!AA30=1, SUMIFS(tblRed[VALOR OPERATIVO], tblRed[Nodo Inicial], $C30, tblRed[Nodo Final], AA$3, tblRed[Activo], 1), 0)</f>
        <v>0</v>
      </c>
      <c r="AB30" s="77">
        <f>IF(MatrizDeAdyacencia!AB30=1, SUMIFS(tblRed[VALOR OPERATIVO], tblRed[Nodo Inicial], $C30, tblRed[Nodo Final], AB$3, tblRed[Activo], 1), 0)</f>
        <v>0</v>
      </c>
      <c r="AC30" s="77">
        <f>IF(MatrizDeAdyacencia!AC30=1, SUMIFS(tblRed[VALOR OPERATIVO], tblRed[Nodo Inicial], $C30, tblRed[Nodo Final], AC$3, tblRed[Activo], 1), 0)</f>
        <v>0</v>
      </c>
      <c r="AD30" s="77">
        <f>IF(MatrizDeAdyacencia!AD30=1, SUMIFS(tblRed[VALOR OPERATIVO], tblRed[Nodo Inicial], $C30, tblRed[Nodo Final], AD$3, tblRed[Activo], 1), 0)</f>
        <v>0</v>
      </c>
      <c r="AE30" s="77">
        <f>IF(MatrizDeAdyacencia!AE30=1, SUMIFS(tblRed[VALOR OPERATIVO], tblRed[Nodo Inicial], $C30, tblRed[Nodo Final], AE$3, tblRed[Activo], 1), 0)</f>
        <v>0</v>
      </c>
      <c r="AF30" s="77">
        <f>IF(MatrizDeAdyacencia!AF30=1, SUMIFS(tblRed[VALOR OPERATIVO], tblRed[Nodo Inicial], $C30, tblRed[Nodo Final], AF$3, tblRed[Activo], 1), 0)</f>
        <v>0</v>
      </c>
      <c r="AG30" s="77">
        <f>IF(MatrizDeAdyacencia!AG30=1, SUMIFS(tblRed[VALOR OPERATIVO], tblRed[Nodo Inicial], $C30, tblRed[Nodo Final], AG$3, tblRed[Activo], 1), 0)</f>
        <v>0</v>
      </c>
      <c r="AH30" s="77">
        <f>IF(MatrizDeAdyacencia!AH30=1, SUMIFS(tblRed[VALOR OPERATIVO], tblRed[Nodo Inicial], $C30, tblRed[Nodo Final], AH$3, tblRed[Activo], 1), 0)</f>
        <v>8.6</v>
      </c>
    </row>
    <row r="31" spans="2:34" ht="17.25" customHeight="1" x14ac:dyDescent="0.25">
      <c r="B31" s="48" t="str">
        <f>VLOOKUP(tblMatrizPonderadaValorOperativo[[#This Row],[Nodo Orig.\Dest.]],tblNodos[],2,FALSE)</f>
        <v>Gestión operativa descentralizada</v>
      </c>
      <c r="C31" s="75" t="s">
        <v>79</v>
      </c>
      <c r="D31" s="77">
        <f>IF(MatrizDeAdyacencia!D31=1, SUMIFS(tblRed[VALOR OPERATIVO], tblRed[Nodo Inicial], $C31, tblRed[Nodo Final], D$3, tblRed[Activo], 1), 0)</f>
        <v>0</v>
      </c>
      <c r="E31" s="77">
        <f>IF(MatrizDeAdyacencia!E31=1, SUMIFS(tblRed[VALOR OPERATIVO], tblRed[Nodo Inicial], $C31, tblRed[Nodo Final], E$3, tblRed[Activo], 1), 0)</f>
        <v>0</v>
      </c>
      <c r="F31" s="77">
        <f>IF(MatrizDeAdyacencia!F31=1, SUMIFS(tblRed[VALOR OPERATIVO], tblRed[Nodo Inicial], $C31, tblRed[Nodo Final], F$3, tblRed[Activo], 1), 0)</f>
        <v>0</v>
      </c>
      <c r="G31" s="77">
        <f>IF(MatrizDeAdyacencia!G31=1, SUMIFS(tblRed[VALOR OPERATIVO], tblRed[Nodo Inicial], $C31, tblRed[Nodo Final], G$3, tblRed[Activo], 1), 0)</f>
        <v>0</v>
      </c>
      <c r="H31" s="77">
        <f>IF(MatrizDeAdyacencia!H31=1, SUMIFS(tblRed[VALOR OPERATIVO], tblRed[Nodo Inicial], $C31, tblRed[Nodo Final], H$3, tblRed[Activo], 1), 0)</f>
        <v>0</v>
      </c>
      <c r="I31" s="77">
        <f>IF(MatrizDeAdyacencia!I31=1, SUMIFS(tblRed[VALOR OPERATIVO], tblRed[Nodo Inicial], $C31, tblRed[Nodo Final], I$3, tblRed[Activo], 1), 0)</f>
        <v>0</v>
      </c>
      <c r="J31" s="77">
        <f>IF(MatrizDeAdyacencia!J31=1, SUMIFS(tblRed[VALOR OPERATIVO], tblRed[Nodo Inicial], $C31, tblRed[Nodo Final], J$3, tblRed[Activo], 1), 0)</f>
        <v>0</v>
      </c>
      <c r="K31" s="77">
        <f>IF(MatrizDeAdyacencia!K31=1, SUMIFS(tblRed[VALOR OPERATIVO], tblRed[Nodo Inicial], $C31, tblRed[Nodo Final], K$3, tblRed[Activo], 1), 0)</f>
        <v>0</v>
      </c>
      <c r="L31" s="77">
        <f>IF(MatrizDeAdyacencia!L31=1, SUMIFS(tblRed[VALOR OPERATIVO], tblRed[Nodo Inicial], $C31, tblRed[Nodo Final], L$3, tblRed[Activo], 1), 0)</f>
        <v>0</v>
      </c>
      <c r="M31" s="77">
        <f>IF(MatrizDeAdyacencia!M31=1, SUMIFS(tblRed[VALOR OPERATIVO], tblRed[Nodo Inicial], $C31, tblRed[Nodo Final], M$3, tblRed[Activo], 1), 0)</f>
        <v>0</v>
      </c>
      <c r="N31" s="77">
        <f>IF(MatrizDeAdyacencia!N31=1, SUMIFS(tblRed[VALOR OPERATIVO], tblRed[Nodo Inicial], $C31, tblRed[Nodo Final], N$3, tblRed[Activo], 1), 0)</f>
        <v>0</v>
      </c>
      <c r="O31" s="77">
        <f>IF(MatrizDeAdyacencia!O31=1, SUMIFS(tblRed[VALOR OPERATIVO], tblRed[Nodo Inicial], $C31, tblRed[Nodo Final], O$3, tblRed[Activo], 1), 0)</f>
        <v>0</v>
      </c>
      <c r="P31" s="77">
        <f>IF(MatrizDeAdyacencia!P31=1, SUMIFS(tblRed[VALOR OPERATIVO], tblRed[Nodo Inicial], $C31, tblRed[Nodo Final], P$3, tblRed[Activo], 1), 0)</f>
        <v>0</v>
      </c>
      <c r="Q31" s="77">
        <f>IF(MatrizDeAdyacencia!Q31=1, SUMIFS(tblRed[VALOR OPERATIVO], tblRed[Nodo Inicial], $C31, tblRed[Nodo Final], Q$3, tblRed[Activo], 1), 0)</f>
        <v>0</v>
      </c>
      <c r="R31" s="77">
        <f>IF(MatrizDeAdyacencia!R31=1, SUMIFS(tblRed[VALOR OPERATIVO], tblRed[Nodo Inicial], $C31, tblRed[Nodo Final], R$3, tblRed[Activo], 1), 0)</f>
        <v>0</v>
      </c>
      <c r="S31" s="77">
        <f>IF(MatrizDeAdyacencia!S31=1, SUMIFS(tblRed[VALOR OPERATIVO], tblRed[Nodo Inicial], $C31, tblRed[Nodo Final], S$3, tblRed[Activo], 1), 0)</f>
        <v>0</v>
      </c>
      <c r="T31" s="77">
        <f>IF(MatrizDeAdyacencia!T31=1, SUMIFS(tblRed[VALOR OPERATIVO], tblRed[Nodo Inicial], $C31, tblRed[Nodo Final], T$3, tblRed[Activo], 1), 0)</f>
        <v>0</v>
      </c>
      <c r="U31" s="77">
        <f>IF(MatrizDeAdyacencia!U31=1, SUMIFS(tblRed[VALOR OPERATIVO], tblRed[Nodo Inicial], $C31, tblRed[Nodo Final], U$3, tblRed[Activo], 1), 0)</f>
        <v>0</v>
      </c>
      <c r="V31" s="79">
        <f>IF(MatrizDeAdyacencia!V31=1, SUMIFS(tblRed[VALOR OPERATIVO], tblRed[Nodo Inicial], $C31, tblRed[Nodo Final], V$3, tblRed[Activo], 1), 0)</f>
        <v>0</v>
      </c>
      <c r="W31" s="77">
        <f>IF(MatrizDeAdyacencia!W31=1, SUMIFS(tblRed[VALOR OPERATIVO], tblRed[Nodo Inicial], $C31, tblRed[Nodo Final], W$3, tblRed[Activo], 1), 0)</f>
        <v>0</v>
      </c>
      <c r="X31" s="77">
        <f>IF(MatrizDeAdyacencia!X31=1, SUMIFS(tblRed[VALOR OPERATIVO], tblRed[Nodo Inicial], $C31, tblRed[Nodo Final], X$3, tblRed[Activo], 1), 0)</f>
        <v>0</v>
      </c>
      <c r="Y31" s="77">
        <f>IF(MatrizDeAdyacencia!Y31=1, SUMIFS(tblRed[VALOR OPERATIVO], tblRed[Nodo Inicial], $C31, tblRed[Nodo Final], Y$3, tblRed[Activo], 1), 0)</f>
        <v>0</v>
      </c>
      <c r="Z31" s="77">
        <f>IF(MatrizDeAdyacencia!Z31=1, SUMIFS(tblRed[VALOR OPERATIVO], tblRed[Nodo Inicial], $C31, tblRed[Nodo Final], Z$3, tblRed[Activo], 1), 0)</f>
        <v>0</v>
      </c>
      <c r="AA31" s="77">
        <f>IF(MatrizDeAdyacencia!AA31=1, SUMIFS(tblRed[VALOR OPERATIVO], tblRed[Nodo Inicial], $C31, tblRed[Nodo Final], AA$3, tblRed[Activo], 1), 0)</f>
        <v>0</v>
      </c>
      <c r="AB31" s="77">
        <f>IF(MatrizDeAdyacencia!AB31=1, SUMIFS(tblRed[VALOR OPERATIVO], tblRed[Nodo Inicial], $C31, tblRed[Nodo Final], AB$3, tblRed[Activo], 1), 0)</f>
        <v>0</v>
      </c>
      <c r="AC31" s="77">
        <f>IF(MatrizDeAdyacencia!AC31=1, SUMIFS(tblRed[VALOR OPERATIVO], tblRed[Nodo Inicial], $C31, tblRed[Nodo Final], AC$3, tblRed[Activo], 1), 0)</f>
        <v>0</v>
      </c>
      <c r="AD31" s="77">
        <f>IF(MatrizDeAdyacencia!AD31=1, SUMIFS(tblRed[VALOR OPERATIVO], tblRed[Nodo Inicial], $C31, tblRed[Nodo Final], AD$3, tblRed[Activo], 1), 0)</f>
        <v>0</v>
      </c>
      <c r="AE31" s="77">
        <f>IF(MatrizDeAdyacencia!AE31=1, SUMIFS(tblRed[VALOR OPERATIVO], tblRed[Nodo Inicial], $C31, tblRed[Nodo Final], AE$3, tblRed[Activo], 1), 0)</f>
        <v>0</v>
      </c>
      <c r="AF31" s="77">
        <f>IF(MatrizDeAdyacencia!AF31=1, SUMIFS(tblRed[VALOR OPERATIVO], tblRed[Nodo Inicial], $C31, tblRed[Nodo Final], AF$3, tblRed[Activo], 1), 0)</f>
        <v>0</v>
      </c>
      <c r="AG31" s="77">
        <f>IF(MatrizDeAdyacencia!AG31=1, SUMIFS(tblRed[VALOR OPERATIVO], tblRed[Nodo Inicial], $C31, tblRed[Nodo Final], AG$3, tblRed[Activo], 1), 0)</f>
        <v>0</v>
      </c>
      <c r="AH31" s="77">
        <f>IF(MatrizDeAdyacencia!AH31=1, SUMIFS(tblRed[VALOR OPERATIVO], tblRed[Nodo Inicial], $C31, tblRed[Nodo Final], AH$3, tblRed[Activo], 1), 0)</f>
        <v>6.8333333333333339</v>
      </c>
    </row>
    <row r="32" spans="2:34" ht="17.25" customHeight="1" x14ac:dyDescent="0.25">
      <c r="B32" s="48" t="str">
        <f>VLOOKUP(tblMatrizPonderadaValorOperativo[[#This Row],[Nodo Orig.\Dest.]],tblNodos[],2,FALSE)</f>
        <v>Custodia y conversión</v>
      </c>
      <c r="C32" s="75" t="s">
        <v>81</v>
      </c>
      <c r="D32" s="77">
        <f>IF(MatrizDeAdyacencia!D32=1, SUMIFS(tblRed[VALOR OPERATIVO], tblRed[Nodo Inicial], $C32, tblRed[Nodo Final], D$3, tblRed[Activo], 1), 0)</f>
        <v>0</v>
      </c>
      <c r="E32" s="77">
        <f>IF(MatrizDeAdyacencia!E32=1, SUMIFS(tblRed[VALOR OPERATIVO], tblRed[Nodo Inicial], $C32, tblRed[Nodo Final], E$3, tblRed[Activo], 1), 0)</f>
        <v>0</v>
      </c>
      <c r="F32" s="77">
        <f>IF(MatrizDeAdyacencia!F32=1, SUMIFS(tblRed[VALOR OPERATIVO], tblRed[Nodo Inicial], $C32, tblRed[Nodo Final], F$3, tblRed[Activo], 1), 0)</f>
        <v>0</v>
      </c>
      <c r="G32" s="77">
        <f>IF(MatrizDeAdyacencia!G32=1, SUMIFS(tblRed[VALOR OPERATIVO], tblRed[Nodo Inicial], $C32, tblRed[Nodo Final], G$3, tblRed[Activo], 1), 0)</f>
        <v>0</v>
      </c>
      <c r="H32" s="77">
        <f>IF(MatrizDeAdyacencia!H32=1, SUMIFS(tblRed[VALOR OPERATIVO], tblRed[Nodo Inicial], $C32, tblRed[Nodo Final], H$3, tblRed[Activo], 1), 0)</f>
        <v>0</v>
      </c>
      <c r="I32" s="77">
        <f>IF(MatrizDeAdyacencia!I32=1, SUMIFS(tblRed[VALOR OPERATIVO], tblRed[Nodo Inicial], $C32, tblRed[Nodo Final], I$3, tblRed[Activo], 1), 0)</f>
        <v>0</v>
      </c>
      <c r="J32" s="77">
        <f>IF(MatrizDeAdyacencia!J32=1, SUMIFS(tblRed[VALOR OPERATIVO], tblRed[Nodo Inicial], $C32, tblRed[Nodo Final], J$3, tblRed[Activo], 1), 0)</f>
        <v>0</v>
      </c>
      <c r="K32" s="77">
        <f>IF(MatrizDeAdyacencia!K32=1, SUMIFS(tblRed[VALOR OPERATIVO], tblRed[Nodo Inicial], $C32, tblRed[Nodo Final], K$3, tblRed[Activo], 1), 0)</f>
        <v>0</v>
      </c>
      <c r="L32" s="77">
        <f>IF(MatrizDeAdyacencia!L32=1, SUMIFS(tblRed[VALOR OPERATIVO], tblRed[Nodo Inicial], $C32, tblRed[Nodo Final], L$3, tblRed[Activo], 1), 0)</f>
        <v>0</v>
      </c>
      <c r="M32" s="77">
        <f>IF(MatrizDeAdyacencia!M32=1, SUMIFS(tblRed[VALOR OPERATIVO], tblRed[Nodo Inicial], $C32, tblRed[Nodo Final], M$3, tblRed[Activo], 1), 0)</f>
        <v>0</v>
      </c>
      <c r="N32" s="77">
        <f>IF(MatrizDeAdyacencia!N32=1, SUMIFS(tblRed[VALOR OPERATIVO], tblRed[Nodo Inicial], $C32, tblRed[Nodo Final], N$3, tblRed[Activo], 1), 0)</f>
        <v>0</v>
      </c>
      <c r="O32" s="77">
        <f>IF(MatrizDeAdyacencia!O32=1, SUMIFS(tblRed[VALOR OPERATIVO], tblRed[Nodo Inicial], $C32, tblRed[Nodo Final], O$3, tblRed[Activo], 1), 0)</f>
        <v>0</v>
      </c>
      <c r="P32" s="77">
        <f>IF(MatrizDeAdyacencia!P32=1, SUMIFS(tblRed[VALOR OPERATIVO], tblRed[Nodo Inicial], $C32, tblRed[Nodo Final], P$3, tblRed[Activo], 1), 0)</f>
        <v>0</v>
      </c>
      <c r="Q32" s="77">
        <f>IF(MatrizDeAdyacencia!Q32=1, SUMIFS(tblRed[VALOR OPERATIVO], tblRed[Nodo Inicial], $C32, tblRed[Nodo Final], Q$3, tblRed[Activo], 1), 0)</f>
        <v>0</v>
      </c>
      <c r="R32" s="77">
        <f>IF(MatrizDeAdyacencia!R32=1, SUMIFS(tblRed[VALOR OPERATIVO], tblRed[Nodo Inicial], $C32, tblRed[Nodo Final], R$3, tblRed[Activo], 1), 0)</f>
        <v>0</v>
      </c>
      <c r="S32" s="77">
        <f>IF(MatrizDeAdyacencia!S32=1, SUMIFS(tblRed[VALOR OPERATIVO], tblRed[Nodo Inicial], $C32, tblRed[Nodo Final], S$3, tblRed[Activo], 1), 0)</f>
        <v>0</v>
      </c>
      <c r="T32" s="77">
        <f>IF(MatrizDeAdyacencia!T32=1, SUMIFS(tblRed[VALOR OPERATIVO], tblRed[Nodo Inicial], $C32, tblRed[Nodo Final], T$3, tblRed[Activo], 1), 0)</f>
        <v>0</v>
      </c>
      <c r="U32" s="77">
        <f>IF(MatrizDeAdyacencia!U32=1, SUMIFS(tblRed[VALOR OPERATIVO], tblRed[Nodo Inicial], $C32, tblRed[Nodo Final], U$3, tblRed[Activo], 1), 0)</f>
        <v>0</v>
      </c>
      <c r="V32" s="79">
        <f>IF(MatrizDeAdyacencia!V32=1, SUMIFS(tblRed[VALOR OPERATIVO], tblRed[Nodo Inicial], $C32, tblRed[Nodo Final], V$3, tblRed[Activo], 1), 0)</f>
        <v>0</v>
      </c>
      <c r="W32" s="77">
        <f>IF(MatrizDeAdyacencia!W32=1, SUMIFS(tblRed[VALOR OPERATIVO], tblRed[Nodo Inicial], $C32, tblRed[Nodo Final], W$3, tblRed[Activo], 1), 0)</f>
        <v>0</v>
      </c>
      <c r="X32" s="77">
        <f>IF(MatrizDeAdyacencia!X32=1, SUMIFS(tblRed[VALOR OPERATIVO], tblRed[Nodo Inicial], $C32, tblRed[Nodo Final], X$3, tblRed[Activo], 1), 0)</f>
        <v>0</v>
      </c>
      <c r="Y32" s="77">
        <f>IF(MatrizDeAdyacencia!Y32=1, SUMIFS(tblRed[VALOR OPERATIVO], tblRed[Nodo Inicial], $C32, tblRed[Nodo Final], Y$3, tblRed[Activo], 1), 0)</f>
        <v>0</v>
      </c>
      <c r="Z32" s="77">
        <f>IF(MatrizDeAdyacencia!Z32=1, SUMIFS(tblRed[VALOR OPERATIVO], tblRed[Nodo Inicial], $C32, tblRed[Nodo Final], Z$3, tblRed[Activo], 1), 0)</f>
        <v>0</v>
      </c>
      <c r="AA32" s="77">
        <f>IF(MatrizDeAdyacencia!AA32=1, SUMIFS(tblRed[VALOR OPERATIVO], tblRed[Nodo Inicial], $C32, tblRed[Nodo Final], AA$3, tblRed[Activo], 1), 0)</f>
        <v>0</v>
      </c>
      <c r="AB32" s="77">
        <f>IF(MatrizDeAdyacencia!AB32=1, SUMIFS(tblRed[VALOR OPERATIVO], tblRed[Nodo Inicial], $C32, tblRed[Nodo Final], AB$3, tblRed[Activo], 1), 0)</f>
        <v>0</v>
      </c>
      <c r="AC32" s="77">
        <f>IF(MatrizDeAdyacencia!AC32=1, SUMIFS(tblRed[VALOR OPERATIVO], tblRed[Nodo Inicial], $C32, tblRed[Nodo Final], AC$3, tblRed[Activo], 1), 0)</f>
        <v>0</v>
      </c>
      <c r="AD32" s="77">
        <f>IF(MatrizDeAdyacencia!AD32=1, SUMIFS(tblRed[VALOR OPERATIVO], tblRed[Nodo Inicial], $C32, tblRed[Nodo Final], AD$3, tblRed[Activo], 1), 0)</f>
        <v>0</v>
      </c>
      <c r="AE32" s="77">
        <f>IF(MatrizDeAdyacencia!AE32=1, SUMIFS(tblRed[VALOR OPERATIVO], tblRed[Nodo Inicial], $C32, tblRed[Nodo Final], AE$3, tblRed[Activo], 1), 0)</f>
        <v>0</v>
      </c>
      <c r="AF32" s="77">
        <f>IF(MatrizDeAdyacencia!AF32=1, SUMIFS(tblRed[VALOR OPERATIVO], tblRed[Nodo Inicial], $C32, tblRed[Nodo Final], AF$3, tblRed[Activo], 1), 0)</f>
        <v>0</v>
      </c>
      <c r="AG32" s="77">
        <f>IF(MatrizDeAdyacencia!AG32=1, SUMIFS(tblRed[VALOR OPERATIVO], tblRed[Nodo Inicial], $C32, tblRed[Nodo Final], AG$3, tblRed[Activo], 1), 0)</f>
        <v>0</v>
      </c>
      <c r="AH32" s="77">
        <f>IF(MatrizDeAdyacencia!AH32=1, SUMIFS(tblRed[VALOR OPERATIVO], tblRed[Nodo Inicial], $C32, tblRed[Nodo Final], AH$3, tblRed[Activo], 1), 0)</f>
        <v>8.3000000000000007</v>
      </c>
    </row>
    <row r="33" spans="2:34" ht="17.25" customHeight="1" x14ac:dyDescent="0.25">
      <c r="B33" s="48" t="str">
        <f>VLOOKUP(tblMatrizPonderadaValorOperativo[[#This Row],[Nodo Orig.\Dest.]],tblNodos[],2,FALSE)</f>
        <v>Coordinación de la red y soporte estratégico</v>
      </c>
      <c r="C33" s="75" t="s">
        <v>83</v>
      </c>
      <c r="D33" s="77">
        <f>IF(MatrizDeAdyacencia!D33=1, SUMIFS(tblRed[VALOR OPERATIVO], tblRed[Nodo Inicial], $C33, tblRed[Nodo Final], D$3, tblRed[Activo], 1), 0)</f>
        <v>0</v>
      </c>
      <c r="E33" s="77">
        <f>IF(MatrizDeAdyacencia!E33=1, SUMIFS(tblRed[VALOR OPERATIVO], tblRed[Nodo Inicial], $C33, tblRed[Nodo Final], E$3, tblRed[Activo], 1), 0)</f>
        <v>0</v>
      </c>
      <c r="F33" s="77">
        <f>IF(MatrizDeAdyacencia!F33=1, SUMIFS(tblRed[VALOR OPERATIVO], tblRed[Nodo Inicial], $C33, tblRed[Nodo Final], F$3, tblRed[Activo], 1), 0)</f>
        <v>0</v>
      </c>
      <c r="G33" s="77">
        <f>IF(MatrizDeAdyacencia!G33=1, SUMIFS(tblRed[VALOR OPERATIVO], tblRed[Nodo Inicial], $C33, tblRed[Nodo Final], G$3, tblRed[Activo], 1), 0)</f>
        <v>0</v>
      </c>
      <c r="H33" s="77">
        <f>IF(MatrizDeAdyacencia!H33=1, SUMIFS(tblRed[VALOR OPERATIVO], tblRed[Nodo Inicial], $C33, tblRed[Nodo Final], H$3, tblRed[Activo], 1), 0)</f>
        <v>0</v>
      </c>
      <c r="I33" s="77">
        <f>IF(MatrizDeAdyacencia!I33=1, SUMIFS(tblRed[VALOR OPERATIVO], tblRed[Nodo Inicial], $C33, tblRed[Nodo Final], I$3, tblRed[Activo], 1), 0)</f>
        <v>0</v>
      </c>
      <c r="J33" s="77">
        <f>IF(MatrizDeAdyacencia!J33=1, SUMIFS(tblRed[VALOR OPERATIVO], tblRed[Nodo Inicial], $C33, tblRed[Nodo Final], J$3, tblRed[Activo], 1), 0)</f>
        <v>0</v>
      </c>
      <c r="K33" s="77">
        <f>IF(MatrizDeAdyacencia!K33=1, SUMIFS(tblRed[VALOR OPERATIVO], tblRed[Nodo Inicial], $C33, tblRed[Nodo Final], K$3, tblRed[Activo], 1), 0)</f>
        <v>0</v>
      </c>
      <c r="L33" s="77">
        <f>IF(MatrizDeAdyacencia!L33=1, SUMIFS(tblRed[VALOR OPERATIVO], tblRed[Nodo Inicial], $C33, tblRed[Nodo Final], L$3, tblRed[Activo], 1), 0)</f>
        <v>0</v>
      </c>
      <c r="M33" s="77">
        <f>IF(MatrizDeAdyacencia!M33=1, SUMIFS(tblRed[VALOR OPERATIVO], tblRed[Nodo Inicial], $C33, tblRed[Nodo Final], M$3, tblRed[Activo], 1), 0)</f>
        <v>0</v>
      </c>
      <c r="N33" s="77">
        <f>IF(MatrizDeAdyacencia!N33=1, SUMIFS(tblRed[VALOR OPERATIVO], tblRed[Nodo Inicial], $C33, tblRed[Nodo Final], N$3, tblRed[Activo], 1), 0)</f>
        <v>0</v>
      </c>
      <c r="O33" s="77">
        <f>IF(MatrizDeAdyacencia!O33=1, SUMIFS(tblRed[VALOR OPERATIVO], tblRed[Nodo Inicial], $C33, tblRed[Nodo Final], O$3, tblRed[Activo], 1), 0)</f>
        <v>0</v>
      </c>
      <c r="P33" s="77">
        <f>IF(MatrizDeAdyacencia!P33=1, SUMIFS(tblRed[VALOR OPERATIVO], tblRed[Nodo Inicial], $C33, tblRed[Nodo Final], P$3, tblRed[Activo], 1), 0)</f>
        <v>0</v>
      </c>
      <c r="Q33" s="77">
        <f>IF(MatrizDeAdyacencia!Q33=1, SUMIFS(tblRed[VALOR OPERATIVO], tblRed[Nodo Inicial], $C33, tblRed[Nodo Final], Q$3, tblRed[Activo], 1), 0)</f>
        <v>0</v>
      </c>
      <c r="R33" s="77">
        <f>IF(MatrizDeAdyacencia!R33=1, SUMIFS(tblRed[VALOR OPERATIVO], tblRed[Nodo Inicial], $C33, tblRed[Nodo Final], R$3, tblRed[Activo], 1), 0)</f>
        <v>0</v>
      </c>
      <c r="S33" s="77">
        <f>IF(MatrizDeAdyacencia!S33=1, SUMIFS(tblRed[VALOR OPERATIVO], tblRed[Nodo Inicial], $C33, tblRed[Nodo Final], S$3, tblRed[Activo], 1), 0)</f>
        <v>0</v>
      </c>
      <c r="T33" s="77">
        <f>IF(MatrizDeAdyacencia!T33=1, SUMIFS(tblRed[VALOR OPERATIVO], tblRed[Nodo Inicial], $C33, tblRed[Nodo Final], T$3, tblRed[Activo], 1), 0)</f>
        <v>0</v>
      </c>
      <c r="U33" s="77">
        <f>IF(MatrizDeAdyacencia!U33=1, SUMIFS(tblRed[VALOR OPERATIVO], tblRed[Nodo Inicial], $C33, tblRed[Nodo Final], U$3, tblRed[Activo], 1), 0)</f>
        <v>0</v>
      </c>
      <c r="V33" s="79">
        <f>IF(MatrizDeAdyacencia!V33=1, SUMIFS(tblRed[VALOR OPERATIVO], tblRed[Nodo Inicial], $C33, tblRed[Nodo Final], V$3, tblRed[Activo], 1), 0)</f>
        <v>0</v>
      </c>
      <c r="W33" s="77">
        <f>IF(MatrizDeAdyacencia!W33=1, SUMIFS(tblRed[VALOR OPERATIVO], tblRed[Nodo Inicial], $C33, tblRed[Nodo Final], W$3, tblRed[Activo], 1), 0)</f>
        <v>0</v>
      </c>
      <c r="X33" s="77">
        <f>IF(MatrizDeAdyacencia!X33=1, SUMIFS(tblRed[VALOR OPERATIVO], tblRed[Nodo Inicial], $C33, tblRed[Nodo Final], X$3, tblRed[Activo], 1), 0)</f>
        <v>0</v>
      </c>
      <c r="Y33" s="77">
        <f>IF(MatrizDeAdyacencia!Y33=1, SUMIFS(tblRed[VALOR OPERATIVO], tblRed[Nodo Inicial], $C33, tblRed[Nodo Final], Y$3, tblRed[Activo], 1), 0)</f>
        <v>0</v>
      </c>
      <c r="Z33" s="77">
        <f>IF(MatrizDeAdyacencia!Z33=1, SUMIFS(tblRed[VALOR OPERATIVO], tblRed[Nodo Inicial], $C33, tblRed[Nodo Final], Z$3, tblRed[Activo], 1), 0)</f>
        <v>0</v>
      </c>
      <c r="AA33" s="77">
        <f>IF(MatrizDeAdyacencia!AA33=1, SUMIFS(tblRed[VALOR OPERATIVO], tblRed[Nodo Inicial], $C33, tblRed[Nodo Final], AA$3, tblRed[Activo], 1), 0)</f>
        <v>0</v>
      </c>
      <c r="AB33" s="77">
        <f>IF(MatrizDeAdyacencia!AB33=1, SUMIFS(tblRed[VALOR OPERATIVO], tblRed[Nodo Inicial], $C33, tblRed[Nodo Final], AB$3, tblRed[Activo], 1), 0)</f>
        <v>0</v>
      </c>
      <c r="AC33" s="77">
        <f>IF(MatrizDeAdyacencia!AC33=1, SUMIFS(tblRed[VALOR OPERATIVO], tblRed[Nodo Inicial], $C33, tblRed[Nodo Final], AC$3, tblRed[Activo], 1), 0)</f>
        <v>0</v>
      </c>
      <c r="AD33" s="77">
        <f>IF(MatrizDeAdyacencia!AD33=1, SUMIFS(tblRed[VALOR OPERATIVO], tblRed[Nodo Inicial], $C33, tblRed[Nodo Final], AD$3, tblRed[Activo], 1), 0)</f>
        <v>0</v>
      </c>
      <c r="AE33" s="77">
        <f>IF(MatrizDeAdyacencia!AE33=1, SUMIFS(tblRed[VALOR OPERATIVO], tblRed[Nodo Inicial], $C33, tblRed[Nodo Final], AE$3, tblRed[Activo], 1), 0)</f>
        <v>0</v>
      </c>
      <c r="AF33" s="77">
        <f>IF(MatrizDeAdyacencia!AF33=1, SUMIFS(tblRed[VALOR OPERATIVO], tblRed[Nodo Inicial], $C33, tblRed[Nodo Final], AF$3, tblRed[Activo], 1), 0)</f>
        <v>0</v>
      </c>
      <c r="AG33" s="77">
        <f>IF(MatrizDeAdyacencia!AG33=1, SUMIFS(tblRed[VALOR OPERATIVO], tblRed[Nodo Inicial], $C33, tblRed[Nodo Final], AG$3, tblRed[Activo], 1), 0)</f>
        <v>0</v>
      </c>
      <c r="AH33" s="77">
        <f>IF(MatrizDeAdyacencia!AH33=1, SUMIFS(tblRed[VALOR OPERATIVO], tblRed[Nodo Inicial], $C33, tblRed[Nodo Final], AH$3, tblRed[Activo], 1), 0)</f>
        <v>9.0465116279069751</v>
      </c>
    </row>
    <row r="34" spans="2:34" ht="17.25" customHeight="1" x14ac:dyDescent="0.25">
      <c r="B34" s="48" t="str">
        <f>VLOOKUP(tblMatrizPonderadaValorOperativo[[#This Row],[Nodo Orig.\Dest.]],tblNodos[],2,FALSE)</f>
        <v>Destino operativo final</v>
      </c>
      <c r="C34" s="75" t="s">
        <v>85</v>
      </c>
      <c r="D34" s="77">
        <f>IF(MatrizDeAdyacencia!D34=1, SUMIFS(tblRed[VALOR OPERATIVO], tblRed[Nodo Inicial], $C34, tblRed[Nodo Final], D$3, tblRed[Activo], 1), 0)</f>
        <v>0</v>
      </c>
      <c r="E34" s="77">
        <f>IF(MatrizDeAdyacencia!E34=1, SUMIFS(tblRed[VALOR OPERATIVO], tblRed[Nodo Inicial], $C34, tblRed[Nodo Final], E$3, tblRed[Activo], 1), 0)</f>
        <v>0</v>
      </c>
      <c r="F34" s="77">
        <f>IF(MatrizDeAdyacencia!F34=1, SUMIFS(tblRed[VALOR OPERATIVO], tblRed[Nodo Inicial], $C34, tblRed[Nodo Final], F$3, tblRed[Activo], 1), 0)</f>
        <v>0</v>
      </c>
      <c r="G34" s="77">
        <f>IF(MatrizDeAdyacencia!G34=1, SUMIFS(tblRed[VALOR OPERATIVO], tblRed[Nodo Inicial], $C34, tblRed[Nodo Final], G$3, tblRed[Activo], 1), 0)</f>
        <v>0</v>
      </c>
      <c r="H34" s="77">
        <f>IF(MatrizDeAdyacencia!H34=1, SUMIFS(tblRed[VALOR OPERATIVO], tblRed[Nodo Inicial], $C34, tblRed[Nodo Final], H$3, tblRed[Activo], 1), 0)</f>
        <v>0</v>
      </c>
      <c r="I34" s="77">
        <f>IF(MatrizDeAdyacencia!I34=1, SUMIFS(tblRed[VALOR OPERATIVO], tblRed[Nodo Inicial], $C34, tblRed[Nodo Final], I$3, tblRed[Activo], 1), 0)</f>
        <v>0</v>
      </c>
      <c r="J34" s="77">
        <f>IF(MatrizDeAdyacencia!J34=1, SUMIFS(tblRed[VALOR OPERATIVO], tblRed[Nodo Inicial], $C34, tblRed[Nodo Final], J$3, tblRed[Activo], 1), 0)</f>
        <v>0</v>
      </c>
      <c r="K34" s="77">
        <f>IF(MatrizDeAdyacencia!K34=1, SUMIFS(tblRed[VALOR OPERATIVO], tblRed[Nodo Inicial], $C34, tblRed[Nodo Final], K$3, tblRed[Activo], 1), 0)</f>
        <v>0</v>
      </c>
      <c r="L34" s="77">
        <f>IF(MatrizDeAdyacencia!L34=1, SUMIFS(tblRed[VALOR OPERATIVO], tblRed[Nodo Inicial], $C34, tblRed[Nodo Final], L$3, tblRed[Activo], 1), 0)</f>
        <v>0</v>
      </c>
      <c r="M34" s="77">
        <f>IF(MatrizDeAdyacencia!M34=1, SUMIFS(tblRed[VALOR OPERATIVO], tblRed[Nodo Inicial], $C34, tblRed[Nodo Final], M$3, tblRed[Activo], 1), 0)</f>
        <v>0</v>
      </c>
      <c r="N34" s="77">
        <f>IF(MatrizDeAdyacencia!N34=1, SUMIFS(tblRed[VALOR OPERATIVO], tblRed[Nodo Inicial], $C34, tblRed[Nodo Final], N$3, tblRed[Activo], 1), 0)</f>
        <v>0</v>
      </c>
      <c r="O34" s="77">
        <f>IF(MatrizDeAdyacencia!O34=1, SUMIFS(tblRed[VALOR OPERATIVO], tblRed[Nodo Inicial], $C34, tblRed[Nodo Final], O$3, tblRed[Activo], 1), 0)</f>
        <v>0</v>
      </c>
      <c r="P34" s="77">
        <f>IF(MatrizDeAdyacencia!P34=1, SUMIFS(tblRed[VALOR OPERATIVO], tblRed[Nodo Inicial], $C34, tblRed[Nodo Final], P$3, tblRed[Activo], 1), 0)</f>
        <v>0</v>
      </c>
      <c r="Q34" s="77">
        <f>IF(MatrizDeAdyacencia!Q34=1, SUMIFS(tblRed[VALOR OPERATIVO], tblRed[Nodo Inicial], $C34, tblRed[Nodo Final], Q$3, tblRed[Activo], 1), 0)</f>
        <v>0</v>
      </c>
      <c r="R34" s="77">
        <f>IF(MatrizDeAdyacencia!R34=1, SUMIFS(tblRed[VALOR OPERATIVO], tblRed[Nodo Inicial], $C34, tblRed[Nodo Final], R$3, tblRed[Activo], 1), 0)</f>
        <v>0</v>
      </c>
      <c r="S34" s="77">
        <f>IF(MatrizDeAdyacencia!S34=1, SUMIFS(tblRed[VALOR OPERATIVO], tblRed[Nodo Inicial], $C34, tblRed[Nodo Final], S$3, tblRed[Activo], 1), 0)</f>
        <v>0</v>
      </c>
      <c r="T34" s="77">
        <f>IF(MatrizDeAdyacencia!T34=1, SUMIFS(tblRed[VALOR OPERATIVO], tblRed[Nodo Inicial], $C34, tblRed[Nodo Final], T$3, tblRed[Activo], 1), 0)</f>
        <v>0</v>
      </c>
      <c r="U34" s="77">
        <f>IF(MatrizDeAdyacencia!U34=1, SUMIFS(tblRed[VALOR OPERATIVO], tblRed[Nodo Inicial], $C34, tblRed[Nodo Final], U$3, tblRed[Activo], 1), 0)</f>
        <v>0</v>
      </c>
      <c r="V34" s="79">
        <f>IF(MatrizDeAdyacencia!V34=1, SUMIFS(tblRed[VALOR OPERATIVO], tblRed[Nodo Inicial], $C34, tblRed[Nodo Final], V$3, tblRed[Activo], 1), 0)</f>
        <v>0</v>
      </c>
      <c r="W34" s="80">
        <f>IF(MatrizDeAdyacencia!W34=1, SUMIFS(tblRed[VALOR OPERATIVO], tblRed[Nodo Inicial], $C34, tblRed[Nodo Final], W$3, tblRed[Activo], 1), 0)</f>
        <v>0</v>
      </c>
      <c r="X34" s="80">
        <f>IF(MatrizDeAdyacencia!X34=1, SUMIFS(tblRed[VALOR OPERATIVO], tblRed[Nodo Inicial], $C34, tblRed[Nodo Final], X$3, tblRed[Activo], 1), 0)</f>
        <v>0</v>
      </c>
      <c r="Y34" s="80">
        <f>IF(MatrizDeAdyacencia!Y34=1, SUMIFS(tblRed[VALOR OPERATIVO], tblRed[Nodo Inicial], $C34, tblRed[Nodo Final], Y$3, tblRed[Activo], 1), 0)</f>
        <v>0</v>
      </c>
      <c r="Z34" s="80">
        <f>IF(MatrizDeAdyacencia!Z34=1, SUMIFS(tblRed[VALOR OPERATIVO], tblRed[Nodo Inicial], $C34, tblRed[Nodo Final], Z$3, tblRed[Activo], 1), 0)</f>
        <v>0</v>
      </c>
      <c r="AA34" s="80">
        <f>IF(MatrizDeAdyacencia!AA34=1, SUMIFS(tblRed[VALOR OPERATIVO], tblRed[Nodo Inicial], $C34, tblRed[Nodo Final], AA$3, tblRed[Activo], 1), 0)</f>
        <v>0</v>
      </c>
      <c r="AB34" s="80">
        <f>IF(MatrizDeAdyacencia!AB34=1, SUMIFS(tblRed[VALOR OPERATIVO], tblRed[Nodo Inicial], $C34, tblRed[Nodo Final], AB$3, tblRed[Activo], 1), 0)</f>
        <v>0</v>
      </c>
      <c r="AC34" s="80">
        <f>IF(MatrizDeAdyacencia!AC34=1, SUMIFS(tblRed[VALOR OPERATIVO], tblRed[Nodo Inicial], $C34, tblRed[Nodo Final], AC$3, tblRed[Activo], 1), 0)</f>
        <v>0</v>
      </c>
      <c r="AD34" s="80">
        <f>IF(MatrizDeAdyacencia!AD34=1, SUMIFS(tblRed[VALOR OPERATIVO], tblRed[Nodo Inicial], $C34, tblRed[Nodo Final], AD$3, tblRed[Activo], 1), 0)</f>
        <v>0</v>
      </c>
      <c r="AE34" s="80">
        <f>IF(MatrizDeAdyacencia!AE34=1, SUMIFS(tblRed[VALOR OPERATIVO], tblRed[Nodo Inicial], $C34, tblRed[Nodo Final], AE$3, tblRed[Activo], 1), 0)</f>
        <v>0</v>
      </c>
      <c r="AF34" s="80">
        <f>IF(MatrizDeAdyacencia!AF34=1, SUMIFS(tblRed[VALOR OPERATIVO], tblRed[Nodo Inicial], $C34, tblRed[Nodo Final], AF$3, tblRed[Activo], 1), 0)</f>
        <v>0</v>
      </c>
      <c r="AG34" s="80">
        <f>IF(MatrizDeAdyacencia!AG34=1, SUMIFS(tblRed[VALOR OPERATIVO], tblRed[Nodo Inicial], $C34, tblRed[Nodo Final], AG$3, tblRed[Activo], 1), 0)</f>
        <v>0</v>
      </c>
      <c r="AH34" s="80">
        <f>IF(MatrizDeAdyacencia!AH34=1, SUMIFS(tblRed[VALOR OPERATIVO], tblRed[Nodo Inicial], $C34, tblRed[Nodo Final], AH$3, tblRed[Activo], 1), 0)</f>
        <v>0</v>
      </c>
    </row>
  </sheetData>
  <mergeCells count="1">
    <mergeCell ref="B2:C2"/>
  </mergeCells>
  <conditionalFormatting sqref="D4:AH34">
    <cfRule type="expression" dxfId="184" priority="1" stopIfTrue="1">
      <formula>COLUMN()-COLUMN($D$4)=ROW()-ROW($D$4)</formula>
    </cfRule>
    <cfRule type="expression" dxfId="183" priority="2" stopIfTrue="1">
      <formula>D4&lt;&gt;0</formula>
    </cfRule>
    <cfRule type="expression" dxfId="182" priority="3">
      <formula>D4=0</formula>
    </cfRule>
  </conditionalFormatting>
  <pageMargins left="0.75" right="0.75" top="1" bottom="1" header="0.5" footer="0.5"/>
  <pageSetup paperSize="9"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B2:AH34"/>
  <sheetViews>
    <sheetView showGridLines="0" zoomScale="70" zoomScaleNormal="70" workbookViewId="0">
      <selection activeCell="O4" sqref="O4"/>
    </sheetView>
  </sheetViews>
  <sheetFormatPr baseColWidth="10" defaultColWidth="9.140625" defaultRowHeight="17.25" customHeight="1" x14ac:dyDescent="0.25"/>
  <cols>
    <col min="1" max="1" width="4.140625" style="3" customWidth="1"/>
    <col min="2" max="2" width="32.140625" style="3" customWidth="1"/>
    <col min="3" max="3" width="13.7109375" style="3" customWidth="1"/>
    <col min="4" max="34" width="7" style="3" customWidth="1"/>
    <col min="35" max="16384" width="9.140625" style="3"/>
  </cols>
  <sheetData>
    <row r="2" spans="2:34" s="8" customFormat="1" ht="121.5" customHeight="1" x14ac:dyDescent="0.25">
      <c r="B2" s="123" t="s">
        <v>477</v>
      </c>
      <c r="C2" s="124"/>
      <c r="D2" s="13" t="str">
        <f>VLOOKUP(tblMatrizDeAdyacencia[[#Headers],[O1]],tblNodos[],2,FALSE)</f>
        <v>Recursos personales lícitos</v>
      </c>
      <c r="E2" s="13" t="str">
        <f>VLOOKUP(tblMatrizDeAdyacencia[[#Headers],[O2]],tblNodos[],2,FALSE)</f>
        <v>Donaciones y apoyo individual / comunitario</v>
      </c>
      <c r="F2" s="13" t="str">
        <f>VLOOKUP(tblMatrizDeAdyacencia[[#Headers],[O3]],tblNodos[],2,FALSE)</f>
        <v>Actividad comercial y empresarial</v>
      </c>
      <c r="G2" s="13" t="str">
        <f>VLOOKUP(tblMatrizDeAdyacencia[[#Headers],[O4]],tblNodos[],2,FALSE)</f>
        <v>Financiación mediante coerción y exacción</v>
      </c>
      <c r="H2" s="13" t="str">
        <f>VLOOKUP(tblMatrizDeAdyacencia[[#Headers],[O5]],tblNodos[],2,FALSE)</f>
        <v>Explotación de personas y movilidad forzada</v>
      </c>
      <c r="I2" s="13" t="str">
        <f>VLOOKUP(tblMatrizDeAdyacencia[[#Headers],[O6]],tblNodos[],2,FALSE)</f>
        <v>Actividades criminales y mercados ilícitos</v>
      </c>
      <c r="J2" s="13" t="str">
        <f>VLOOKUP(tblMatrizDeAdyacencia[[#Headers],[O7]],tblNodos[],2,FALSE)</f>
        <v>Explotación de recursos naturales</v>
      </c>
      <c r="K2" s="13" t="str">
        <f>VLOOKUP(tblMatrizDeAdyacencia[[#Headers],[O8]],tblNodos[],2,FALSE)</f>
        <v>Valor digital</v>
      </c>
      <c r="L2" s="13" t="str">
        <f>VLOOKUP(tblMatrizDeAdyacencia[[#Headers],[C1]],tblNodos[],2,FALSE)</f>
        <v>Recaudación directa</v>
      </c>
      <c r="M2" s="13" t="str">
        <f>VLOOKUP(tblMatrizDeAdyacencia[[#Headers],[C2]],tblNodos[],2,FALSE)</f>
        <v>Agregadores de fondos</v>
      </c>
      <c r="N2" s="13" t="str">
        <f>VLOOKUP(tblMatrizDeAdyacencia[[#Headers],[C3]],tblNodos[],2,FALSE)</f>
        <v>Estructuras organizadas de captación</v>
      </c>
      <c r="O2" s="13" t="str">
        <f>VLOOKUP(tblMatrizDeAdyacencia[[#Headers],[C4]],tblNodos[],2,FALSE)</f>
        <v>Colectores digitales instrumentales</v>
      </c>
      <c r="P2" s="13" t="str">
        <f>VLOOKUP(tblMatrizDeAdyacencia[[#Headers],[C5]],tblNodos[],2,FALSE)</f>
        <v>Colectores empresariales y vehiculares</v>
      </c>
      <c r="Q2" s="13" t="str">
        <f>VLOOKUP(tblMatrizDeAdyacencia[[#Headers],[C6]],tblNodos[],2,FALSE)</f>
        <v>Colectores instrumentales / de ocultación</v>
      </c>
      <c r="R2" s="13" t="str">
        <f>VLOOKUP(tblMatrizDeAdyacencia[[#Headers],[I1]],tblNodos[],2,FALSE)</f>
        <v>Intermediarios físicos de transporte de valor</v>
      </c>
      <c r="S2" s="13" t="str">
        <f>VLOOKUP(tblMatrizDeAdyacencia[[#Headers],[I2]],tblNodos[],2,FALSE)</f>
        <v>Intermediarios informales y paralelos</v>
      </c>
      <c r="T2" s="13" t="str">
        <f>VLOOKUP(tblMatrizDeAdyacencia[[#Headers],[I3]],tblNodos[],2,FALSE)</f>
        <v>Intermediarios MVTS y remesas</v>
      </c>
      <c r="U2" s="13" t="str">
        <f>VLOOKUP(tblMatrizDeAdyacencia[[#Headers],[I4]],tblNodos[],2,FALSE)</f>
        <v>Intermediarios de dinero móvil</v>
      </c>
      <c r="V2" s="13" t="str">
        <f>VLOOKUP(tblMatrizDeAdyacencia[[#Headers],[I5]],tblNodos[],2,FALSE)</f>
        <v>Intermediarios bancarios formales</v>
      </c>
      <c r="W2" s="13" t="str">
        <f>VLOOKUP(tblMatrizDeAdyacencia[[#Headers],[I6]],tblNodos[],2,FALSE)</f>
        <v>Intermediarios de pago digital (PSP /FinTech)</v>
      </c>
      <c r="X2" s="13" t="str">
        <f>VLOOKUP(tblMatrizDeAdyacencia[[#Headers],[I7]],tblNodos[],2,FALSE)</f>
        <v>Intermediarios de activos virtuales y conversión</v>
      </c>
      <c r="Y2" s="13" t="str">
        <f>VLOOKUP(tblMatrizDeAdyacencia[[#Headers],[I8]],tblNodos[],2,FALSE)</f>
        <v>Intermediarios comerciales y transaccionales</v>
      </c>
      <c r="Z2" s="13" t="str">
        <f>VLOOKUP(tblMatrizDeAdyacencia[[#Headers],[I9]],tblNodos[],2,FALSE)</f>
        <v>Intermediarios logísticos del contrabando</v>
      </c>
      <c r="AA2" s="13" t="str">
        <f>VLOOKUP(tblMatrizDeAdyacencia[[#Headers],[I10]],tblNodos[],2,FALSE)</f>
        <v>Intermediarios financeros especializados</v>
      </c>
      <c r="AB2" s="13" t="str">
        <f>VLOOKUP(tblMatrizDeAdyacencia[[#Headers],[I11]],tblNodos[],2,FALSE)</f>
        <v>Intermediarios operativos y de cobertura</v>
      </c>
      <c r="AC2" s="13" t="str">
        <f>VLOOKUP(tblMatrizDeAdyacencia[[#Headers],[I12]],tblNodos[],2,FALSE)</f>
        <v>Intermediarios de negociación y rescate</v>
      </c>
      <c r="AD2" s="13" t="str">
        <f>VLOOKUP(tblMatrizDeAdyacencia[[#Headers],[G1]],tblNodos[],2,FALSE)</f>
        <v>Dirección financiera</v>
      </c>
      <c r="AE2" s="13" t="str">
        <f>VLOOKUP(tblMatrizDeAdyacencia[[#Headers],[G2]],tblNodos[],2,FALSE)</f>
        <v>Gestión operativa descentralizada</v>
      </c>
      <c r="AF2" s="13" t="str">
        <f>VLOOKUP(tblMatrizDeAdyacencia[[#Headers],[G3]],tblNodos[],2,FALSE)</f>
        <v>Custodia y conversión</v>
      </c>
      <c r="AG2" s="13" t="str">
        <f>VLOOKUP(tblMatrizDeAdyacencia[[#Headers],[G4]],tblNodos[],2,FALSE)</f>
        <v>Coordinación de la red y soporte estratégico</v>
      </c>
      <c r="AH2" s="13" t="str">
        <f>VLOOKUP(tblMatrizDeAdyacencia[[#Headers],[D1]],tblNodos[],2,FALSE)</f>
        <v>Destino operativo final</v>
      </c>
    </row>
    <row r="3" spans="2:34" ht="33" customHeight="1" x14ac:dyDescent="0.25">
      <c r="B3" s="5" t="s">
        <v>472</v>
      </c>
      <c r="C3" s="23" t="s">
        <v>486</v>
      </c>
      <c r="D3" s="4" t="s">
        <v>25</v>
      </c>
      <c r="E3" s="4" t="s">
        <v>27</v>
      </c>
      <c r="F3" s="4" t="s">
        <v>29</v>
      </c>
      <c r="G3" s="4" t="s">
        <v>31</v>
      </c>
      <c r="H3" s="4" t="s">
        <v>33</v>
      </c>
      <c r="I3" s="4" t="s">
        <v>35</v>
      </c>
      <c r="J3" s="4" t="s">
        <v>37</v>
      </c>
      <c r="K3" s="4" t="s">
        <v>39</v>
      </c>
      <c r="L3" s="4" t="s">
        <v>41</v>
      </c>
      <c r="M3" s="4" t="s">
        <v>43</v>
      </c>
      <c r="N3" s="4" t="s">
        <v>45</v>
      </c>
      <c r="O3" s="4" t="s">
        <v>47</v>
      </c>
      <c r="P3" s="4" t="s">
        <v>49</v>
      </c>
      <c r="Q3" s="4" t="s">
        <v>51</v>
      </c>
      <c r="R3" s="4" t="s">
        <v>53</v>
      </c>
      <c r="S3" s="4" t="s">
        <v>55</v>
      </c>
      <c r="T3" s="4" t="s">
        <v>57</v>
      </c>
      <c r="U3" s="4" t="s">
        <v>59</v>
      </c>
      <c r="V3" s="6" t="s">
        <v>61</v>
      </c>
      <c r="W3" s="76" t="s">
        <v>63</v>
      </c>
      <c r="X3" s="76" t="s">
        <v>65</v>
      </c>
      <c r="Y3" s="76" t="s">
        <v>67</v>
      </c>
      <c r="Z3" s="76" t="s">
        <v>69</v>
      </c>
      <c r="AA3" s="76" t="s">
        <v>71</v>
      </c>
      <c r="AB3" s="76" t="s">
        <v>73</v>
      </c>
      <c r="AC3" s="76" t="s">
        <v>75</v>
      </c>
      <c r="AD3" s="76" t="s">
        <v>77</v>
      </c>
      <c r="AE3" s="76" t="s">
        <v>79</v>
      </c>
      <c r="AF3" s="76" t="s">
        <v>81</v>
      </c>
      <c r="AG3" s="76" t="s">
        <v>83</v>
      </c>
      <c r="AH3" s="76" t="s">
        <v>85</v>
      </c>
    </row>
    <row r="4" spans="2:34" ht="19.5" customHeight="1" x14ac:dyDescent="0.25">
      <c r="B4" s="69" t="str">
        <f>VLOOKUP(tblMatrizTradeOff[[#This Row],[Nodo Orig.\Dest.]],tblNodos[],2,FALSE)</f>
        <v>Recursos personales lícitos</v>
      </c>
      <c r="C4" s="4" t="s">
        <v>25</v>
      </c>
      <c r="D4" s="16">
        <f>IF(MatrizDeAdyacencia!D4=1, SUMIFS(tblRed[TRADE OFF VALOR OPERATIVO/COSTE], tblRed[Nodo Inicial], $C4, tblRed[Nodo Final], D$3, tblRed[Activo], 1), 0)</f>
        <v>0</v>
      </c>
      <c r="E4" s="16">
        <f>IF(MatrizDeAdyacencia!E4=1, SUMIFS(tblRed[TRADE OFF VALOR OPERATIVO/COSTE], tblRed[Nodo Inicial], $C4, tblRed[Nodo Final], E$3, tblRed[Activo], 1), 0)</f>
        <v>0</v>
      </c>
      <c r="F4" s="16">
        <f>IF(MatrizDeAdyacencia!F4=1, SUMIFS(tblRed[TRADE OFF VALOR OPERATIVO/COSTE], tblRed[Nodo Inicial], $C4, tblRed[Nodo Final], F$3, tblRed[Activo], 1), 0)</f>
        <v>0</v>
      </c>
      <c r="G4" s="16">
        <f>IF(MatrizDeAdyacencia!G4=1, SUMIFS(tblRed[TRADE OFF VALOR OPERATIVO/COSTE], tblRed[Nodo Inicial], $C4, tblRed[Nodo Final], G$3, tblRed[Activo], 1), 0)</f>
        <v>0</v>
      </c>
      <c r="H4" s="16">
        <f>IF(MatrizDeAdyacencia!H4=1, SUMIFS(tblRed[TRADE OFF VALOR OPERATIVO/COSTE], tblRed[Nodo Inicial], $C4, tblRed[Nodo Final], H$3, tblRed[Activo], 1), 0)</f>
        <v>0</v>
      </c>
      <c r="I4" s="16">
        <f>IF(MatrizDeAdyacencia!I4=1, SUMIFS(tblRed[TRADE OFF VALOR OPERATIVO/COSTE], tblRed[Nodo Inicial], $C4, tblRed[Nodo Final], I$3, tblRed[Activo], 1), 0)</f>
        <v>0</v>
      </c>
      <c r="J4" s="16">
        <f>IF(MatrizDeAdyacencia!J4=1, SUMIFS(tblRed[TRADE OFF VALOR OPERATIVO/COSTE], tblRed[Nodo Inicial], $C4, tblRed[Nodo Final], J$3, tblRed[Activo], 1), 0)</f>
        <v>0</v>
      </c>
      <c r="K4" s="16">
        <f>IF(MatrizDeAdyacencia!K4=1, SUMIFS(tblRed[TRADE OFF VALOR OPERATIVO/COSTE], tblRed[Nodo Inicial], $C4, tblRed[Nodo Final], K$3, tblRed[Activo], 1), 0)</f>
        <v>0</v>
      </c>
      <c r="L4" s="16">
        <f>IF(MatrizDeAdyacencia!L4=1, SUMIFS(tblRed[TRADE OFF VALOR OPERATIVO/COSTE], tblRed[Nodo Inicial], $C4, tblRed[Nodo Final], L$3, tblRed[Activo], 1), 0)</f>
        <v>0</v>
      </c>
      <c r="M4" s="16">
        <f>IF(MatrizDeAdyacencia!M4=1, SUMIFS(tblRed[TRADE OFF VALOR OPERATIVO/COSTE], tblRed[Nodo Inicial], $C4, tblRed[Nodo Final], M$3, tblRed[Activo], 1), 0)</f>
        <v>0</v>
      </c>
      <c r="N4" s="16">
        <f>IF(MatrizDeAdyacencia!N4=1, SUMIFS(tblRed[TRADE OFF VALOR OPERATIVO/COSTE], tblRed[Nodo Inicial], $C4, tblRed[Nodo Final], N$3, tblRed[Activo], 1), 0)</f>
        <v>0</v>
      </c>
      <c r="O4" s="16">
        <f>IF(MatrizDeAdyacencia!O4=1, SUMIFS(tblRed[TRADE OFF VALOR OPERATIVO/COSTE], tblRed[Nodo Inicial], $C4, tblRed[Nodo Final], O$3, tblRed[Activo], 1), 0)</f>
        <v>1.8</v>
      </c>
      <c r="P4" s="16">
        <f>IF(MatrizDeAdyacencia!P4=1, SUMIFS(tblRed[TRADE OFF VALOR OPERATIVO/COSTE], tblRed[Nodo Inicial], $C4, tblRed[Nodo Final], P$3, tblRed[Activo], 1), 0)</f>
        <v>0</v>
      </c>
      <c r="Q4" s="16">
        <f>IF(MatrizDeAdyacencia!Q4=1, SUMIFS(tblRed[TRADE OFF VALOR OPERATIVO/COSTE], tblRed[Nodo Inicial], $C4, tblRed[Nodo Final], Q$3, tblRed[Activo], 1), 0)</f>
        <v>0</v>
      </c>
      <c r="R4" s="16">
        <f>IF(MatrizDeAdyacencia!R4=1, SUMIFS(tblRed[TRADE OFF VALOR OPERATIVO/COSTE], tblRed[Nodo Inicial], $C4, tblRed[Nodo Final], R$3, tblRed[Activo], 1), 0)</f>
        <v>0</v>
      </c>
      <c r="S4" s="16">
        <f>IF(MatrizDeAdyacencia!S4=1, SUMIFS(tblRed[TRADE OFF VALOR OPERATIVO/COSTE], tblRed[Nodo Inicial], $C4, tblRed[Nodo Final], S$3, tblRed[Activo], 1), 0)</f>
        <v>0</v>
      </c>
      <c r="T4" s="16">
        <f>IF(MatrizDeAdyacencia!T4=1, SUMIFS(tblRed[TRADE OFF VALOR OPERATIVO/COSTE], tblRed[Nodo Inicial], $C4, tblRed[Nodo Final], T$3, tblRed[Activo], 1), 0)</f>
        <v>0</v>
      </c>
      <c r="U4" s="16">
        <f>IF(MatrizDeAdyacencia!U4=1, SUMIFS(tblRed[TRADE OFF VALOR OPERATIVO/COSTE], tblRed[Nodo Inicial], $C4, tblRed[Nodo Final], U$3, tblRed[Activo], 1), 0)</f>
        <v>0</v>
      </c>
      <c r="V4" s="16">
        <f>IF(MatrizDeAdyacencia!V4=1, SUMIFS(tblRed[TRADE OFF VALOR OPERATIVO/COSTE], tblRed[Nodo Inicial], $C4, tblRed[Nodo Final], V$3, tblRed[Activo], 1), 0)</f>
        <v>2.4705882352941178</v>
      </c>
      <c r="W4" s="16">
        <f>IF(MatrizDeAdyacencia!W4=1, SUMIFS(tblRed[TRADE OFF VALOR OPERATIVO/COSTE], tblRed[Nodo Inicial], $C4, tblRed[Nodo Final], W$3, tblRed[Activo], 1), 0)</f>
        <v>0</v>
      </c>
      <c r="X4" s="16">
        <f>IF(MatrizDeAdyacencia!X4=1, SUMIFS(tblRed[TRADE OFF VALOR OPERATIVO/COSTE], tblRed[Nodo Inicial], $C4, tblRed[Nodo Final], X$3, tblRed[Activo], 1), 0)</f>
        <v>0</v>
      </c>
      <c r="Y4" s="16">
        <f>IF(MatrizDeAdyacencia!Y4=1, SUMIFS(tblRed[TRADE OFF VALOR OPERATIVO/COSTE], tblRed[Nodo Inicial], $C4, tblRed[Nodo Final], Y$3, tblRed[Activo], 1), 0)</f>
        <v>0</v>
      </c>
      <c r="Z4" s="16">
        <f>IF(MatrizDeAdyacencia!Z4=1, SUMIFS(tblRed[TRADE OFF VALOR OPERATIVO/COSTE], tblRed[Nodo Inicial], $C4, tblRed[Nodo Final], Z$3, tblRed[Activo], 1), 0)</f>
        <v>0</v>
      </c>
      <c r="AA4" s="16">
        <f>IF(MatrizDeAdyacencia!AA4=1, SUMIFS(tblRed[TRADE OFF VALOR OPERATIVO/COSTE], tblRed[Nodo Inicial], $C4, tblRed[Nodo Final], AA$3, tblRed[Activo], 1), 0)</f>
        <v>0</v>
      </c>
      <c r="AB4" s="16">
        <f>IF(MatrizDeAdyacencia!AB4=1, SUMIFS(tblRed[TRADE OFF VALOR OPERATIVO/COSTE], tblRed[Nodo Inicial], $C4, tblRed[Nodo Final], AB$3, tblRed[Activo], 1), 0)</f>
        <v>0</v>
      </c>
      <c r="AC4" s="16">
        <f>IF(MatrizDeAdyacencia!AC4=1, SUMIFS(tblRed[TRADE OFF VALOR OPERATIVO/COSTE], tblRed[Nodo Inicial], $C4, tblRed[Nodo Final], AC$3, tblRed[Activo], 1), 0)</f>
        <v>0</v>
      </c>
      <c r="AD4" s="16">
        <f>IF(MatrizDeAdyacencia!AD4=1, SUMIFS(tblRed[TRADE OFF VALOR OPERATIVO/COSTE], tblRed[Nodo Inicial], $C4, tblRed[Nodo Final], AD$3, tblRed[Activo], 1), 0)</f>
        <v>0</v>
      </c>
      <c r="AE4" s="16">
        <f>IF(MatrizDeAdyacencia!AE4=1, SUMIFS(tblRed[TRADE OFF VALOR OPERATIVO/COSTE], tblRed[Nodo Inicial], $C4, tblRed[Nodo Final], AE$3, tblRed[Activo], 1), 0)</f>
        <v>0</v>
      </c>
      <c r="AF4" s="16">
        <f>IF(MatrizDeAdyacencia!AF4=1, SUMIFS(tblRed[TRADE OFF VALOR OPERATIVO/COSTE], tblRed[Nodo Inicial], $C4, tblRed[Nodo Final], AF$3, tblRed[Activo], 1), 0)</f>
        <v>0</v>
      </c>
      <c r="AG4" s="16">
        <f>IF(MatrizDeAdyacencia!AG4=1, SUMIFS(tblRed[TRADE OFF VALOR OPERATIVO/COSTE], tblRed[Nodo Inicial], $C4, tblRed[Nodo Final], AG$3, tblRed[Activo], 1), 0)</f>
        <v>0</v>
      </c>
      <c r="AH4" s="16">
        <f>IF(MatrizDeAdyacencia!AH4=1, SUMIFS(tblRed[TRADE OFF VALOR OPERATIVO/COSTE], tblRed[Nodo Inicial], $C4, tblRed[Nodo Final], AH$3, tblRed[Activo], 1), 0)</f>
        <v>0</v>
      </c>
    </row>
    <row r="5" spans="2:34" ht="19.5" customHeight="1" x14ac:dyDescent="0.25">
      <c r="B5" s="12" t="str">
        <f>VLOOKUP(tblMatrizTradeOff[[#This Row],[Nodo Orig.\Dest.]],tblNodos[],2,FALSE)</f>
        <v>Donaciones y apoyo individual / comunitario</v>
      </c>
      <c r="C5" s="4" t="s">
        <v>27</v>
      </c>
      <c r="D5" s="16">
        <f>IF(MatrizDeAdyacencia!D5=1, SUMIFS(tblRed[TRADE OFF VALOR OPERATIVO/COSTE], tblRed[Nodo Inicial], $C5, tblRed[Nodo Final], D$3, tblRed[Activo], 1), 0)</f>
        <v>0</v>
      </c>
      <c r="E5" s="16">
        <f>IF(MatrizDeAdyacencia!E5=1, SUMIFS(tblRed[TRADE OFF VALOR OPERATIVO/COSTE], tblRed[Nodo Inicial], $C5, tblRed[Nodo Final], E$3, tblRed[Activo], 1), 0)</f>
        <v>0</v>
      </c>
      <c r="F5" s="16">
        <f>IF(MatrizDeAdyacencia!F5=1, SUMIFS(tblRed[TRADE OFF VALOR OPERATIVO/COSTE], tblRed[Nodo Inicial], $C5, tblRed[Nodo Final], F$3, tblRed[Activo], 1), 0)</f>
        <v>0</v>
      </c>
      <c r="G5" s="16">
        <f>IF(MatrizDeAdyacencia!G5=1, SUMIFS(tblRed[TRADE OFF VALOR OPERATIVO/COSTE], tblRed[Nodo Inicial], $C5, tblRed[Nodo Final], G$3, tblRed[Activo], 1), 0)</f>
        <v>0</v>
      </c>
      <c r="H5" s="16">
        <f>IF(MatrizDeAdyacencia!H5=1, SUMIFS(tblRed[TRADE OFF VALOR OPERATIVO/COSTE], tblRed[Nodo Inicial], $C5, tblRed[Nodo Final], H$3, tblRed[Activo], 1), 0)</f>
        <v>0</v>
      </c>
      <c r="I5" s="16">
        <f>IF(MatrizDeAdyacencia!I5=1, SUMIFS(tblRed[TRADE OFF VALOR OPERATIVO/COSTE], tblRed[Nodo Inicial], $C5, tblRed[Nodo Final], I$3, tblRed[Activo], 1), 0)</f>
        <v>0</v>
      </c>
      <c r="J5" s="16">
        <f>IF(MatrizDeAdyacencia!J5=1, SUMIFS(tblRed[TRADE OFF VALOR OPERATIVO/COSTE], tblRed[Nodo Inicial], $C5, tblRed[Nodo Final], J$3, tblRed[Activo], 1), 0)</f>
        <v>0</v>
      </c>
      <c r="K5" s="16">
        <f>IF(MatrizDeAdyacencia!K5=1, SUMIFS(tblRed[TRADE OFF VALOR OPERATIVO/COSTE], tblRed[Nodo Inicial], $C5, tblRed[Nodo Final], K$3, tblRed[Activo], 1), 0)</f>
        <v>0</v>
      </c>
      <c r="L5" s="16">
        <f>IF(MatrizDeAdyacencia!L5=1, SUMIFS(tblRed[TRADE OFF VALOR OPERATIVO/COSTE], tblRed[Nodo Inicial], $C5, tblRed[Nodo Final], L$3, tblRed[Activo], 1), 0)</f>
        <v>1.8301886792452831</v>
      </c>
      <c r="M5" s="16">
        <f>IF(MatrizDeAdyacencia!M5=1, SUMIFS(tblRed[TRADE OFF VALOR OPERATIVO/COSTE], tblRed[Nodo Inicial], $C5, tblRed[Nodo Final], M$3, tblRed[Activo], 1), 0)</f>
        <v>0</v>
      </c>
      <c r="N5" s="16">
        <f>IF(MatrizDeAdyacencia!N5=1, SUMIFS(tblRed[TRADE OFF VALOR OPERATIVO/COSTE], tblRed[Nodo Inicial], $C5, tblRed[Nodo Final], N$3, tblRed[Activo], 1), 0)</f>
        <v>1.9361702127659572</v>
      </c>
      <c r="O5" s="16">
        <f>IF(MatrizDeAdyacencia!O5=1, SUMIFS(tblRed[TRADE OFF VALOR OPERATIVO/COSTE], tblRed[Nodo Inicial], $C5, tblRed[Nodo Final], O$3, tblRed[Activo], 1), 0)</f>
        <v>1.7</v>
      </c>
      <c r="P5" s="16">
        <f>IF(MatrizDeAdyacencia!P5=1, SUMIFS(tblRed[TRADE OFF VALOR OPERATIVO/COSTE], tblRed[Nodo Inicial], $C5, tblRed[Nodo Final], P$3, tblRed[Activo], 1), 0)</f>
        <v>0</v>
      </c>
      <c r="Q5" s="16">
        <f>IF(MatrizDeAdyacencia!Q5=1, SUMIFS(tblRed[TRADE OFF VALOR OPERATIVO/COSTE], tblRed[Nodo Inicial], $C5, tblRed[Nodo Final], Q$3, tblRed[Activo], 1), 0)</f>
        <v>0</v>
      </c>
      <c r="R5" s="16">
        <f>IF(MatrizDeAdyacencia!R5=1, SUMIFS(tblRed[TRADE OFF VALOR OPERATIVO/COSTE], tblRed[Nodo Inicial], $C5, tblRed[Nodo Final], R$3, tblRed[Activo], 1), 0)</f>
        <v>0</v>
      </c>
      <c r="S5" s="16">
        <f>IF(MatrizDeAdyacencia!S5=1, SUMIFS(tblRed[TRADE OFF VALOR OPERATIVO/COSTE], tblRed[Nodo Inicial], $C5, tblRed[Nodo Final], S$3, tblRed[Activo], 1), 0)</f>
        <v>0</v>
      </c>
      <c r="T5" s="16">
        <f>IF(MatrizDeAdyacencia!T5=1, SUMIFS(tblRed[TRADE OFF VALOR OPERATIVO/COSTE], tblRed[Nodo Inicial], $C5, tblRed[Nodo Final], T$3, tblRed[Activo], 1), 0)</f>
        <v>0</v>
      </c>
      <c r="U5" s="16">
        <f>IF(MatrizDeAdyacencia!U5=1, SUMIFS(tblRed[TRADE OFF VALOR OPERATIVO/COSTE], tblRed[Nodo Inicial], $C5, tblRed[Nodo Final], U$3, tblRed[Activo], 1), 0)</f>
        <v>0</v>
      </c>
      <c r="V5" s="16">
        <f>IF(MatrizDeAdyacencia!V5=1, SUMIFS(tblRed[TRADE OFF VALOR OPERATIVO/COSTE], tblRed[Nodo Inicial], $C5, tblRed[Nodo Final], V$3, tblRed[Activo], 1), 0)</f>
        <v>0</v>
      </c>
      <c r="W5" s="16">
        <f>IF(MatrizDeAdyacencia!W5=1, SUMIFS(tblRed[TRADE OFF VALOR OPERATIVO/COSTE], tblRed[Nodo Inicial], $C5, tblRed[Nodo Final], W$3, tblRed[Activo], 1), 0)</f>
        <v>0</v>
      </c>
      <c r="X5" s="16">
        <f>IF(MatrizDeAdyacencia!X5=1, SUMIFS(tblRed[TRADE OFF VALOR OPERATIVO/COSTE], tblRed[Nodo Inicial], $C5, tblRed[Nodo Final], X$3, tblRed[Activo], 1), 0)</f>
        <v>0</v>
      </c>
      <c r="Y5" s="16">
        <f>IF(MatrizDeAdyacencia!Y5=1, SUMIFS(tblRed[TRADE OFF VALOR OPERATIVO/COSTE], tblRed[Nodo Inicial], $C5, tblRed[Nodo Final], Y$3, tblRed[Activo], 1), 0)</f>
        <v>0</v>
      </c>
      <c r="Z5" s="16">
        <f>IF(MatrizDeAdyacencia!Z5=1, SUMIFS(tblRed[TRADE OFF VALOR OPERATIVO/COSTE], tblRed[Nodo Inicial], $C5, tblRed[Nodo Final], Z$3, tblRed[Activo], 1), 0)</f>
        <v>0</v>
      </c>
      <c r="AA5" s="16">
        <f>IF(MatrizDeAdyacencia!AA5=1, SUMIFS(tblRed[TRADE OFF VALOR OPERATIVO/COSTE], tblRed[Nodo Inicial], $C5, tblRed[Nodo Final], AA$3, tblRed[Activo], 1), 0)</f>
        <v>0</v>
      </c>
      <c r="AB5" s="16">
        <f>IF(MatrizDeAdyacencia!AB5=1, SUMIFS(tblRed[TRADE OFF VALOR OPERATIVO/COSTE], tblRed[Nodo Inicial], $C5, tblRed[Nodo Final], AB$3, tblRed[Activo], 1), 0)</f>
        <v>0</v>
      </c>
      <c r="AC5" s="16">
        <f>IF(MatrizDeAdyacencia!AC5=1, SUMIFS(tblRed[TRADE OFF VALOR OPERATIVO/COSTE], tblRed[Nodo Inicial], $C5, tblRed[Nodo Final], AC$3, tblRed[Activo], 1), 0)</f>
        <v>1.7272727272727271</v>
      </c>
      <c r="AD5" s="16">
        <f>IF(MatrizDeAdyacencia!AD5=1, SUMIFS(tblRed[TRADE OFF VALOR OPERATIVO/COSTE], tblRed[Nodo Inicial], $C5, tblRed[Nodo Final], AD$3, tblRed[Activo], 1), 0)</f>
        <v>0</v>
      </c>
      <c r="AE5" s="16">
        <f>IF(MatrizDeAdyacencia!AE5=1, SUMIFS(tblRed[TRADE OFF VALOR OPERATIVO/COSTE], tblRed[Nodo Inicial], $C5, tblRed[Nodo Final], AE$3, tblRed[Activo], 1), 0)</f>
        <v>0</v>
      </c>
      <c r="AF5" s="16">
        <f>IF(MatrizDeAdyacencia!AF5=1, SUMIFS(tblRed[TRADE OFF VALOR OPERATIVO/COSTE], tblRed[Nodo Inicial], $C5, tblRed[Nodo Final], AF$3, tblRed[Activo], 1), 0)</f>
        <v>0</v>
      </c>
      <c r="AG5" s="16">
        <f>IF(MatrizDeAdyacencia!AG5=1, SUMIFS(tblRed[TRADE OFF VALOR OPERATIVO/COSTE], tblRed[Nodo Inicial], $C5, tblRed[Nodo Final], AG$3, tblRed[Activo], 1), 0)</f>
        <v>0</v>
      </c>
      <c r="AH5" s="16">
        <f>IF(MatrizDeAdyacencia!AH5=1, SUMIFS(tblRed[TRADE OFF VALOR OPERATIVO/COSTE], tblRed[Nodo Inicial], $C5, tblRed[Nodo Final], AH$3, tblRed[Activo], 1), 0)</f>
        <v>0</v>
      </c>
    </row>
    <row r="6" spans="2:34" ht="19.5" customHeight="1" x14ac:dyDescent="0.25">
      <c r="B6" s="12" t="str">
        <f>VLOOKUP(tblMatrizTradeOff[[#This Row],[Nodo Orig.\Dest.]],tblNodos[],2,FALSE)</f>
        <v>Actividad comercial y empresarial</v>
      </c>
      <c r="C6" s="4" t="s">
        <v>29</v>
      </c>
      <c r="D6" s="16">
        <f>IF(MatrizDeAdyacencia!D6=1, SUMIFS(tblRed[TRADE OFF VALOR OPERATIVO/COSTE], tblRed[Nodo Inicial], $C6, tblRed[Nodo Final], D$3, tblRed[Activo], 1), 0)</f>
        <v>0</v>
      </c>
      <c r="E6" s="16">
        <f>IF(MatrizDeAdyacencia!E6=1, SUMIFS(tblRed[TRADE OFF VALOR OPERATIVO/COSTE], tblRed[Nodo Inicial], $C6, tblRed[Nodo Final], E$3, tblRed[Activo], 1), 0)</f>
        <v>0</v>
      </c>
      <c r="F6" s="16">
        <f>IF(MatrizDeAdyacencia!F6=1, SUMIFS(tblRed[TRADE OFF VALOR OPERATIVO/COSTE], tblRed[Nodo Inicial], $C6, tblRed[Nodo Final], F$3, tblRed[Activo], 1), 0)</f>
        <v>0</v>
      </c>
      <c r="G6" s="16">
        <f>IF(MatrizDeAdyacencia!G6=1, SUMIFS(tblRed[TRADE OFF VALOR OPERATIVO/COSTE], tblRed[Nodo Inicial], $C6, tblRed[Nodo Final], G$3, tblRed[Activo], 1), 0)</f>
        <v>0</v>
      </c>
      <c r="H6" s="16">
        <f>IF(MatrizDeAdyacencia!H6=1, SUMIFS(tblRed[TRADE OFF VALOR OPERATIVO/COSTE], tblRed[Nodo Inicial], $C6, tblRed[Nodo Final], H$3, tblRed[Activo], 1), 0)</f>
        <v>0</v>
      </c>
      <c r="I6" s="16">
        <f>IF(MatrizDeAdyacencia!I6=1, SUMIFS(tblRed[TRADE OFF VALOR OPERATIVO/COSTE], tblRed[Nodo Inicial], $C6, tblRed[Nodo Final], I$3, tblRed[Activo], 1), 0)</f>
        <v>0</v>
      </c>
      <c r="J6" s="16">
        <f>IF(MatrizDeAdyacencia!J6=1, SUMIFS(tblRed[TRADE OFF VALOR OPERATIVO/COSTE], tblRed[Nodo Inicial], $C6, tblRed[Nodo Final], J$3, tblRed[Activo], 1), 0)</f>
        <v>0</v>
      </c>
      <c r="K6" s="16">
        <f>IF(MatrizDeAdyacencia!K6=1, SUMIFS(tblRed[TRADE OFF VALOR OPERATIVO/COSTE], tblRed[Nodo Inicial], $C6, tblRed[Nodo Final], K$3, tblRed[Activo], 1), 0)</f>
        <v>0</v>
      </c>
      <c r="L6" s="16">
        <f>IF(MatrizDeAdyacencia!L6=1, SUMIFS(tblRed[TRADE OFF VALOR OPERATIVO/COSTE], tblRed[Nodo Inicial], $C6, tblRed[Nodo Final], L$3, tblRed[Activo], 1), 0)</f>
        <v>0</v>
      </c>
      <c r="M6" s="16">
        <f>IF(MatrizDeAdyacencia!M6=1, SUMIFS(tblRed[TRADE OFF VALOR OPERATIVO/COSTE], tblRed[Nodo Inicial], $C6, tblRed[Nodo Final], M$3, tblRed[Activo], 1), 0)</f>
        <v>0</v>
      </c>
      <c r="N6" s="16">
        <f>IF(MatrizDeAdyacencia!N6=1, SUMIFS(tblRed[TRADE OFF VALOR OPERATIVO/COSTE], tblRed[Nodo Inicial], $C6, tblRed[Nodo Final], N$3, tblRed[Activo], 1), 0)</f>
        <v>0</v>
      </c>
      <c r="O6" s="16">
        <f>IF(MatrizDeAdyacencia!O6=1, SUMIFS(tblRed[TRADE OFF VALOR OPERATIVO/COSTE], tblRed[Nodo Inicial], $C6, tblRed[Nodo Final], O$3, tblRed[Activo], 1), 0)</f>
        <v>0</v>
      </c>
      <c r="P6" s="16">
        <f>IF(MatrizDeAdyacencia!P6=1, SUMIFS(tblRed[TRADE OFF VALOR OPERATIVO/COSTE], tblRed[Nodo Inicial], $C6, tblRed[Nodo Final], P$3, tblRed[Activo], 1), 0)</f>
        <v>1.7936507936507939</v>
      </c>
      <c r="Q6" s="16">
        <f>IF(MatrizDeAdyacencia!Q6=1, SUMIFS(tblRed[TRADE OFF VALOR OPERATIVO/COSTE], tblRed[Nodo Inicial], $C6, tblRed[Nodo Final], Q$3, tblRed[Activo], 1), 0)</f>
        <v>0</v>
      </c>
      <c r="R6" s="16">
        <f>IF(MatrizDeAdyacencia!R6=1, SUMIFS(tblRed[TRADE OFF VALOR OPERATIVO/COSTE], tblRed[Nodo Inicial], $C6, tblRed[Nodo Final], R$3, tblRed[Activo], 1), 0)</f>
        <v>0</v>
      </c>
      <c r="S6" s="16">
        <f>IF(MatrizDeAdyacencia!S6=1, SUMIFS(tblRed[TRADE OFF VALOR OPERATIVO/COSTE], tblRed[Nodo Inicial], $C6, tblRed[Nodo Final], S$3, tblRed[Activo], 1), 0)</f>
        <v>0</v>
      </c>
      <c r="T6" s="16">
        <f>IF(MatrizDeAdyacencia!T6=1, SUMIFS(tblRed[TRADE OFF VALOR OPERATIVO/COSTE], tblRed[Nodo Inicial], $C6, tblRed[Nodo Final], T$3, tblRed[Activo], 1), 0)</f>
        <v>0</v>
      </c>
      <c r="U6" s="16">
        <f>IF(MatrizDeAdyacencia!U6=1, SUMIFS(tblRed[TRADE OFF VALOR OPERATIVO/COSTE], tblRed[Nodo Inicial], $C6, tblRed[Nodo Final], U$3, tblRed[Activo], 1), 0)</f>
        <v>0</v>
      </c>
      <c r="V6" s="16">
        <f>IF(MatrizDeAdyacencia!V6=1, SUMIFS(tblRed[TRADE OFF VALOR OPERATIVO/COSTE], tblRed[Nodo Inicial], $C6, tblRed[Nodo Final], V$3, tblRed[Activo], 1), 0)</f>
        <v>0</v>
      </c>
      <c r="W6" s="16">
        <f>IF(MatrizDeAdyacencia!W6=1, SUMIFS(tblRed[TRADE OFF VALOR OPERATIVO/COSTE], tblRed[Nodo Inicial], $C6, tblRed[Nodo Final], W$3, tblRed[Activo], 1), 0)</f>
        <v>0</v>
      </c>
      <c r="X6" s="16">
        <f>IF(MatrizDeAdyacencia!X6=1, SUMIFS(tblRed[TRADE OFF VALOR OPERATIVO/COSTE], tblRed[Nodo Inicial], $C6, tblRed[Nodo Final], X$3, tblRed[Activo], 1), 0)</f>
        <v>0</v>
      </c>
      <c r="Y6" s="16">
        <f>IF(MatrizDeAdyacencia!Y6=1, SUMIFS(tblRed[TRADE OFF VALOR OPERATIVO/COSTE], tblRed[Nodo Inicial], $C6, tblRed[Nodo Final], Y$3, tblRed[Activo], 1), 0)</f>
        <v>0</v>
      </c>
      <c r="Z6" s="16">
        <f>IF(MatrizDeAdyacencia!Z6=1, SUMIFS(tblRed[TRADE OFF VALOR OPERATIVO/COSTE], tblRed[Nodo Inicial], $C6, tblRed[Nodo Final], Z$3, tblRed[Activo], 1), 0)</f>
        <v>0</v>
      </c>
      <c r="AA6" s="16">
        <f>IF(MatrizDeAdyacencia!AA6=1, SUMIFS(tblRed[TRADE OFF VALOR OPERATIVO/COSTE], tblRed[Nodo Inicial], $C6, tblRed[Nodo Final], AA$3, tblRed[Activo], 1), 0)</f>
        <v>0</v>
      </c>
      <c r="AB6" s="16">
        <f>IF(MatrizDeAdyacencia!AB6=1, SUMIFS(tblRed[TRADE OFF VALOR OPERATIVO/COSTE], tblRed[Nodo Inicial], $C6, tblRed[Nodo Final], AB$3, tblRed[Activo], 1), 0)</f>
        <v>0</v>
      </c>
      <c r="AC6" s="16">
        <f>IF(MatrizDeAdyacencia!AC6=1, SUMIFS(tblRed[TRADE OFF VALOR OPERATIVO/COSTE], tblRed[Nodo Inicial], $C6, tblRed[Nodo Final], AC$3, tblRed[Activo], 1), 0)</f>
        <v>0</v>
      </c>
      <c r="AD6" s="16">
        <f>IF(MatrizDeAdyacencia!AD6=1, SUMIFS(tblRed[TRADE OFF VALOR OPERATIVO/COSTE], tblRed[Nodo Inicial], $C6, tblRed[Nodo Final], AD$3, tblRed[Activo], 1), 0)</f>
        <v>0</v>
      </c>
      <c r="AE6" s="16">
        <f>IF(MatrizDeAdyacencia!AE6=1, SUMIFS(tblRed[TRADE OFF VALOR OPERATIVO/COSTE], tblRed[Nodo Inicial], $C6, tblRed[Nodo Final], AE$3, tblRed[Activo], 1), 0)</f>
        <v>0</v>
      </c>
      <c r="AF6" s="16">
        <f>IF(MatrizDeAdyacencia!AF6=1, SUMIFS(tblRed[TRADE OFF VALOR OPERATIVO/COSTE], tblRed[Nodo Inicial], $C6, tblRed[Nodo Final], AF$3, tblRed[Activo], 1), 0)</f>
        <v>0</v>
      </c>
      <c r="AG6" s="16">
        <f>IF(MatrizDeAdyacencia!AG6=1, SUMIFS(tblRed[TRADE OFF VALOR OPERATIVO/COSTE], tblRed[Nodo Inicial], $C6, tblRed[Nodo Final], AG$3, tblRed[Activo], 1), 0)</f>
        <v>0</v>
      </c>
      <c r="AH6" s="16">
        <f>IF(MatrizDeAdyacencia!AH6=1, SUMIFS(tblRed[TRADE OFF VALOR OPERATIVO/COSTE], tblRed[Nodo Inicial], $C6, tblRed[Nodo Final], AH$3, tblRed[Activo], 1), 0)</f>
        <v>0</v>
      </c>
    </row>
    <row r="7" spans="2:34" ht="19.5" customHeight="1" x14ac:dyDescent="0.25">
      <c r="B7" s="12" t="str">
        <f>VLOOKUP(tblMatrizTradeOff[[#This Row],[Nodo Orig.\Dest.]],tblNodos[],2,FALSE)</f>
        <v>Financiación mediante coerción y exacción</v>
      </c>
      <c r="C7" s="4" t="s">
        <v>31</v>
      </c>
      <c r="D7" s="16">
        <f>IF(MatrizDeAdyacencia!D7=1, SUMIFS(tblRed[TRADE OFF VALOR OPERATIVO/COSTE], tblRed[Nodo Inicial], $C7, tblRed[Nodo Final], D$3, tblRed[Activo], 1), 0)</f>
        <v>0</v>
      </c>
      <c r="E7" s="16">
        <f>IF(MatrizDeAdyacencia!E7=1, SUMIFS(tblRed[TRADE OFF VALOR OPERATIVO/COSTE], tblRed[Nodo Inicial], $C7, tblRed[Nodo Final], E$3, tblRed[Activo], 1), 0)</f>
        <v>0</v>
      </c>
      <c r="F7" s="16">
        <f>IF(MatrizDeAdyacencia!F7=1, SUMIFS(tblRed[TRADE OFF VALOR OPERATIVO/COSTE], tblRed[Nodo Inicial], $C7, tblRed[Nodo Final], F$3, tblRed[Activo], 1), 0)</f>
        <v>0</v>
      </c>
      <c r="G7" s="16">
        <f>IF(MatrizDeAdyacencia!G7=1, SUMIFS(tblRed[TRADE OFF VALOR OPERATIVO/COSTE], tblRed[Nodo Inicial], $C7, tblRed[Nodo Final], G$3, tblRed[Activo], 1), 0)</f>
        <v>0</v>
      </c>
      <c r="H7" s="16">
        <f>IF(MatrizDeAdyacencia!H7=1, SUMIFS(tblRed[TRADE OFF VALOR OPERATIVO/COSTE], tblRed[Nodo Inicial], $C7, tblRed[Nodo Final], H$3, tblRed[Activo], 1), 0)</f>
        <v>0</v>
      </c>
      <c r="I7" s="16">
        <f>IF(MatrizDeAdyacencia!I7=1, SUMIFS(tblRed[TRADE OFF VALOR OPERATIVO/COSTE], tblRed[Nodo Inicial], $C7, tblRed[Nodo Final], I$3, tblRed[Activo], 1), 0)</f>
        <v>0</v>
      </c>
      <c r="J7" s="16">
        <f>IF(MatrizDeAdyacencia!J7=1, SUMIFS(tblRed[TRADE OFF VALOR OPERATIVO/COSTE], tblRed[Nodo Inicial], $C7, tblRed[Nodo Final], J$3, tblRed[Activo], 1), 0)</f>
        <v>0</v>
      </c>
      <c r="K7" s="16">
        <f>IF(MatrizDeAdyacencia!K7=1, SUMIFS(tblRed[TRADE OFF VALOR OPERATIVO/COSTE], tblRed[Nodo Inicial], $C7, tblRed[Nodo Final], K$3, tblRed[Activo], 1), 0)</f>
        <v>0</v>
      </c>
      <c r="L7" s="16">
        <f>IF(MatrizDeAdyacencia!L7=1, SUMIFS(tblRed[TRADE OFF VALOR OPERATIVO/COSTE], tblRed[Nodo Inicial], $C7, tblRed[Nodo Final], L$3, tblRed[Activo], 1), 0)</f>
        <v>1.6461538461538461</v>
      </c>
      <c r="M7" s="16">
        <f>IF(MatrizDeAdyacencia!M7=1, SUMIFS(tblRed[TRADE OFF VALOR OPERATIVO/COSTE], tblRed[Nodo Inicial], $C7, tblRed[Nodo Final], M$3, tblRed[Activo], 1), 0)</f>
        <v>0</v>
      </c>
      <c r="N7" s="16">
        <f>IF(MatrizDeAdyacencia!N7=1, SUMIFS(tblRed[TRADE OFF VALOR OPERATIVO/COSTE], tblRed[Nodo Inicial], $C7, tblRed[Nodo Final], N$3, tblRed[Activo], 1), 0)</f>
        <v>0</v>
      </c>
      <c r="O7" s="16">
        <f>IF(MatrizDeAdyacencia!O7=1, SUMIFS(tblRed[TRADE OFF VALOR OPERATIVO/COSTE], tblRed[Nodo Inicial], $C7, tblRed[Nodo Final], O$3, tblRed[Activo], 1), 0)</f>
        <v>0</v>
      </c>
      <c r="P7" s="16">
        <f>IF(MatrizDeAdyacencia!P7=1, SUMIFS(tblRed[TRADE OFF VALOR OPERATIVO/COSTE], tblRed[Nodo Inicial], $C7, tblRed[Nodo Final], P$3, tblRed[Activo], 1), 0)</f>
        <v>0</v>
      </c>
      <c r="Q7" s="16">
        <f>IF(MatrizDeAdyacencia!Q7=1, SUMIFS(tblRed[TRADE OFF VALOR OPERATIVO/COSTE], tblRed[Nodo Inicial], $C7, tblRed[Nodo Final], Q$3, tblRed[Activo], 1), 0)</f>
        <v>0</v>
      </c>
      <c r="R7" s="16">
        <f>IF(MatrizDeAdyacencia!R7=1, SUMIFS(tblRed[TRADE OFF VALOR OPERATIVO/COSTE], tblRed[Nodo Inicial], $C7, tblRed[Nodo Final], R$3, tblRed[Activo], 1), 0)</f>
        <v>0</v>
      </c>
      <c r="S7" s="16">
        <f>IF(MatrizDeAdyacencia!S7=1, SUMIFS(tblRed[TRADE OFF VALOR OPERATIVO/COSTE], tblRed[Nodo Inicial], $C7, tblRed[Nodo Final], S$3, tblRed[Activo], 1), 0)</f>
        <v>0</v>
      </c>
      <c r="T7" s="16">
        <f>IF(MatrizDeAdyacencia!T7=1, SUMIFS(tblRed[TRADE OFF VALOR OPERATIVO/COSTE], tblRed[Nodo Inicial], $C7, tblRed[Nodo Final], T$3, tblRed[Activo], 1), 0)</f>
        <v>0</v>
      </c>
      <c r="U7" s="16">
        <f>IF(MatrizDeAdyacencia!U7=1, SUMIFS(tblRed[TRADE OFF VALOR OPERATIVO/COSTE], tblRed[Nodo Inicial], $C7, tblRed[Nodo Final], U$3, tblRed[Activo], 1), 0)</f>
        <v>0</v>
      </c>
      <c r="V7" s="16">
        <f>IF(MatrizDeAdyacencia!V7=1, SUMIFS(tblRed[TRADE OFF VALOR OPERATIVO/COSTE], tblRed[Nodo Inicial], $C7, tblRed[Nodo Final], V$3, tblRed[Activo], 1), 0)</f>
        <v>0</v>
      </c>
      <c r="W7" s="16">
        <f>IF(MatrizDeAdyacencia!W7=1, SUMIFS(tblRed[TRADE OFF VALOR OPERATIVO/COSTE], tblRed[Nodo Inicial], $C7, tblRed[Nodo Final], W$3, tblRed[Activo], 1), 0)</f>
        <v>0</v>
      </c>
      <c r="X7" s="16">
        <f>IF(MatrizDeAdyacencia!X7=1, SUMIFS(tblRed[TRADE OFF VALOR OPERATIVO/COSTE], tblRed[Nodo Inicial], $C7, tblRed[Nodo Final], X$3, tblRed[Activo], 1), 0)</f>
        <v>0</v>
      </c>
      <c r="Y7" s="16">
        <f>IF(MatrizDeAdyacencia!Y7=1, SUMIFS(tblRed[TRADE OFF VALOR OPERATIVO/COSTE], tblRed[Nodo Inicial], $C7, tblRed[Nodo Final], Y$3, tblRed[Activo], 1), 0)</f>
        <v>0</v>
      </c>
      <c r="Z7" s="16">
        <f>IF(MatrizDeAdyacencia!Z7=1, SUMIFS(tblRed[TRADE OFF VALOR OPERATIVO/COSTE], tblRed[Nodo Inicial], $C7, tblRed[Nodo Final], Z$3, tblRed[Activo], 1), 0)</f>
        <v>0</v>
      </c>
      <c r="AA7" s="16">
        <f>IF(MatrizDeAdyacencia!AA7=1, SUMIFS(tblRed[TRADE OFF VALOR OPERATIVO/COSTE], tblRed[Nodo Inicial], $C7, tblRed[Nodo Final], AA$3, tblRed[Activo], 1), 0)</f>
        <v>0</v>
      </c>
      <c r="AB7" s="16">
        <f>IF(MatrizDeAdyacencia!AB7=1, SUMIFS(tblRed[TRADE OFF VALOR OPERATIVO/COSTE], tblRed[Nodo Inicial], $C7, tblRed[Nodo Final], AB$3, tblRed[Activo], 1), 0)</f>
        <v>0</v>
      </c>
      <c r="AC7" s="16">
        <f>IF(MatrizDeAdyacencia!AC7=1, SUMIFS(tblRed[TRADE OFF VALOR OPERATIVO/COSTE], tblRed[Nodo Inicial], $C7, tblRed[Nodo Final], AC$3, tblRed[Activo], 1), 0)</f>
        <v>0</v>
      </c>
      <c r="AD7" s="16">
        <f>IF(MatrizDeAdyacencia!AD7=1, SUMIFS(tblRed[TRADE OFF VALOR OPERATIVO/COSTE], tblRed[Nodo Inicial], $C7, tblRed[Nodo Final], AD$3, tblRed[Activo], 1), 0)</f>
        <v>0</v>
      </c>
      <c r="AE7" s="16">
        <f>IF(MatrizDeAdyacencia!AE7=1, SUMIFS(tblRed[TRADE OFF VALOR OPERATIVO/COSTE], tblRed[Nodo Inicial], $C7, tblRed[Nodo Final], AE$3, tblRed[Activo], 1), 0)</f>
        <v>0</v>
      </c>
      <c r="AF7" s="16">
        <f>IF(MatrizDeAdyacencia!AF7=1, SUMIFS(tblRed[TRADE OFF VALOR OPERATIVO/COSTE], tblRed[Nodo Inicial], $C7, tblRed[Nodo Final], AF$3, tblRed[Activo], 1), 0)</f>
        <v>0</v>
      </c>
      <c r="AG7" s="16">
        <f>IF(MatrizDeAdyacencia!AG7=1, SUMIFS(tblRed[TRADE OFF VALOR OPERATIVO/COSTE], tblRed[Nodo Inicial], $C7, tblRed[Nodo Final], AG$3, tblRed[Activo], 1), 0)</f>
        <v>0</v>
      </c>
      <c r="AH7" s="16">
        <f>IF(MatrizDeAdyacencia!AH7=1, SUMIFS(tblRed[TRADE OFF VALOR OPERATIVO/COSTE], tblRed[Nodo Inicial], $C7, tblRed[Nodo Final], AH$3, tblRed[Activo], 1), 0)</f>
        <v>0</v>
      </c>
    </row>
    <row r="8" spans="2:34" ht="19.5" customHeight="1" x14ac:dyDescent="0.25">
      <c r="B8" s="12" t="str">
        <f>VLOOKUP(tblMatrizTradeOff[[#This Row],[Nodo Orig.\Dest.]],tblNodos[],2,FALSE)</f>
        <v>Explotación de personas y movilidad forzada</v>
      </c>
      <c r="C8" s="4" t="s">
        <v>33</v>
      </c>
      <c r="D8" s="16">
        <f>IF(MatrizDeAdyacencia!D8=1, SUMIFS(tblRed[TRADE OFF VALOR OPERATIVO/COSTE], tblRed[Nodo Inicial], $C8, tblRed[Nodo Final], D$3, tblRed[Activo], 1), 0)</f>
        <v>0</v>
      </c>
      <c r="E8" s="16">
        <f>IF(MatrizDeAdyacencia!E8=1, SUMIFS(tblRed[TRADE OFF VALOR OPERATIVO/COSTE], tblRed[Nodo Inicial], $C8, tblRed[Nodo Final], E$3, tblRed[Activo], 1), 0)</f>
        <v>0</v>
      </c>
      <c r="F8" s="16">
        <f>IF(MatrizDeAdyacencia!F8=1, SUMIFS(tblRed[TRADE OFF VALOR OPERATIVO/COSTE], tblRed[Nodo Inicial], $C8, tblRed[Nodo Final], F$3, tblRed[Activo], 1), 0)</f>
        <v>0</v>
      </c>
      <c r="G8" s="16">
        <f>IF(MatrizDeAdyacencia!G8=1, SUMIFS(tblRed[TRADE OFF VALOR OPERATIVO/COSTE], tblRed[Nodo Inicial], $C8, tblRed[Nodo Final], G$3, tblRed[Activo], 1), 0)</f>
        <v>0</v>
      </c>
      <c r="H8" s="16">
        <f>IF(MatrizDeAdyacencia!H8=1, SUMIFS(tblRed[TRADE OFF VALOR OPERATIVO/COSTE], tblRed[Nodo Inicial], $C8, tblRed[Nodo Final], H$3, tblRed[Activo], 1), 0)</f>
        <v>0</v>
      </c>
      <c r="I8" s="16">
        <f>IF(MatrizDeAdyacencia!I8=1, SUMIFS(tblRed[TRADE OFF VALOR OPERATIVO/COSTE], tblRed[Nodo Inicial], $C8, tblRed[Nodo Final], I$3, tblRed[Activo], 1), 0)</f>
        <v>0</v>
      </c>
      <c r="J8" s="16">
        <f>IF(MatrizDeAdyacencia!J8=1, SUMIFS(tblRed[TRADE OFF VALOR OPERATIVO/COSTE], tblRed[Nodo Inicial], $C8, tblRed[Nodo Final], J$3, tblRed[Activo], 1), 0)</f>
        <v>0</v>
      </c>
      <c r="K8" s="16">
        <f>IF(MatrizDeAdyacencia!K8=1, SUMIFS(tblRed[TRADE OFF VALOR OPERATIVO/COSTE], tblRed[Nodo Inicial], $C8, tblRed[Nodo Final], K$3, tblRed[Activo], 1), 0)</f>
        <v>0</v>
      </c>
      <c r="L8" s="16">
        <f>IF(MatrizDeAdyacencia!L8=1, SUMIFS(tblRed[TRADE OFF VALOR OPERATIVO/COSTE], tblRed[Nodo Inicial], $C8, tblRed[Nodo Final], L$3, tblRed[Activo], 1), 0)</f>
        <v>2.0952380952380953</v>
      </c>
      <c r="M8" s="16">
        <f>IF(MatrizDeAdyacencia!M8=1, SUMIFS(tblRed[TRADE OFF VALOR OPERATIVO/COSTE], tblRed[Nodo Inicial], $C8, tblRed[Nodo Final], M$3, tblRed[Activo], 1), 0)</f>
        <v>0</v>
      </c>
      <c r="N8" s="16">
        <f>IF(MatrizDeAdyacencia!N8=1, SUMIFS(tblRed[TRADE OFF VALOR OPERATIVO/COSTE], tblRed[Nodo Inicial], $C8, tblRed[Nodo Final], N$3, tblRed[Activo], 1), 0)</f>
        <v>0</v>
      </c>
      <c r="O8" s="16">
        <f>IF(MatrizDeAdyacencia!O8=1, SUMIFS(tblRed[TRADE OFF VALOR OPERATIVO/COSTE], tblRed[Nodo Inicial], $C8, tblRed[Nodo Final], O$3, tblRed[Activo], 1), 0)</f>
        <v>0</v>
      </c>
      <c r="P8" s="16">
        <f>IF(MatrizDeAdyacencia!P8=1, SUMIFS(tblRed[TRADE OFF VALOR OPERATIVO/COSTE], tblRed[Nodo Inicial], $C8, tblRed[Nodo Final], P$3, tblRed[Activo], 1), 0)</f>
        <v>0</v>
      </c>
      <c r="Q8" s="16">
        <f>IF(MatrizDeAdyacencia!Q8=1, SUMIFS(tblRed[TRADE OFF VALOR OPERATIVO/COSTE], tblRed[Nodo Inicial], $C8, tblRed[Nodo Final], Q$3, tblRed[Activo], 1), 0)</f>
        <v>0</v>
      </c>
      <c r="R8" s="16">
        <f>IF(MatrizDeAdyacencia!R8=1, SUMIFS(tblRed[TRADE OFF VALOR OPERATIVO/COSTE], tblRed[Nodo Inicial], $C8, tblRed[Nodo Final], R$3, tblRed[Activo], 1), 0)</f>
        <v>0</v>
      </c>
      <c r="S8" s="16">
        <f>IF(MatrizDeAdyacencia!S8=1, SUMIFS(tblRed[TRADE OFF VALOR OPERATIVO/COSTE], tblRed[Nodo Inicial], $C8, tblRed[Nodo Final], S$3, tblRed[Activo], 1), 0)</f>
        <v>0</v>
      </c>
      <c r="T8" s="16">
        <f>IF(MatrizDeAdyacencia!T8=1, SUMIFS(tblRed[TRADE OFF VALOR OPERATIVO/COSTE], tblRed[Nodo Inicial], $C8, tblRed[Nodo Final], T$3, tblRed[Activo], 1), 0)</f>
        <v>0</v>
      </c>
      <c r="U8" s="16">
        <f>IF(MatrizDeAdyacencia!U8=1, SUMIFS(tblRed[TRADE OFF VALOR OPERATIVO/COSTE], tblRed[Nodo Inicial], $C8, tblRed[Nodo Final], U$3, tblRed[Activo], 1), 0)</f>
        <v>0</v>
      </c>
      <c r="V8" s="16">
        <f>IF(MatrizDeAdyacencia!V8=1, SUMIFS(tblRed[TRADE OFF VALOR OPERATIVO/COSTE], tblRed[Nodo Inicial], $C8, tblRed[Nodo Final], V$3, tblRed[Activo], 1), 0)</f>
        <v>0</v>
      </c>
      <c r="W8" s="16">
        <f>IF(MatrizDeAdyacencia!W8=1, SUMIFS(tblRed[TRADE OFF VALOR OPERATIVO/COSTE], tblRed[Nodo Inicial], $C8, tblRed[Nodo Final], W$3, tblRed[Activo], 1), 0)</f>
        <v>0</v>
      </c>
      <c r="X8" s="16">
        <f>IF(MatrizDeAdyacencia!X8=1, SUMIFS(tblRed[TRADE OFF VALOR OPERATIVO/COSTE], tblRed[Nodo Inicial], $C8, tblRed[Nodo Final], X$3, tblRed[Activo], 1), 0)</f>
        <v>0</v>
      </c>
      <c r="Y8" s="16">
        <f>IF(MatrizDeAdyacencia!Y8=1, SUMIFS(tblRed[TRADE OFF VALOR OPERATIVO/COSTE], tblRed[Nodo Inicial], $C8, tblRed[Nodo Final], Y$3, tblRed[Activo], 1), 0)</f>
        <v>0</v>
      </c>
      <c r="Z8" s="16">
        <f>IF(MatrizDeAdyacencia!Z8=1, SUMIFS(tblRed[TRADE OFF VALOR OPERATIVO/COSTE], tblRed[Nodo Inicial], $C8, tblRed[Nodo Final], Z$3, tblRed[Activo], 1), 0)</f>
        <v>0</v>
      </c>
      <c r="AA8" s="16">
        <f>IF(MatrizDeAdyacencia!AA8=1, SUMIFS(tblRed[TRADE OFF VALOR OPERATIVO/COSTE], tblRed[Nodo Inicial], $C8, tblRed[Nodo Final], AA$3, tblRed[Activo], 1), 0)</f>
        <v>0</v>
      </c>
      <c r="AB8" s="16">
        <f>IF(MatrizDeAdyacencia!AB8=1, SUMIFS(tblRed[TRADE OFF VALOR OPERATIVO/COSTE], tblRed[Nodo Inicial], $C8, tblRed[Nodo Final], AB$3, tblRed[Activo], 1), 0)</f>
        <v>0</v>
      </c>
      <c r="AC8" s="16">
        <f>IF(MatrizDeAdyacencia!AC8=1, SUMIFS(tblRed[TRADE OFF VALOR OPERATIVO/COSTE], tblRed[Nodo Inicial], $C8, tblRed[Nodo Final], AC$3, tblRed[Activo], 1), 0)</f>
        <v>4</v>
      </c>
      <c r="AD8" s="16">
        <f>IF(MatrizDeAdyacencia!AD8=1, SUMIFS(tblRed[TRADE OFF VALOR OPERATIVO/COSTE], tblRed[Nodo Inicial], $C8, tblRed[Nodo Final], AD$3, tblRed[Activo], 1), 0)</f>
        <v>0</v>
      </c>
      <c r="AE8" s="16">
        <f>IF(MatrizDeAdyacencia!AE8=1, SUMIFS(tblRed[TRADE OFF VALOR OPERATIVO/COSTE], tblRed[Nodo Inicial], $C8, tblRed[Nodo Final], AE$3, tblRed[Activo], 1), 0)</f>
        <v>0</v>
      </c>
      <c r="AF8" s="16">
        <f>IF(MatrizDeAdyacencia!AF8=1, SUMIFS(tblRed[TRADE OFF VALOR OPERATIVO/COSTE], tblRed[Nodo Inicial], $C8, tblRed[Nodo Final], AF$3, tblRed[Activo], 1), 0)</f>
        <v>0</v>
      </c>
      <c r="AG8" s="16">
        <f>IF(MatrizDeAdyacencia!AG8=1, SUMIFS(tblRed[TRADE OFF VALOR OPERATIVO/COSTE], tblRed[Nodo Inicial], $C8, tblRed[Nodo Final], AG$3, tblRed[Activo], 1), 0)</f>
        <v>0</v>
      </c>
      <c r="AH8" s="16">
        <f>IF(MatrizDeAdyacencia!AH8=1, SUMIFS(tblRed[TRADE OFF VALOR OPERATIVO/COSTE], tblRed[Nodo Inicial], $C8, tblRed[Nodo Final], AH$3, tblRed[Activo], 1), 0)</f>
        <v>0</v>
      </c>
    </row>
    <row r="9" spans="2:34" ht="19.5" customHeight="1" x14ac:dyDescent="0.25">
      <c r="B9" s="12" t="str">
        <f>VLOOKUP(tblMatrizTradeOff[[#This Row],[Nodo Orig.\Dest.]],tblNodos[],2,FALSE)</f>
        <v>Actividades criminales y mercados ilícitos</v>
      </c>
      <c r="C9" s="4" t="s">
        <v>35</v>
      </c>
      <c r="D9" s="16">
        <f>IF(MatrizDeAdyacencia!D9=1, SUMIFS(tblRed[TRADE OFF VALOR OPERATIVO/COSTE], tblRed[Nodo Inicial], $C9, tblRed[Nodo Final], D$3, tblRed[Activo], 1), 0)</f>
        <v>0</v>
      </c>
      <c r="E9" s="16">
        <f>IF(MatrizDeAdyacencia!E9=1, SUMIFS(tblRed[TRADE OFF VALOR OPERATIVO/COSTE], tblRed[Nodo Inicial], $C9, tblRed[Nodo Final], E$3, tblRed[Activo], 1), 0)</f>
        <v>0</v>
      </c>
      <c r="F9" s="16">
        <f>IF(MatrizDeAdyacencia!F9=1, SUMIFS(tblRed[TRADE OFF VALOR OPERATIVO/COSTE], tblRed[Nodo Inicial], $C9, tblRed[Nodo Final], F$3, tblRed[Activo], 1), 0)</f>
        <v>0</v>
      </c>
      <c r="G9" s="16">
        <f>IF(MatrizDeAdyacencia!G9=1, SUMIFS(tblRed[TRADE OFF VALOR OPERATIVO/COSTE], tblRed[Nodo Inicial], $C9, tblRed[Nodo Final], G$3, tblRed[Activo], 1), 0)</f>
        <v>0</v>
      </c>
      <c r="H9" s="16">
        <f>IF(MatrizDeAdyacencia!H9=1, SUMIFS(tblRed[TRADE OFF VALOR OPERATIVO/COSTE], tblRed[Nodo Inicial], $C9, tblRed[Nodo Final], H$3, tblRed[Activo], 1), 0)</f>
        <v>0</v>
      </c>
      <c r="I9" s="16">
        <f>IF(MatrizDeAdyacencia!I9=1, SUMIFS(tblRed[TRADE OFF VALOR OPERATIVO/COSTE], tblRed[Nodo Inicial], $C9, tblRed[Nodo Final], I$3, tblRed[Activo], 1), 0)</f>
        <v>0</v>
      </c>
      <c r="J9" s="16">
        <f>IF(MatrizDeAdyacencia!J9=1, SUMIFS(tblRed[TRADE OFF VALOR OPERATIVO/COSTE], tblRed[Nodo Inicial], $C9, tblRed[Nodo Final], J$3, tblRed[Activo], 1), 0)</f>
        <v>0</v>
      </c>
      <c r="K9" s="16">
        <f>IF(MatrizDeAdyacencia!K9=1, SUMIFS(tblRed[TRADE OFF VALOR OPERATIVO/COSTE], tblRed[Nodo Inicial], $C9, tblRed[Nodo Final], K$3, tblRed[Activo], 1), 0)</f>
        <v>0</v>
      </c>
      <c r="L9" s="16">
        <f>IF(MatrizDeAdyacencia!L9=1, SUMIFS(tblRed[TRADE OFF VALOR OPERATIVO/COSTE], tblRed[Nodo Inicial], $C9, tblRed[Nodo Final], L$3, tblRed[Activo], 1), 0)</f>
        <v>0</v>
      </c>
      <c r="M9" s="16">
        <f>IF(MatrizDeAdyacencia!M9=1, SUMIFS(tblRed[TRADE OFF VALOR OPERATIVO/COSTE], tblRed[Nodo Inicial], $C9, tblRed[Nodo Final], M$3, tblRed[Activo], 1), 0)</f>
        <v>0</v>
      </c>
      <c r="N9" s="16">
        <f>IF(MatrizDeAdyacencia!N9=1, SUMIFS(tblRed[TRADE OFF VALOR OPERATIVO/COSTE], tblRed[Nodo Inicial], $C9, tblRed[Nodo Final], N$3, tblRed[Activo], 1), 0)</f>
        <v>0</v>
      </c>
      <c r="O9" s="16">
        <f>IF(MatrizDeAdyacencia!O9=1, SUMIFS(tblRed[TRADE OFF VALOR OPERATIVO/COSTE], tblRed[Nodo Inicial], $C9, tblRed[Nodo Final], O$3, tblRed[Activo], 1), 0)</f>
        <v>0</v>
      </c>
      <c r="P9" s="16">
        <f>IF(MatrizDeAdyacencia!P9=1, SUMIFS(tblRed[TRADE OFF VALOR OPERATIVO/COSTE], tblRed[Nodo Inicial], $C9, tblRed[Nodo Final], P$3, tblRed[Activo], 1), 0)</f>
        <v>0</v>
      </c>
      <c r="Q9" s="16">
        <f>IF(MatrizDeAdyacencia!Q9=1, SUMIFS(tblRed[TRADE OFF VALOR OPERATIVO/COSTE], tblRed[Nodo Inicial], $C9, tblRed[Nodo Final], Q$3, tblRed[Activo], 1), 0)</f>
        <v>0</v>
      </c>
      <c r="R9" s="16">
        <f>IF(MatrizDeAdyacencia!R9=1, SUMIFS(tblRed[TRADE OFF VALOR OPERATIVO/COSTE], tblRed[Nodo Inicial], $C9, tblRed[Nodo Final], R$3, tblRed[Activo], 1), 0)</f>
        <v>0</v>
      </c>
      <c r="S9" s="16">
        <f>IF(MatrizDeAdyacencia!S9=1, SUMIFS(tblRed[TRADE OFF VALOR OPERATIVO/COSTE], tblRed[Nodo Inicial], $C9, tblRed[Nodo Final], S$3, tblRed[Activo], 1), 0)</f>
        <v>0</v>
      </c>
      <c r="T9" s="16">
        <f>IF(MatrizDeAdyacencia!T9=1, SUMIFS(tblRed[TRADE OFF VALOR OPERATIVO/COSTE], tblRed[Nodo Inicial], $C9, tblRed[Nodo Final], T$3, tblRed[Activo], 1), 0)</f>
        <v>0</v>
      </c>
      <c r="U9" s="16">
        <f>IF(MatrizDeAdyacencia!U9=1, SUMIFS(tblRed[TRADE OFF VALOR OPERATIVO/COSTE], tblRed[Nodo Inicial], $C9, tblRed[Nodo Final], U$3, tblRed[Activo], 1), 0)</f>
        <v>0</v>
      </c>
      <c r="V9" s="16">
        <f>IF(MatrizDeAdyacencia!V9=1, SUMIFS(tblRed[TRADE OFF VALOR OPERATIVO/COSTE], tblRed[Nodo Inicial], $C9, tblRed[Nodo Final], V$3, tblRed[Activo], 1), 0)</f>
        <v>0</v>
      </c>
      <c r="W9" s="16">
        <f>IF(MatrizDeAdyacencia!W9=1, SUMIFS(tblRed[TRADE OFF VALOR OPERATIVO/COSTE], tblRed[Nodo Inicial], $C9, tblRed[Nodo Final], W$3, tblRed[Activo], 1), 0)</f>
        <v>0</v>
      </c>
      <c r="X9" s="16">
        <f>IF(MatrizDeAdyacencia!X9=1, SUMIFS(tblRed[TRADE OFF VALOR OPERATIVO/COSTE], tblRed[Nodo Inicial], $C9, tblRed[Nodo Final], X$3, tblRed[Activo], 1), 0)</f>
        <v>0</v>
      </c>
      <c r="Y9" s="16">
        <f>IF(MatrizDeAdyacencia!Y9=1, SUMIFS(tblRed[TRADE OFF VALOR OPERATIVO/COSTE], tblRed[Nodo Inicial], $C9, tblRed[Nodo Final], Y$3, tblRed[Activo], 1), 0)</f>
        <v>0</v>
      </c>
      <c r="Z9" s="16">
        <f>IF(MatrizDeAdyacencia!Z9=1, SUMIFS(tblRed[TRADE OFF VALOR OPERATIVO/COSTE], tblRed[Nodo Inicial], $C9, tblRed[Nodo Final], Z$3, tblRed[Activo], 1), 0)</f>
        <v>3.606060606060606</v>
      </c>
      <c r="AA9" s="16">
        <f>IF(MatrizDeAdyacencia!AA9=1, SUMIFS(tblRed[TRADE OFF VALOR OPERATIVO/COSTE], tblRed[Nodo Inicial], $C9, tblRed[Nodo Final], AA$3, tblRed[Activo], 1), 0)</f>
        <v>0</v>
      </c>
      <c r="AB9" s="16">
        <f>IF(MatrizDeAdyacencia!AB9=1, SUMIFS(tblRed[TRADE OFF VALOR OPERATIVO/COSTE], tblRed[Nodo Inicial], $C9, tblRed[Nodo Final], AB$3, tblRed[Activo], 1), 0)</f>
        <v>0</v>
      </c>
      <c r="AC9" s="16">
        <f>IF(MatrizDeAdyacencia!AC9=1, SUMIFS(tblRed[TRADE OFF VALOR OPERATIVO/COSTE], tblRed[Nodo Inicial], $C9, tblRed[Nodo Final], AC$3, tblRed[Activo], 1), 0)</f>
        <v>0</v>
      </c>
      <c r="AD9" s="16">
        <f>IF(MatrizDeAdyacencia!AD9=1, SUMIFS(tblRed[TRADE OFF VALOR OPERATIVO/COSTE], tblRed[Nodo Inicial], $C9, tblRed[Nodo Final], AD$3, tblRed[Activo], 1), 0)</f>
        <v>0</v>
      </c>
      <c r="AE9" s="16">
        <f>IF(MatrizDeAdyacencia!AE9=1, SUMIFS(tblRed[TRADE OFF VALOR OPERATIVO/COSTE], tblRed[Nodo Inicial], $C9, tblRed[Nodo Final], AE$3, tblRed[Activo], 1), 0)</f>
        <v>0</v>
      </c>
      <c r="AF9" s="16">
        <f>IF(MatrizDeAdyacencia!AF9=1, SUMIFS(tblRed[TRADE OFF VALOR OPERATIVO/COSTE], tblRed[Nodo Inicial], $C9, tblRed[Nodo Final], AF$3, tblRed[Activo], 1), 0)</f>
        <v>0</v>
      </c>
      <c r="AG9" s="16">
        <f>IF(MatrizDeAdyacencia!AG9=1, SUMIFS(tblRed[TRADE OFF VALOR OPERATIVO/COSTE], tblRed[Nodo Inicial], $C9, tblRed[Nodo Final], AG$3, tblRed[Activo], 1), 0)</f>
        <v>0</v>
      </c>
      <c r="AH9" s="16">
        <f>IF(MatrizDeAdyacencia!AH9=1, SUMIFS(tblRed[TRADE OFF VALOR OPERATIVO/COSTE], tblRed[Nodo Inicial], $C9, tblRed[Nodo Final], AH$3, tblRed[Activo], 1), 0)</f>
        <v>0</v>
      </c>
    </row>
    <row r="10" spans="2:34" ht="19.5" customHeight="1" x14ac:dyDescent="0.25">
      <c r="B10" s="12" t="str">
        <f>VLOOKUP(tblMatrizTradeOff[[#This Row],[Nodo Orig.\Dest.]],tblNodos[],2,FALSE)</f>
        <v>Explotación de recursos naturales</v>
      </c>
      <c r="C10" s="4" t="s">
        <v>37</v>
      </c>
      <c r="D10" s="16">
        <f>IF(MatrizDeAdyacencia!D10=1, SUMIFS(tblRed[TRADE OFF VALOR OPERATIVO/COSTE], tblRed[Nodo Inicial], $C10, tblRed[Nodo Final], D$3, tblRed[Activo], 1), 0)</f>
        <v>0</v>
      </c>
      <c r="E10" s="16">
        <f>IF(MatrizDeAdyacencia!E10=1, SUMIFS(tblRed[TRADE OFF VALOR OPERATIVO/COSTE], tblRed[Nodo Inicial], $C10, tblRed[Nodo Final], E$3, tblRed[Activo], 1), 0)</f>
        <v>0</v>
      </c>
      <c r="F10" s="16">
        <f>IF(MatrizDeAdyacencia!F10=1, SUMIFS(tblRed[TRADE OFF VALOR OPERATIVO/COSTE], tblRed[Nodo Inicial], $C10, tblRed[Nodo Final], F$3, tblRed[Activo], 1), 0)</f>
        <v>0</v>
      </c>
      <c r="G10" s="16">
        <f>IF(MatrizDeAdyacencia!G10=1, SUMIFS(tblRed[TRADE OFF VALOR OPERATIVO/COSTE], tblRed[Nodo Inicial], $C10, tblRed[Nodo Final], G$3, tblRed[Activo], 1), 0)</f>
        <v>0</v>
      </c>
      <c r="H10" s="16">
        <f>IF(MatrizDeAdyacencia!H10=1, SUMIFS(tblRed[TRADE OFF VALOR OPERATIVO/COSTE], tblRed[Nodo Inicial], $C10, tblRed[Nodo Final], H$3, tblRed[Activo], 1), 0)</f>
        <v>0</v>
      </c>
      <c r="I10" s="16">
        <f>IF(MatrizDeAdyacencia!I10=1, SUMIFS(tblRed[TRADE OFF VALOR OPERATIVO/COSTE], tblRed[Nodo Inicial], $C10, tblRed[Nodo Final], I$3, tblRed[Activo], 1), 0)</f>
        <v>0</v>
      </c>
      <c r="J10" s="16">
        <f>IF(MatrizDeAdyacencia!J10=1, SUMIFS(tblRed[TRADE OFF VALOR OPERATIVO/COSTE], tblRed[Nodo Inicial], $C10, tblRed[Nodo Final], J$3, tblRed[Activo], 1), 0)</f>
        <v>0</v>
      </c>
      <c r="K10" s="16">
        <f>IF(MatrizDeAdyacencia!K10=1, SUMIFS(tblRed[TRADE OFF VALOR OPERATIVO/COSTE], tblRed[Nodo Inicial], $C10, tblRed[Nodo Final], K$3, tblRed[Activo], 1), 0)</f>
        <v>0</v>
      </c>
      <c r="L10" s="16">
        <f>IF(MatrizDeAdyacencia!L10=1, SUMIFS(tblRed[TRADE OFF VALOR OPERATIVO/COSTE], tblRed[Nodo Inicial], $C10, tblRed[Nodo Final], L$3, tblRed[Activo], 1), 0)</f>
        <v>1.4</v>
      </c>
      <c r="M10" s="16">
        <f>IF(MatrizDeAdyacencia!M10=1, SUMIFS(tblRed[TRADE OFF VALOR OPERATIVO/COSTE], tblRed[Nodo Inicial], $C10, tblRed[Nodo Final], M$3, tblRed[Activo], 1), 0)</f>
        <v>0</v>
      </c>
      <c r="N10" s="16">
        <f>IF(MatrizDeAdyacencia!N10=1, SUMIFS(tblRed[TRADE OFF VALOR OPERATIVO/COSTE], tblRed[Nodo Inicial], $C10, tblRed[Nodo Final], N$3, tblRed[Activo], 1), 0)</f>
        <v>0</v>
      </c>
      <c r="O10" s="16">
        <f>IF(MatrizDeAdyacencia!O10=1, SUMIFS(tblRed[TRADE OFF VALOR OPERATIVO/COSTE], tblRed[Nodo Inicial], $C10, tblRed[Nodo Final], O$3, tblRed[Activo], 1), 0)</f>
        <v>0</v>
      </c>
      <c r="P10" s="16">
        <f>IF(MatrizDeAdyacencia!P10=1, SUMIFS(tblRed[TRADE OFF VALOR OPERATIVO/COSTE], tblRed[Nodo Inicial], $C10, tblRed[Nodo Final], P$3, tblRed[Activo], 1), 0)</f>
        <v>0</v>
      </c>
      <c r="Q10" s="16">
        <f>IF(MatrizDeAdyacencia!Q10=1, SUMIFS(tblRed[TRADE OFF VALOR OPERATIVO/COSTE], tblRed[Nodo Inicial], $C10, tblRed[Nodo Final], Q$3, tblRed[Activo], 1), 0)</f>
        <v>0</v>
      </c>
      <c r="R10" s="16">
        <f>IF(MatrizDeAdyacencia!R10=1, SUMIFS(tblRed[TRADE OFF VALOR OPERATIVO/COSTE], tblRed[Nodo Inicial], $C10, tblRed[Nodo Final], R$3, tblRed[Activo], 1), 0)</f>
        <v>0</v>
      </c>
      <c r="S10" s="16">
        <f>IF(MatrizDeAdyacencia!S10=1, SUMIFS(tblRed[TRADE OFF VALOR OPERATIVO/COSTE], tblRed[Nodo Inicial], $C10, tblRed[Nodo Final], S$3, tblRed[Activo], 1), 0)</f>
        <v>0</v>
      </c>
      <c r="T10" s="16">
        <f>IF(MatrizDeAdyacencia!T10=1, SUMIFS(tblRed[TRADE OFF VALOR OPERATIVO/COSTE], tblRed[Nodo Inicial], $C10, tblRed[Nodo Final], T$3, tblRed[Activo], 1), 0)</f>
        <v>0</v>
      </c>
      <c r="U10" s="16">
        <f>IF(MatrizDeAdyacencia!U10=1, SUMIFS(tblRed[TRADE OFF VALOR OPERATIVO/COSTE], tblRed[Nodo Inicial], $C10, tblRed[Nodo Final], U$3, tblRed[Activo], 1), 0)</f>
        <v>0</v>
      </c>
      <c r="V10" s="16">
        <f>IF(MatrizDeAdyacencia!V10=1, SUMIFS(tblRed[TRADE OFF VALOR OPERATIVO/COSTE], tblRed[Nodo Inicial], $C10, tblRed[Nodo Final], V$3, tblRed[Activo], 1), 0)</f>
        <v>0</v>
      </c>
      <c r="W10" s="16">
        <f>IF(MatrizDeAdyacencia!W10=1, SUMIFS(tblRed[TRADE OFF VALOR OPERATIVO/COSTE], tblRed[Nodo Inicial], $C10, tblRed[Nodo Final], W$3, tblRed[Activo], 1), 0)</f>
        <v>0</v>
      </c>
      <c r="X10" s="16">
        <f>IF(MatrizDeAdyacencia!X10=1, SUMIFS(tblRed[TRADE OFF VALOR OPERATIVO/COSTE], tblRed[Nodo Inicial], $C10, tblRed[Nodo Final], X$3, tblRed[Activo], 1), 0)</f>
        <v>0</v>
      </c>
      <c r="Y10" s="16">
        <f>IF(MatrizDeAdyacencia!Y10=1, SUMIFS(tblRed[TRADE OFF VALOR OPERATIVO/COSTE], tblRed[Nodo Inicial], $C10, tblRed[Nodo Final], Y$3, tblRed[Activo], 1), 0)</f>
        <v>0</v>
      </c>
      <c r="Z10" s="16">
        <f>IF(MatrizDeAdyacencia!Z10=1, SUMIFS(tblRed[TRADE OFF VALOR OPERATIVO/COSTE], tblRed[Nodo Inicial], $C10, tblRed[Nodo Final], Z$3, tblRed[Activo], 1), 0)</f>
        <v>3.7999999999999994</v>
      </c>
      <c r="AA10" s="16">
        <f>IF(MatrizDeAdyacencia!AA10=1, SUMIFS(tblRed[TRADE OFF VALOR OPERATIVO/COSTE], tblRed[Nodo Inicial], $C10, tblRed[Nodo Final], AA$3, tblRed[Activo], 1), 0)</f>
        <v>0</v>
      </c>
      <c r="AB10" s="16">
        <f>IF(MatrizDeAdyacencia!AB10=1, SUMIFS(tblRed[TRADE OFF VALOR OPERATIVO/COSTE], tblRed[Nodo Inicial], $C10, tblRed[Nodo Final], AB$3, tblRed[Activo], 1), 0)</f>
        <v>0</v>
      </c>
      <c r="AC10" s="16">
        <f>IF(MatrizDeAdyacencia!AC10=1, SUMIFS(tblRed[TRADE OFF VALOR OPERATIVO/COSTE], tblRed[Nodo Inicial], $C10, tblRed[Nodo Final], AC$3, tblRed[Activo], 1), 0)</f>
        <v>0</v>
      </c>
      <c r="AD10" s="16">
        <f>IF(MatrizDeAdyacencia!AD10=1, SUMIFS(tblRed[TRADE OFF VALOR OPERATIVO/COSTE], tblRed[Nodo Inicial], $C10, tblRed[Nodo Final], AD$3, tblRed[Activo], 1), 0)</f>
        <v>0</v>
      </c>
      <c r="AE10" s="16">
        <f>IF(MatrizDeAdyacencia!AE10=1, SUMIFS(tblRed[TRADE OFF VALOR OPERATIVO/COSTE], tblRed[Nodo Inicial], $C10, tblRed[Nodo Final], AE$3, tblRed[Activo], 1), 0)</f>
        <v>0</v>
      </c>
      <c r="AF10" s="16">
        <f>IF(MatrizDeAdyacencia!AF10=1, SUMIFS(tblRed[TRADE OFF VALOR OPERATIVO/COSTE], tblRed[Nodo Inicial], $C10, tblRed[Nodo Final], AF$3, tblRed[Activo], 1), 0)</f>
        <v>0</v>
      </c>
      <c r="AG10" s="16">
        <f>IF(MatrizDeAdyacencia!AG10=1, SUMIFS(tblRed[TRADE OFF VALOR OPERATIVO/COSTE], tblRed[Nodo Inicial], $C10, tblRed[Nodo Final], AG$3, tblRed[Activo], 1), 0)</f>
        <v>0</v>
      </c>
      <c r="AH10" s="16">
        <f>IF(MatrizDeAdyacencia!AH10=1, SUMIFS(tblRed[TRADE OFF VALOR OPERATIVO/COSTE], tblRed[Nodo Inicial], $C10, tblRed[Nodo Final], AH$3, tblRed[Activo], 1), 0)</f>
        <v>0</v>
      </c>
    </row>
    <row r="11" spans="2:34" ht="19.5" customHeight="1" x14ac:dyDescent="0.25">
      <c r="B11" s="12" t="str">
        <f>VLOOKUP(tblMatrizTradeOff[[#This Row],[Nodo Orig.\Dest.]],tblNodos[],2,FALSE)</f>
        <v>Valor digital</v>
      </c>
      <c r="C11" s="4" t="s">
        <v>39</v>
      </c>
      <c r="D11" s="16">
        <f>IF(MatrizDeAdyacencia!D11=1, SUMIFS(tblRed[TRADE OFF VALOR OPERATIVO/COSTE], tblRed[Nodo Inicial], $C11, tblRed[Nodo Final], D$3, tblRed[Activo], 1), 0)</f>
        <v>0</v>
      </c>
      <c r="E11" s="16">
        <f>IF(MatrizDeAdyacencia!E11=1, SUMIFS(tblRed[TRADE OFF VALOR OPERATIVO/COSTE], tblRed[Nodo Inicial], $C11, tblRed[Nodo Final], E$3, tblRed[Activo], 1), 0)</f>
        <v>0</v>
      </c>
      <c r="F11" s="16">
        <f>IF(MatrizDeAdyacencia!F11=1, SUMIFS(tblRed[TRADE OFF VALOR OPERATIVO/COSTE], tblRed[Nodo Inicial], $C11, tblRed[Nodo Final], F$3, tblRed[Activo], 1), 0)</f>
        <v>0</v>
      </c>
      <c r="G11" s="16">
        <f>IF(MatrizDeAdyacencia!G11=1, SUMIFS(tblRed[TRADE OFF VALOR OPERATIVO/COSTE], tblRed[Nodo Inicial], $C11, tblRed[Nodo Final], G$3, tblRed[Activo], 1), 0)</f>
        <v>0</v>
      </c>
      <c r="H11" s="16">
        <f>IF(MatrizDeAdyacencia!H11=1, SUMIFS(tblRed[TRADE OFF VALOR OPERATIVO/COSTE], tblRed[Nodo Inicial], $C11, tblRed[Nodo Final], H$3, tblRed[Activo], 1), 0)</f>
        <v>0</v>
      </c>
      <c r="I11" s="16">
        <f>IF(MatrizDeAdyacencia!I11=1, SUMIFS(tblRed[TRADE OFF VALOR OPERATIVO/COSTE], tblRed[Nodo Inicial], $C11, tblRed[Nodo Final], I$3, tblRed[Activo], 1), 0)</f>
        <v>0</v>
      </c>
      <c r="J11" s="16">
        <f>IF(MatrizDeAdyacencia!J11=1, SUMIFS(tblRed[TRADE OFF VALOR OPERATIVO/COSTE], tblRed[Nodo Inicial], $C11, tblRed[Nodo Final], J$3, tblRed[Activo], 1), 0)</f>
        <v>0</v>
      </c>
      <c r="K11" s="16">
        <f>IF(MatrizDeAdyacencia!K11=1, SUMIFS(tblRed[TRADE OFF VALOR OPERATIVO/COSTE], tblRed[Nodo Inicial], $C11, tblRed[Nodo Final], K$3, tblRed[Activo], 1), 0)</f>
        <v>0</v>
      </c>
      <c r="L11" s="16">
        <f>IF(MatrizDeAdyacencia!L11=1, SUMIFS(tblRed[TRADE OFF VALOR OPERATIVO/COSTE], tblRed[Nodo Inicial], $C11, tblRed[Nodo Final], L$3, tblRed[Activo], 1), 0)</f>
        <v>0</v>
      </c>
      <c r="M11" s="16">
        <f>IF(MatrizDeAdyacencia!M11=1, SUMIFS(tblRed[TRADE OFF VALOR OPERATIVO/COSTE], tblRed[Nodo Inicial], $C11, tblRed[Nodo Final], M$3, tblRed[Activo], 1), 0)</f>
        <v>0</v>
      </c>
      <c r="N11" s="16">
        <f>IF(MatrizDeAdyacencia!N11=1, SUMIFS(tblRed[TRADE OFF VALOR OPERATIVO/COSTE], tblRed[Nodo Inicial], $C11, tblRed[Nodo Final], N$3, tblRed[Activo], 1), 0)</f>
        <v>0</v>
      </c>
      <c r="O11" s="16">
        <f>IF(MatrizDeAdyacencia!O11=1, SUMIFS(tblRed[TRADE OFF VALOR OPERATIVO/COSTE], tblRed[Nodo Inicial], $C11, tblRed[Nodo Final], O$3, tblRed[Activo], 1), 0)</f>
        <v>1.8307692307692307</v>
      </c>
      <c r="P11" s="16">
        <f>IF(MatrizDeAdyacencia!P11=1, SUMIFS(tblRed[TRADE OFF VALOR OPERATIVO/COSTE], tblRed[Nodo Inicial], $C11, tblRed[Nodo Final], P$3, tblRed[Activo], 1), 0)</f>
        <v>0</v>
      </c>
      <c r="Q11" s="16">
        <f>IF(MatrizDeAdyacencia!Q11=1, SUMIFS(tblRed[TRADE OFF VALOR OPERATIVO/COSTE], tblRed[Nodo Inicial], $C11, tblRed[Nodo Final], Q$3, tblRed[Activo], 1), 0)</f>
        <v>0</v>
      </c>
      <c r="R11" s="16">
        <f>IF(MatrizDeAdyacencia!R11=1, SUMIFS(tblRed[TRADE OFF VALOR OPERATIVO/COSTE], tblRed[Nodo Inicial], $C11, tblRed[Nodo Final], R$3, tblRed[Activo], 1), 0)</f>
        <v>0</v>
      </c>
      <c r="S11" s="16">
        <f>IF(MatrizDeAdyacencia!S11=1, SUMIFS(tblRed[TRADE OFF VALOR OPERATIVO/COSTE], tblRed[Nodo Inicial], $C11, tblRed[Nodo Final], S$3, tblRed[Activo], 1), 0)</f>
        <v>0</v>
      </c>
      <c r="T11" s="16">
        <f>IF(MatrizDeAdyacencia!T11=1, SUMIFS(tblRed[TRADE OFF VALOR OPERATIVO/COSTE], tblRed[Nodo Inicial], $C11, tblRed[Nodo Final], T$3, tblRed[Activo], 1), 0)</f>
        <v>0</v>
      </c>
      <c r="U11" s="16">
        <f>IF(MatrizDeAdyacencia!U11=1, SUMIFS(tblRed[TRADE OFF VALOR OPERATIVO/COSTE], tblRed[Nodo Inicial], $C11, tblRed[Nodo Final], U$3, tblRed[Activo], 1), 0)</f>
        <v>0</v>
      </c>
      <c r="V11" s="16">
        <f>IF(MatrizDeAdyacencia!V11=1, SUMIFS(tblRed[TRADE OFF VALOR OPERATIVO/COSTE], tblRed[Nodo Inicial], $C11, tblRed[Nodo Final], V$3, tblRed[Activo], 1), 0)</f>
        <v>0</v>
      </c>
      <c r="W11" s="16">
        <f>IF(MatrizDeAdyacencia!W11=1, SUMIFS(tblRed[TRADE OFF VALOR OPERATIVO/COSTE], tblRed[Nodo Inicial], $C11, tblRed[Nodo Final], W$3, tblRed[Activo], 1), 0)</f>
        <v>0</v>
      </c>
      <c r="X11" s="16">
        <f>IF(MatrizDeAdyacencia!X11=1, SUMIFS(tblRed[TRADE OFF VALOR OPERATIVO/COSTE], tblRed[Nodo Inicial], $C11, tblRed[Nodo Final], X$3, tblRed[Activo], 1), 0)</f>
        <v>2.2000000000000002</v>
      </c>
      <c r="Y11" s="16">
        <f>IF(MatrizDeAdyacencia!Y11=1, SUMIFS(tblRed[TRADE OFF VALOR OPERATIVO/COSTE], tblRed[Nodo Inicial], $C11, tblRed[Nodo Final], Y$3, tblRed[Activo], 1), 0)</f>
        <v>0</v>
      </c>
      <c r="Z11" s="16">
        <f>IF(MatrizDeAdyacencia!Z11=1, SUMIFS(tblRed[TRADE OFF VALOR OPERATIVO/COSTE], tblRed[Nodo Inicial], $C11, tblRed[Nodo Final], Z$3, tblRed[Activo], 1), 0)</f>
        <v>0</v>
      </c>
      <c r="AA11" s="16">
        <f>IF(MatrizDeAdyacencia!AA11=1, SUMIFS(tblRed[TRADE OFF VALOR OPERATIVO/COSTE], tblRed[Nodo Inicial], $C11, tblRed[Nodo Final], AA$3, tblRed[Activo], 1), 0)</f>
        <v>0</v>
      </c>
      <c r="AB11" s="16">
        <f>IF(MatrizDeAdyacencia!AB11=1, SUMIFS(tblRed[TRADE OFF VALOR OPERATIVO/COSTE], tblRed[Nodo Inicial], $C11, tblRed[Nodo Final], AB$3, tblRed[Activo], 1), 0)</f>
        <v>0</v>
      </c>
      <c r="AC11" s="16">
        <f>IF(MatrizDeAdyacencia!AC11=1, SUMIFS(tblRed[TRADE OFF VALOR OPERATIVO/COSTE], tblRed[Nodo Inicial], $C11, tblRed[Nodo Final], AC$3, tblRed[Activo], 1), 0)</f>
        <v>0</v>
      </c>
      <c r="AD11" s="16">
        <f>IF(MatrizDeAdyacencia!AD11=1, SUMIFS(tblRed[TRADE OFF VALOR OPERATIVO/COSTE], tblRed[Nodo Inicial], $C11, tblRed[Nodo Final], AD$3, tblRed[Activo], 1), 0)</f>
        <v>0</v>
      </c>
      <c r="AE11" s="16">
        <f>IF(MatrizDeAdyacencia!AE11=1, SUMIFS(tblRed[TRADE OFF VALOR OPERATIVO/COSTE], tblRed[Nodo Inicial], $C11, tblRed[Nodo Final], AE$3, tblRed[Activo], 1), 0)</f>
        <v>0</v>
      </c>
      <c r="AF11" s="16">
        <f>IF(MatrizDeAdyacencia!AF11=1, SUMIFS(tblRed[TRADE OFF VALOR OPERATIVO/COSTE], tblRed[Nodo Inicial], $C11, tblRed[Nodo Final], AF$3, tblRed[Activo], 1), 0)</f>
        <v>0</v>
      </c>
      <c r="AG11" s="16">
        <f>IF(MatrizDeAdyacencia!AG11=1, SUMIFS(tblRed[TRADE OFF VALOR OPERATIVO/COSTE], tblRed[Nodo Inicial], $C11, tblRed[Nodo Final], AG$3, tblRed[Activo], 1), 0)</f>
        <v>0</v>
      </c>
      <c r="AH11" s="16">
        <f>IF(MatrizDeAdyacencia!AH11=1, SUMIFS(tblRed[TRADE OFF VALOR OPERATIVO/COSTE], tblRed[Nodo Inicial], $C11, tblRed[Nodo Final], AH$3, tblRed[Activo], 1), 0)</f>
        <v>0</v>
      </c>
    </row>
    <row r="12" spans="2:34" ht="19.5" customHeight="1" x14ac:dyDescent="0.25">
      <c r="B12" s="12" t="str">
        <f>VLOOKUP(tblMatrizTradeOff[[#This Row],[Nodo Orig.\Dest.]],tblNodos[],2,FALSE)</f>
        <v>Recaudación directa</v>
      </c>
      <c r="C12" s="4" t="s">
        <v>41</v>
      </c>
      <c r="D12" s="16">
        <f>IF(MatrizDeAdyacencia!D12=1, SUMIFS(tblRed[TRADE OFF VALOR OPERATIVO/COSTE], tblRed[Nodo Inicial], $C12, tblRed[Nodo Final], D$3, tblRed[Activo], 1), 0)</f>
        <v>0</v>
      </c>
      <c r="E12" s="16">
        <f>IF(MatrizDeAdyacencia!E12=1, SUMIFS(tblRed[TRADE OFF VALOR OPERATIVO/COSTE], tblRed[Nodo Inicial], $C12, tblRed[Nodo Final], E$3, tblRed[Activo], 1), 0)</f>
        <v>0</v>
      </c>
      <c r="F12" s="16">
        <f>IF(MatrizDeAdyacencia!F12=1, SUMIFS(tblRed[TRADE OFF VALOR OPERATIVO/COSTE], tblRed[Nodo Inicial], $C12, tblRed[Nodo Final], F$3, tblRed[Activo], 1), 0)</f>
        <v>0</v>
      </c>
      <c r="G12" s="16">
        <f>IF(MatrizDeAdyacencia!G12=1, SUMIFS(tblRed[TRADE OFF VALOR OPERATIVO/COSTE], tblRed[Nodo Inicial], $C12, tblRed[Nodo Final], G$3, tblRed[Activo], 1), 0)</f>
        <v>0</v>
      </c>
      <c r="H12" s="16">
        <f>IF(MatrizDeAdyacencia!H12=1, SUMIFS(tblRed[TRADE OFF VALOR OPERATIVO/COSTE], tblRed[Nodo Inicial], $C12, tblRed[Nodo Final], H$3, tblRed[Activo], 1), 0)</f>
        <v>0</v>
      </c>
      <c r="I12" s="16">
        <f>IF(MatrizDeAdyacencia!I12=1, SUMIFS(tblRed[TRADE OFF VALOR OPERATIVO/COSTE], tblRed[Nodo Inicial], $C12, tblRed[Nodo Final], I$3, tblRed[Activo], 1), 0)</f>
        <v>0</v>
      </c>
      <c r="J12" s="16">
        <f>IF(MatrizDeAdyacencia!J12=1, SUMIFS(tblRed[TRADE OFF VALOR OPERATIVO/COSTE], tblRed[Nodo Inicial], $C12, tblRed[Nodo Final], J$3, tblRed[Activo], 1), 0)</f>
        <v>0</v>
      </c>
      <c r="K12" s="16">
        <f>IF(MatrizDeAdyacencia!K12=1, SUMIFS(tblRed[TRADE OFF VALOR OPERATIVO/COSTE], tblRed[Nodo Inicial], $C12, tblRed[Nodo Final], K$3, tblRed[Activo], 1), 0)</f>
        <v>0</v>
      </c>
      <c r="L12" s="16">
        <f>IF(MatrizDeAdyacencia!L12=1, SUMIFS(tblRed[TRADE OFF VALOR OPERATIVO/COSTE], tblRed[Nodo Inicial], $C12, tblRed[Nodo Final], L$3, tblRed[Activo], 1), 0)</f>
        <v>0</v>
      </c>
      <c r="M12" s="16">
        <f>IF(MatrizDeAdyacencia!M12=1, SUMIFS(tblRed[TRADE OFF VALOR OPERATIVO/COSTE], tblRed[Nodo Inicial], $C12, tblRed[Nodo Final], M$3, tblRed[Activo], 1), 0)</f>
        <v>0</v>
      </c>
      <c r="N12" s="16">
        <f>IF(MatrizDeAdyacencia!N12=1, SUMIFS(tblRed[TRADE OFF VALOR OPERATIVO/COSTE], tblRed[Nodo Inicial], $C12, tblRed[Nodo Final], N$3, tblRed[Activo], 1), 0)</f>
        <v>0</v>
      </c>
      <c r="O12" s="16">
        <f>IF(MatrizDeAdyacencia!O12=1, SUMIFS(tblRed[TRADE OFF VALOR OPERATIVO/COSTE], tblRed[Nodo Inicial], $C12, tblRed[Nodo Final], O$3, tblRed[Activo], 1), 0)</f>
        <v>0</v>
      </c>
      <c r="P12" s="16">
        <f>IF(MatrizDeAdyacencia!P12=1, SUMIFS(tblRed[TRADE OFF VALOR OPERATIVO/COSTE], tblRed[Nodo Inicial], $C12, tblRed[Nodo Final], P$3, tblRed[Activo], 1), 0)</f>
        <v>0</v>
      </c>
      <c r="Q12" s="16">
        <f>IF(MatrizDeAdyacencia!Q12=1, SUMIFS(tblRed[TRADE OFF VALOR OPERATIVO/COSTE], tblRed[Nodo Inicial], $C12, tblRed[Nodo Final], Q$3, tblRed[Activo], 1), 0)</f>
        <v>0</v>
      </c>
      <c r="R12" s="16">
        <f>IF(MatrizDeAdyacencia!R12=1, SUMIFS(tblRed[TRADE OFF VALOR OPERATIVO/COSTE], tblRed[Nodo Inicial], $C12, tblRed[Nodo Final], R$3, tblRed[Activo], 1), 0)</f>
        <v>2.1020408163265305</v>
      </c>
      <c r="S12" s="16">
        <f>IF(MatrizDeAdyacencia!S12=1, SUMIFS(tblRed[TRADE OFF VALOR OPERATIVO/COSTE], tblRed[Nodo Inicial], $C12, tblRed[Nodo Final], S$3, tblRed[Activo], 1), 0)</f>
        <v>0</v>
      </c>
      <c r="T12" s="16">
        <f>IF(MatrizDeAdyacencia!T12=1, SUMIFS(tblRed[TRADE OFF VALOR OPERATIVO/COSTE], tblRed[Nodo Inicial], $C12, tblRed[Nodo Final], T$3, tblRed[Activo], 1), 0)</f>
        <v>0</v>
      </c>
      <c r="U12" s="16">
        <f>IF(MatrizDeAdyacencia!U12=1, SUMIFS(tblRed[TRADE OFF VALOR OPERATIVO/COSTE], tblRed[Nodo Inicial], $C12, tblRed[Nodo Final], U$3, tblRed[Activo], 1), 0)</f>
        <v>0</v>
      </c>
      <c r="V12" s="16">
        <f>IF(MatrizDeAdyacencia!V12=1, SUMIFS(tblRed[TRADE OFF VALOR OPERATIVO/COSTE], tblRed[Nodo Inicial], $C12, tblRed[Nodo Final], V$3, tblRed[Activo], 1), 0)</f>
        <v>0</v>
      </c>
      <c r="W12" s="16">
        <f>IF(MatrizDeAdyacencia!W12=1, SUMIFS(tblRed[TRADE OFF VALOR OPERATIVO/COSTE], tblRed[Nodo Inicial], $C12, tblRed[Nodo Final], W$3, tblRed[Activo], 1), 0)</f>
        <v>0</v>
      </c>
      <c r="X12" s="16">
        <f>IF(MatrizDeAdyacencia!X12=1, SUMIFS(tblRed[TRADE OFF VALOR OPERATIVO/COSTE], tblRed[Nodo Inicial], $C12, tblRed[Nodo Final], X$3, tblRed[Activo], 1), 0)</f>
        <v>0</v>
      </c>
      <c r="Y12" s="16">
        <f>IF(MatrizDeAdyacencia!Y12=1, SUMIFS(tblRed[TRADE OFF VALOR OPERATIVO/COSTE], tblRed[Nodo Inicial], $C12, tblRed[Nodo Final], Y$3, tblRed[Activo], 1), 0)</f>
        <v>0</v>
      </c>
      <c r="Z12" s="16">
        <f>IF(MatrizDeAdyacencia!Z12=1, SUMIFS(tblRed[TRADE OFF VALOR OPERATIVO/COSTE], tblRed[Nodo Inicial], $C12, tblRed[Nodo Final], Z$3, tblRed[Activo], 1), 0)</f>
        <v>0</v>
      </c>
      <c r="AA12" s="16">
        <f>IF(MatrizDeAdyacencia!AA12=1, SUMIFS(tblRed[TRADE OFF VALOR OPERATIVO/COSTE], tblRed[Nodo Inicial], $C12, tblRed[Nodo Final], AA$3, tblRed[Activo], 1), 0)</f>
        <v>0</v>
      </c>
      <c r="AB12" s="16">
        <f>IF(MatrizDeAdyacencia!AB12=1, SUMIFS(tblRed[TRADE OFF VALOR OPERATIVO/COSTE], tblRed[Nodo Inicial], $C12, tblRed[Nodo Final], AB$3, tblRed[Activo], 1), 0)</f>
        <v>0</v>
      </c>
      <c r="AC12" s="16">
        <f>IF(MatrizDeAdyacencia!AC12=1, SUMIFS(tblRed[TRADE OFF VALOR OPERATIVO/COSTE], tblRed[Nodo Inicial], $C12, tblRed[Nodo Final], AC$3, tblRed[Activo], 1), 0)</f>
        <v>0</v>
      </c>
      <c r="AD12" s="16">
        <f>IF(MatrizDeAdyacencia!AD12=1, SUMIFS(tblRed[TRADE OFF VALOR OPERATIVO/COSTE], tblRed[Nodo Inicial], $C12, tblRed[Nodo Final], AD$3, tblRed[Activo], 1), 0)</f>
        <v>1.7466666666666666</v>
      </c>
      <c r="AE12" s="16">
        <f>IF(MatrizDeAdyacencia!AE12=1, SUMIFS(tblRed[TRADE OFF VALOR OPERATIVO/COSTE], tblRed[Nodo Inicial], $C12, tblRed[Nodo Final], AE$3, tblRed[Activo], 1), 0)</f>
        <v>0</v>
      </c>
      <c r="AF12" s="16">
        <f>IF(MatrizDeAdyacencia!AF12=1, SUMIFS(tblRed[TRADE OFF VALOR OPERATIVO/COSTE], tblRed[Nodo Inicial], $C12, tblRed[Nodo Final], AF$3, tblRed[Activo], 1), 0)</f>
        <v>0</v>
      </c>
      <c r="AG12" s="16">
        <f>IF(MatrizDeAdyacencia!AG12=1, SUMIFS(tblRed[TRADE OFF VALOR OPERATIVO/COSTE], tblRed[Nodo Inicial], $C12, tblRed[Nodo Final], AG$3, tblRed[Activo], 1), 0)</f>
        <v>0</v>
      </c>
      <c r="AH12" s="16">
        <f>IF(MatrizDeAdyacencia!AH12=1, SUMIFS(tblRed[TRADE OFF VALOR OPERATIVO/COSTE], tblRed[Nodo Inicial], $C12, tblRed[Nodo Final], AH$3, tblRed[Activo], 1), 0)</f>
        <v>0</v>
      </c>
    </row>
    <row r="13" spans="2:34" ht="19.5" customHeight="1" x14ac:dyDescent="0.25">
      <c r="B13" s="12" t="str">
        <f>VLOOKUP(tblMatrizTradeOff[[#This Row],[Nodo Orig.\Dest.]],tblNodos[],2,FALSE)</f>
        <v>Agregadores de fondos</v>
      </c>
      <c r="C13" s="4" t="s">
        <v>43</v>
      </c>
      <c r="D13" s="16">
        <f>IF(MatrizDeAdyacencia!D13=1, SUMIFS(tblRed[TRADE OFF VALOR OPERATIVO/COSTE], tblRed[Nodo Inicial], $C13, tblRed[Nodo Final], D$3, tblRed[Activo], 1), 0)</f>
        <v>0</v>
      </c>
      <c r="E13" s="16">
        <f>IF(MatrizDeAdyacencia!E13=1, SUMIFS(tblRed[TRADE OFF VALOR OPERATIVO/COSTE], tblRed[Nodo Inicial], $C13, tblRed[Nodo Final], E$3, tblRed[Activo], 1), 0)</f>
        <v>0</v>
      </c>
      <c r="F13" s="16">
        <f>IF(MatrizDeAdyacencia!F13=1, SUMIFS(tblRed[TRADE OFF VALOR OPERATIVO/COSTE], tblRed[Nodo Inicial], $C13, tblRed[Nodo Final], F$3, tblRed[Activo], 1), 0)</f>
        <v>0</v>
      </c>
      <c r="G13" s="16">
        <f>IF(MatrizDeAdyacencia!G13=1, SUMIFS(tblRed[TRADE OFF VALOR OPERATIVO/COSTE], tblRed[Nodo Inicial], $C13, tblRed[Nodo Final], G$3, tblRed[Activo], 1), 0)</f>
        <v>0</v>
      </c>
      <c r="H13" s="16">
        <f>IF(MatrizDeAdyacencia!H13=1, SUMIFS(tblRed[TRADE OFF VALOR OPERATIVO/COSTE], tblRed[Nodo Inicial], $C13, tblRed[Nodo Final], H$3, tblRed[Activo], 1), 0)</f>
        <v>0</v>
      </c>
      <c r="I13" s="16">
        <f>IF(MatrizDeAdyacencia!I13=1, SUMIFS(tblRed[TRADE OFF VALOR OPERATIVO/COSTE], tblRed[Nodo Inicial], $C13, tblRed[Nodo Final], I$3, tblRed[Activo], 1), 0)</f>
        <v>0</v>
      </c>
      <c r="J13" s="16">
        <f>IF(MatrizDeAdyacencia!J13=1, SUMIFS(tblRed[TRADE OFF VALOR OPERATIVO/COSTE], tblRed[Nodo Inicial], $C13, tblRed[Nodo Final], J$3, tblRed[Activo], 1), 0)</f>
        <v>0</v>
      </c>
      <c r="K13" s="16">
        <f>IF(MatrizDeAdyacencia!K13=1, SUMIFS(tblRed[TRADE OFF VALOR OPERATIVO/COSTE], tblRed[Nodo Inicial], $C13, tblRed[Nodo Final], K$3, tblRed[Activo], 1), 0)</f>
        <v>0</v>
      </c>
      <c r="L13" s="16">
        <f>IF(MatrizDeAdyacencia!L13=1, SUMIFS(tblRed[TRADE OFF VALOR OPERATIVO/COSTE], tblRed[Nodo Inicial], $C13, tblRed[Nodo Final], L$3, tblRed[Activo], 1), 0)</f>
        <v>0</v>
      </c>
      <c r="M13" s="16">
        <f>IF(MatrizDeAdyacencia!M13=1, SUMIFS(tblRed[TRADE OFF VALOR OPERATIVO/COSTE], tblRed[Nodo Inicial], $C13, tblRed[Nodo Final], M$3, tblRed[Activo], 1), 0)</f>
        <v>0</v>
      </c>
      <c r="N13" s="16">
        <f>IF(MatrizDeAdyacencia!N13=1, SUMIFS(tblRed[TRADE OFF VALOR OPERATIVO/COSTE], tblRed[Nodo Inicial], $C13, tblRed[Nodo Final], N$3, tblRed[Activo], 1), 0)</f>
        <v>0</v>
      </c>
      <c r="O13" s="16">
        <f>IF(MatrizDeAdyacencia!O13=1, SUMIFS(tblRed[TRADE OFF VALOR OPERATIVO/COSTE], tblRed[Nodo Inicial], $C13, tblRed[Nodo Final], O$3, tblRed[Activo], 1), 0)</f>
        <v>0</v>
      </c>
      <c r="P13" s="16">
        <f>IF(MatrizDeAdyacencia!P13=1, SUMIFS(tblRed[TRADE OFF VALOR OPERATIVO/COSTE], tblRed[Nodo Inicial], $C13, tblRed[Nodo Final], P$3, tblRed[Activo], 1), 0)</f>
        <v>0</v>
      </c>
      <c r="Q13" s="16">
        <f>IF(MatrizDeAdyacencia!Q13=1, SUMIFS(tblRed[TRADE OFF VALOR OPERATIVO/COSTE], tblRed[Nodo Inicial], $C13, tblRed[Nodo Final], Q$3, tblRed[Activo], 1), 0)</f>
        <v>0</v>
      </c>
      <c r="R13" s="16">
        <f>IF(MatrizDeAdyacencia!R13=1, SUMIFS(tblRed[TRADE OFF VALOR OPERATIVO/COSTE], tblRed[Nodo Inicial], $C13, tblRed[Nodo Final], R$3, tblRed[Activo], 1), 0)</f>
        <v>0</v>
      </c>
      <c r="S13" s="16">
        <f>IF(MatrizDeAdyacencia!S13=1, SUMIFS(tblRed[TRADE OFF VALOR OPERATIVO/COSTE], tblRed[Nodo Inicial], $C13, tblRed[Nodo Final], S$3, tblRed[Activo], 1), 0)</f>
        <v>1.4</v>
      </c>
      <c r="T13" s="16">
        <f>IF(MatrizDeAdyacencia!T13=1, SUMIFS(tblRed[TRADE OFF VALOR OPERATIVO/COSTE], tblRed[Nodo Inicial], $C13, tblRed[Nodo Final], T$3, tblRed[Activo], 1), 0)</f>
        <v>2.25</v>
      </c>
      <c r="U13" s="16">
        <f>IF(MatrizDeAdyacencia!U13=1, SUMIFS(tblRed[TRADE OFF VALOR OPERATIVO/COSTE], tblRed[Nodo Inicial], $C13, tblRed[Nodo Final], U$3, tblRed[Activo], 1), 0)</f>
        <v>0</v>
      </c>
      <c r="V13" s="16">
        <f>IF(MatrizDeAdyacencia!V13=1, SUMIFS(tblRed[TRADE OFF VALOR OPERATIVO/COSTE], tblRed[Nodo Inicial], $C13, tblRed[Nodo Final], V$3, tblRed[Activo], 1), 0)</f>
        <v>0</v>
      </c>
      <c r="W13" s="16">
        <f>IF(MatrizDeAdyacencia!W13=1, SUMIFS(tblRed[TRADE OFF VALOR OPERATIVO/COSTE], tblRed[Nodo Inicial], $C13, tblRed[Nodo Final], W$3, tblRed[Activo], 1), 0)</f>
        <v>0</v>
      </c>
      <c r="X13" s="16">
        <f>IF(MatrizDeAdyacencia!X13=1, SUMIFS(tblRed[TRADE OFF VALOR OPERATIVO/COSTE], tblRed[Nodo Inicial], $C13, tblRed[Nodo Final], X$3, tblRed[Activo], 1), 0)</f>
        <v>2.3220338983050852</v>
      </c>
      <c r="Y13" s="16">
        <f>IF(MatrizDeAdyacencia!Y13=1, SUMIFS(tblRed[TRADE OFF VALOR OPERATIVO/COSTE], tblRed[Nodo Inicial], $C13, tblRed[Nodo Final], Y$3, tblRed[Activo], 1), 0)</f>
        <v>0</v>
      </c>
      <c r="Z13" s="16">
        <f>IF(MatrizDeAdyacencia!Z13=1, SUMIFS(tblRed[TRADE OFF VALOR OPERATIVO/COSTE], tblRed[Nodo Inicial], $C13, tblRed[Nodo Final], Z$3, tblRed[Activo], 1), 0)</f>
        <v>0</v>
      </c>
      <c r="AA13" s="16">
        <f>IF(MatrizDeAdyacencia!AA13=1, SUMIFS(tblRed[TRADE OFF VALOR OPERATIVO/COSTE], tblRed[Nodo Inicial], $C13, tblRed[Nodo Final], AA$3, tblRed[Activo], 1), 0)</f>
        <v>0</v>
      </c>
      <c r="AB13" s="16">
        <f>IF(MatrizDeAdyacencia!AB13=1, SUMIFS(tblRed[TRADE OFF VALOR OPERATIVO/COSTE], tblRed[Nodo Inicial], $C13, tblRed[Nodo Final], AB$3, tblRed[Activo], 1), 0)</f>
        <v>2.1578947368421053</v>
      </c>
      <c r="AC13" s="16">
        <f>IF(MatrizDeAdyacencia!AC13=1, SUMIFS(tblRed[TRADE OFF VALOR OPERATIVO/COSTE], tblRed[Nodo Inicial], $C13, tblRed[Nodo Final], AC$3, tblRed[Activo], 1), 0)</f>
        <v>0</v>
      </c>
      <c r="AD13" s="16">
        <f>IF(MatrizDeAdyacencia!AD13=1, SUMIFS(tblRed[TRADE OFF VALOR OPERATIVO/COSTE], tblRed[Nodo Inicial], $C13, tblRed[Nodo Final], AD$3, tblRed[Activo], 1), 0)</f>
        <v>0</v>
      </c>
      <c r="AE13" s="16">
        <f>IF(MatrizDeAdyacencia!AE13=1, SUMIFS(tblRed[TRADE OFF VALOR OPERATIVO/COSTE], tblRed[Nodo Inicial], $C13, tblRed[Nodo Final], AE$3, tblRed[Activo], 1), 0)</f>
        <v>0</v>
      </c>
      <c r="AF13" s="16">
        <f>IF(MatrizDeAdyacencia!AF13=1, SUMIFS(tblRed[TRADE OFF VALOR OPERATIVO/COSTE], tblRed[Nodo Inicial], $C13, tblRed[Nodo Final], AF$3, tblRed[Activo], 1), 0)</f>
        <v>0</v>
      </c>
      <c r="AG13" s="16">
        <f>IF(MatrizDeAdyacencia!AG13=1, SUMIFS(tblRed[TRADE OFF VALOR OPERATIVO/COSTE], tblRed[Nodo Inicial], $C13, tblRed[Nodo Final], AG$3, tblRed[Activo], 1), 0)</f>
        <v>0</v>
      </c>
      <c r="AH13" s="16">
        <f>IF(MatrizDeAdyacencia!AH13=1, SUMIFS(tblRed[TRADE OFF VALOR OPERATIVO/COSTE], tblRed[Nodo Inicial], $C13, tblRed[Nodo Final], AH$3, tblRed[Activo], 1), 0)</f>
        <v>0</v>
      </c>
    </row>
    <row r="14" spans="2:34" ht="19.5" customHeight="1" x14ac:dyDescent="0.25">
      <c r="B14" s="12" t="str">
        <f>VLOOKUP(tblMatrizTradeOff[[#This Row],[Nodo Orig.\Dest.]],tblNodos[],2,FALSE)</f>
        <v>Estructuras organizadas de captación</v>
      </c>
      <c r="C14" s="4" t="s">
        <v>45</v>
      </c>
      <c r="D14" s="16">
        <f>IF(MatrizDeAdyacencia!D14=1, SUMIFS(tblRed[TRADE OFF VALOR OPERATIVO/COSTE], tblRed[Nodo Inicial], $C14, tblRed[Nodo Final], D$3, tblRed[Activo], 1), 0)</f>
        <v>0</v>
      </c>
      <c r="E14" s="16">
        <f>IF(MatrizDeAdyacencia!E14=1, SUMIFS(tblRed[TRADE OFF VALOR OPERATIVO/COSTE], tblRed[Nodo Inicial], $C14, tblRed[Nodo Final], E$3, tblRed[Activo], 1), 0)</f>
        <v>0</v>
      </c>
      <c r="F14" s="16">
        <f>IF(MatrizDeAdyacencia!F14=1, SUMIFS(tblRed[TRADE OFF VALOR OPERATIVO/COSTE], tblRed[Nodo Inicial], $C14, tblRed[Nodo Final], F$3, tblRed[Activo], 1), 0)</f>
        <v>0</v>
      </c>
      <c r="G14" s="16">
        <f>IF(MatrizDeAdyacencia!G14=1, SUMIFS(tblRed[TRADE OFF VALOR OPERATIVO/COSTE], tblRed[Nodo Inicial], $C14, tblRed[Nodo Final], G$3, tblRed[Activo], 1), 0)</f>
        <v>0</v>
      </c>
      <c r="H14" s="16">
        <f>IF(MatrizDeAdyacencia!H14=1, SUMIFS(tblRed[TRADE OFF VALOR OPERATIVO/COSTE], tblRed[Nodo Inicial], $C14, tblRed[Nodo Final], H$3, tblRed[Activo], 1), 0)</f>
        <v>0</v>
      </c>
      <c r="I14" s="16">
        <f>IF(MatrizDeAdyacencia!I14=1, SUMIFS(tblRed[TRADE OFF VALOR OPERATIVO/COSTE], tblRed[Nodo Inicial], $C14, tblRed[Nodo Final], I$3, tblRed[Activo], 1), 0)</f>
        <v>0</v>
      </c>
      <c r="J14" s="16">
        <f>IF(MatrizDeAdyacencia!J14=1, SUMIFS(tblRed[TRADE OFF VALOR OPERATIVO/COSTE], tblRed[Nodo Inicial], $C14, tblRed[Nodo Final], J$3, tblRed[Activo], 1), 0)</f>
        <v>0</v>
      </c>
      <c r="K14" s="16">
        <f>IF(MatrizDeAdyacencia!K14=1, SUMIFS(tblRed[TRADE OFF VALOR OPERATIVO/COSTE], tblRed[Nodo Inicial], $C14, tblRed[Nodo Final], K$3, tblRed[Activo], 1), 0)</f>
        <v>0</v>
      </c>
      <c r="L14" s="16">
        <f>IF(MatrizDeAdyacencia!L14=1, SUMIFS(tblRed[TRADE OFF VALOR OPERATIVO/COSTE], tblRed[Nodo Inicial], $C14, tblRed[Nodo Final], L$3, tblRed[Activo], 1), 0)</f>
        <v>0</v>
      </c>
      <c r="M14" s="16">
        <f>IF(MatrizDeAdyacencia!M14=1, SUMIFS(tblRed[TRADE OFF VALOR OPERATIVO/COSTE], tblRed[Nodo Inicial], $C14, tblRed[Nodo Final], M$3, tblRed[Activo], 1), 0)</f>
        <v>0</v>
      </c>
      <c r="N14" s="16">
        <f>IF(MatrizDeAdyacencia!N14=1, SUMIFS(tblRed[TRADE OFF VALOR OPERATIVO/COSTE], tblRed[Nodo Inicial], $C14, tblRed[Nodo Final], N$3, tblRed[Activo], 1), 0)</f>
        <v>0</v>
      </c>
      <c r="O14" s="16">
        <f>IF(MatrizDeAdyacencia!O14=1, SUMIFS(tblRed[TRADE OFF VALOR OPERATIVO/COSTE], tblRed[Nodo Inicial], $C14, tblRed[Nodo Final], O$3, tblRed[Activo], 1), 0)</f>
        <v>0</v>
      </c>
      <c r="P14" s="16">
        <f>IF(MatrizDeAdyacencia!P14=1, SUMIFS(tblRed[TRADE OFF VALOR OPERATIVO/COSTE], tblRed[Nodo Inicial], $C14, tblRed[Nodo Final], P$3, tblRed[Activo], 1), 0)</f>
        <v>0</v>
      </c>
      <c r="Q14" s="16">
        <f>IF(MatrizDeAdyacencia!Q14=1, SUMIFS(tblRed[TRADE OFF VALOR OPERATIVO/COSTE], tblRed[Nodo Inicial], $C14, tblRed[Nodo Final], Q$3, tblRed[Activo], 1), 0)</f>
        <v>0</v>
      </c>
      <c r="R14" s="16">
        <f>IF(MatrizDeAdyacencia!R14=1, SUMIFS(tblRed[TRADE OFF VALOR OPERATIVO/COSTE], tblRed[Nodo Inicial], $C14, tblRed[Nodo Final], R$3, tblRed[Activo], 1), 0)</f>
        <v>0</v>
      </c>
      <c r="S14" s="16">
        <f>IF(MatrizDeAdyacencia!S14=1, SUMIFS(tblRed[TRADE OFF VALOR OPERATIVO/COSTE], tblRed[Nodo Inicial], $C14, tblRed[Nodo Final], S$3, tblRed[Activo], 1), 0)</f>
        <v>1.4242424242424243</v>
      </c>
      <c r="T14" s="16">
        <f>IF(MatrizDeAdyacencia!T14=1, SUMIFS(tblRed[TRADE OFF VALOR OPERATIVO/COSTE], tblRed[Nodo Inicial], $C14, tblRed[Nodo Final], T$3, tblRed[Activo], 1), 0)</f>
        <v>0</v>
      </c>
      <c r="U14" s="16">
        <f>IF(MatrizDeAdyacencia!U14=1, SUMIFS(tblRed[TRADE OFF VALOR OPERATIVO/COSTE], tblRed[Nodo Inicial], $C14, tblRed[Nodo Final], U$3, tblRed[Activo], 1), 0)</f>
        <v>0</v>
      </c>
      <c r="V14" s="16">
        <f>IF(MatrizDeAdyacencia!V14=1, SUMIFS(tblRed[TRADE OFF VALOR OPERATIVO/COSTE], tblRed[Nodo Inicial], $C14, tblRed[Nodo Final], V$3, tblRed[Activo], 1), 0)</f>
        <v>0</v>
      </c>
      <c r="W14" s="16">
        <f>IF(MatrizDeAdyacencia!W14=1, SUMIFS(tblRed[TRADE OFF VALOR OPERATIVO/COSTE], tblRed[Nodo Inicial], $C14, tblRed[Nodo Final], W$3, tblRed[Activo], 1), 0)</f>
        <v>1.7578947368421052</v>
      </c>
      <c r="X14" s="16">
        <f>IF(MatrizDeAdyacencia!X14=1, SUMIFS(tblRed[TRADE OFF VALOR OPERATIVO/COSTE], tblRed[Nodo Inicial], $C14, tblRed[Nodo Final], X$3, tblRed[Activo], 1), 0)</f>
        <v>0</v>
      </c>
      <c r="Y14" s="16">
        <f>IF(MatrizDeAdyacencia!Y14=1, SUMIFS(tblRed[TRADE OFF VALOR OPERATIVO/COSTE], tblRed[Nodo Inicial], $C14, tblRed[Nodo Final], Y$3, tblRed[Activo], 1), 0)</f>
        <v>0</v>
      </c>
      <c r="Z14" s="16">
        <f>IF(MatrizDeAdyacencia!Z14=1, SUMIFS(tblRed[TRADE OFF VALOR OPERATIVO/COSTE], tblRed[Nodo Inicial], $C14, tblRed[Nodo Final], Z$3, tblRed[Activo], 1), 0)</f>
        <v>0</v>
      </c>
      <c r="AA14" s="16">
        <f>IF(MatrizDeAdyacencia!AA14=1, SUMIFS(tblRed[TRADE OFF VALOR OPERATIVO/COSTE], tblRed[Nodo Inicial], $C14, tblRed[Nodo Final], AA$3, tblRed[Activo], 1), 0)</f>
        <v>0</v>
      </c>
      <c r="AB14" s="16">
        <f>IF(MatrizDeAdyacencia!AB14=1, SUMIFS(tblRed[TRADE OFF VALOR OPERATIVO/COSTE], tblRed[Nodo Inicial], $C14, tblRed[Nodo Final], AB$3, tblRed[Activo], 1), 0)</f>
        <v>0</v>
      </c>
      <c r="AC14" s="16">
        <f>IF(MatrizDeAdyacencia!AC14=1, SUMIFS(tblRed[TRADE OFF VALOR OPERATIVO/COSTE], tblRed[Nodo Inicial], $C14, tblRed[Nodo Final], AC$3, tblRed[Activo], 1), 0)</f>
        <v>0</v>
      </c>
      <c r="AD14" s="16">
        <f>IF(MatrizDeAdyacencia!AD14=1, SUMIFS(tblRed[TRADE OFF VALOR OPERATIVO/COSTE], tblRed[Nodo Inicial], $C14, tblRed[Nodo Final], AD$3, tblRed[Activo], 1), 0)</f>
        <v>0</v>
      </c>
      <c r="AE14" s="16">
        <f>IF(MatrizDeAdyacencia!AE14=1, SUMIFS(tblRed[TRADE OFF VALOR OPERATIVO/COSTE], tblRed[Nodo Inicial], $C14, tblRed[Nodo Final], AE$3, tblRed[Activo], 1), 0)</f>
        <v>0</v>
      </c>
      <c r="AF14" s="16">
        <f>IF(MatrizDeAdyacencia!AF14=1, SUMIFS(tblRed[TRADE OFF VALOR OPERATIVO/COSTE], tblRed[Nodo Inicial], $C14, tblRed[Nodo Final], AF$3, tblRed[Activo], 1), 0)</f>
        <v>0</v>
      </c>
      <c r="AG14" s="16">
        <f>IF(MatrizDeAdyacencia!AG14=1, SUMIFS(tblRed[TRADE OFF VALOR OPERATIVO/COSTE], tblRed[Nodo Inicial], $C14, tblRed[Nodo Final], AG$3, tblRed[Activo], 1), 0)</f>
        <v>1.8</v>
      </c>
      <c r="AH14" s="16">
        <f>IF(MatrizDeAdyacencia!AH14=1, SUMIFS(tblRed[TRADE OFF VALOR OPERATIVO/COSTE], tblRed[Nodo Inicial], $C14, tblRed[Nodo Final], AH$3, tblRed[Activo], 1), 0)</f>
        <v>0</v>
      </c>
    </row>
    <row r="15" spans="2:34" ht="19.5" customHeight="1" x14ac:dyDescent="0.25">
      <c r="B15" s="12" t="str">
        <f>VLOOKUP(tblMatrizTradeOff[[#This Row],[Nodo Orig.\Dest.]],tblNodos[],2,FALSE)</f>
        <v>Colectores digitales instrumentales</v>
      </c>
      <c r="C15" s="4" t="s">
        <v>47</v>
      </c>
      <c r="D15" s="16">
        <f>IF(MatrizDeAdyacencia!D15=1, SUMIFS(tblRed[TRADE OFF VALOR OPERATIVO/COSTE], tblRed[Nodo Inicial], $C15, tblRed[Nodo Final], D$3, tblRed[Activo], 1), 0)</f>
        <v>0</v>
      </c>
      <c r="E15" s="16">
        <f>IF(MatrizDeAdyacencia!E15=1, SUMIFS(tblRed[TRADE OFF VALOR OPERATIVO/COSTE], tblRed[Nodo Inicial], $C15, tblRed[Nodo Final], E$3, tblRed[Activo], 1), 0)</f>
        <v>0</v>
      </c>
      <c r="F15" s="16">
        <f>IF(MatrizDeAdyacencia!F15=1, SUMIFS(tblRed[TRADE OFF VALOR OPERATIVO/COSTE], tblRed[Nodo Inicial], $C15, tblRed[Nodo Final], F$3, tblRed[Activo], 1), 0)</f>
        <v>0</v>
      </c>
      <c r="G15" s="16">
        <f>IF(MatrizDeAdyacencia!G15=1, SUMIFS(tblRed[TRADE OFF VALOR OPERATIVO/COSTE], tblRed[Nodo Inicial], $C15, tblRed[Nodo Final], G$3, tblRed[Activo], 1), 0)</f>
        <v>0</v>
      </c>
      <c r="H15" s="16">
        <f>IF(MatrizDeAdyacencia!H15=1, SUMIFS(tblRed[TRADE OFF VALOR OPERATIVO/COSTE], tblRed[Nodo Inicial], $C15, tblRed[Nodo Final], H$3, tblRed[Activo], 1), 0)</f>
        <v>0</v>
      </c>
      <c r="I15" s="16">
        <f>IF(MatrizDeAdyacencia!I15=1, SUMIFS(tblRed[TRADE OFF VALOR OPERATIVO/COSTE], tblRed[Nodo Inicial], $C15, tblRed[Nodo Final], I$3, tblRed[Activo], 1), 0)</f>
        <v>0</v>
      </c>
      <c r="J15" s="16">
        <f>IF(MatrizDeAdyacencia!J15=1, SUMIFS(tblRed[TRADE OFF VALOR OPERATIVO/COSTE], tblRed[Nodo Inicial], $C15, tblRed[Nodo Final], J$3, tblRed[Activo], 1), 0)</f>
        <v>0</v>
      </c>
      <c r="K15" s="16">
        <f>IF(MatrizDeAdyacencia!K15=1, SUMIFS(tblRed[TRADE OFF VALOR OPERATIVO/COSTE], tblRed[Nodo Inicial], $C15, tblRed[Nodo Final], K$3, tblRed[Activo], 1), 0)</f>
        <v>0</v>
      </c>
      <c r="L15" s="16">
        <f>IF(MatrizDeAdyacencia!L15=1, SUMIFS(tblRed[TRADE OFF VALOR OPERATIVO/COSTE], tblRed[Nodo Inicial], $C15, tblRed[Nodo Final], L$3, tblRed[Activo], 1), 0)</f>
        <v>0</v>
      </c>
      <c r="M15" s="16">
        <f>IF(MatrizDeAdyacencia!M15=1, SUMIFS(tblRed[TRADE OFF VALOR OPERATIVO/COSTE], tblRed[Nodo Inicial], $C15, tblRed[Nodo Final], M$3, tblRed[Activo], 1), 0)</f>
        <v>0</v>
      </c>
      <c r="N15" s="16">
        <f>IF(MatrizDeAdyacencia!N15=1, SUMIFS(tblRed[TRADE OFF VALOR OPERATIVO/COSTE], tblRed[Nodo Inicial], $C15, tblRed[Nodo Final], N$3, tblRed[Activo], 1), 0)</f>
        <v>0</v>
      </c>
      <c r="O15" s="16">
        <f>IF(MatrizDeAdyacencia!O15=1, SUMIFS(tblRed[TRADE OFF VALOR OPERATIVO/COSTE], tblRed[Nodo Inicial], $C15, tblRed[Nodo Final], O$3, tblRed[Activo], 1), 0)</f>
        <v>0</v>
      </c>
      <c r="P15" s="16">
        <f>IF(MatrizDeAdyacencia!P15=1, SUMIFS(tblRed[TRADE OFF VALOR OPERATIVO/COSTE], tblRed[Nodo Inicial], $C15, tblRed[Nodo Final], P$3, tblRed[Activo], 1), 0)</f>
        <v>0</v>
      </c>
      <c r="Q15" s="16">
        <f>IF(MatrizDeAdyacencia!Q15=1, SUMIFS(tblRed[TRADE OFF VALOR OPERATIVO/COSTE], tblRed[Nodo Inicial], $C15, tblRed[Nodo Final], Q$3, tblRed[Activo], 1), 0)</f>
        <v>0</v>
      </c>
      <c r="R15" s="16">
        <f>IF(MatrizDeAdyacencia!R15=1, SUMIFS(tblRed[TRADE OFF VALOR OPERATIVO/COSTE], tblRed[Nodo Inicial], $C15, tblRed[Nodo Final], R$3, tblRed[Activo], 1), 0)</f>
        <v>0</v>
      </c>
      <c r="S15" s="16">
        <f>IF(MatrizDeAdyacencia!S15=1, SUMIFS(tblRed[TRADE OFF VALOR OPERATIVO/COSTE], tblRed[Nodo Inicial], $C15, tblRed[Nodo Final], S$3, tblRed[Activo], 1), 0)</f>
        <v>0</v>
      </c>
      <c r="T15" s="16">
        <f>IF(MatrizDeAdyacencia!T15=1, SUMIFS(tblRed[TRADE OFF VALOR OPERATIVO/COSTE], tblRed[Nodo Inicial], $C15, tblRed[Nodo Final], T$3, tblRed[Activo], 1), 0)</f>
        <v>0</v>
      </c>
      <c r="U15" s="16">
        <f>IF(MatrizDeAdyacencia!U15=1, SUMIFS(tblRed[TRADE OFF VALOR OPERATIVO/COSTE], tblRed[Nodo Inicial], $C15, tblRed[Nodo Final], U$3, tblRed[Activo], 1), 0)</f>
        <v>0</v>
      </c>
      <c r="V15" s="16">
        <f>IF(MatrizDeAdyacencia!V15=1, SUMIFS(tblRed[TRADE OFF VALOR OPERATIVO/COSTE], tblRed[Nodo Inicial], $C15, tblRed[Nodo Final], V$3, tblRed[Activo], 1), 0)</f>
        <v>0</v>
      </c>
      <c r="W15" s="16">
        <f>IF(MatrizDeAdyacencia!W15=1, SUMIFS(tblRed[TRADE OFF VALOR OPERATIVO/COSTE], tblRed[Nodo Inicial], $C15, tblRed[Nodo Final], W$3, tblRed[Activo], 1), 0)</f>
        <v>1.7304347826086954</v>
      </c>
      <c r="X15" s="16">
        <f>IF(MatrizDeAdyacencia!X15=1, SUMIFS(tblRed[TRADE OFF VALOR OPERATIVO/COSTE], tblRed[Nodo Inicial], $C15, tblRed[Nodo Final], X$3, tblRed[Activo], 1), 0)</f>
        <v>2.2999999999999998</v>
      </c>
      <c r="Y15" s="16">
        <f>IF(MatrizDeAdyacencia!Y15=1, SUMIFS(tblRed[TRADE OFF VALOR OPERATIVO/COSTE], tblRed[Nodo Inicial], $C15, tblRed[Nodo Final], Y$3, tblRed[Activo], 1), 0)</f>
        <v>0</v>
      </c>
      <c r="Z15" s="16">
        <f>IF(MatrizDeAdyacencia!Z15=1, SUMIFS(tblRed[TRADE OFF VALOR OPERATIVO/COSTE], tblRed[Nodo Inicial], $C15, tblRed[Nodo Final], Z$3, tblRed[Activo], 1), 0)</f>
        <v>0</v>
      </c>
      <c r="AA15" s="16">
        <f>IF(MatrizDeAdyacencia!AA15=1, SUMIFS(tblRed[TRADE OFF VALOR OPERATIVO/COSTE], tblRed[Nodo Inicial], $C15, tblRed[Nodo Final], AA$3, tblRed[Activo], 1), 0)</f>
        <v>0</v>
      </c>
      <c r="AB15" s="16">
        <f>IF(MatrizDeAdyacencia!AB15=1, SUMIFS(tblRed[TRADE OFF VALOR OPERATIVO/COSTE], tblRed[Nodo Inicial], $C15, tblRed[Nodo Final], AB$3, tblRed[Activo], 1), 0)</f>
        <v>0</v>
      </c>
      <c r="AC15" s="16">
        <f>IF(MatrizDeAdyacencia!AC15=1, SUMIFS(tblRed[TRADE OFF VALOR OPERATIVO/COSTE], tblRed[Nodo Inicial], $C15, tblRed[Nodo Final], AC$3, tblRed[Activo], 1), 0)</f>
        <v>0</v>
      </c>
      <c r="AD15" s="16">
        <f>IF(MatrizDeAdyacencia!AD15=1, SUMIFS(tblRed[TRADE OFF VALOR OPERATIVO/COSTE], tblRed[Nodo Inicial], $C15, tblRed[Nodo Final], AD$3, tblRed[Activo], 1), 0)</f>
        <v>0</v>
      </c>
      <c r="AE15" s="16">
        <f>IF(MatrizDeAdyacencia!AE15=1, SUMIFS(tblRed[TRADE OFF VALOR OPERATIVO/COSTE], tblRed[Nodo Inicial], $C15, tblRed[Nodo Final], AE$3, tblRed[Activo], 1), 0)</f>
        <v>0</v>
      </c>
      <c r="AF15" s="16">
        <f>IF(MatrizDeAdyacencia!AF15=1, SUMIFS(tblRed[TRADE OFF VALOR OPERATIVO/COSTE], tblRed[Nodo Inicial], $C15, tblRed[Nodo Final], AF$3, tblRed[Activo], 1), 0)</f>
        <v>0</v>
      </c>
      <c r="AG15" s="16">
        <f>IF(MatrizDeAdyacencia!AG15=1, SUMIFS(tblRed[TRADE OFF VALOR OPERATIVO/COSTE], tblRed[Nodo Inicial], $C15, tblRed[Nodo Final], AG$3, tblRed[Activo], 1), 0)</f>
        <v>1.8307692307692309</v>
      </c>
      <c r="AH15" s="16">
        <f>IF(MatrizDeAdyacencia!AH15=1, SUMIFS(tblRed[TRADE OFF VALOR OPERATIVO/COSTE], tblRed[Nodo Inicial], $C15, tblRed[Nodo Final], AH$3, tblRed[Activo], 1), 0)</f>
        <v>0</v>
      </c>
    </row>
    <row r="16" spans="2:34" ht="19.5" customHeight="1" x14ac:dyDescent="0.25">
      <c r="B16" s="12" t="str">
        <f>VLOOKUP(tblMatrizTradeOff[[#This Row],[Nodo Orig.\Dest.]],tblNodos[],2,FALSE)</f>
        <v>Colectores empresariales y vehiculares</v>
      </c>
      <c r="C16" s="4" t="s">
        <v>49</v>
      </c>
      <c r="D16" s="16">
        <f>IF(MatrizDeAdyacencia!D16=1, SUMIFS(tblRed[TRADE OFF VALOR OPERATIVO/COSTE], tblRed[Nodo Inicial], $C16, tblRed[Nodo Final], D$3, tblRed[Activo], 1), 0)</f>
        <v>0</v>
      </c>
      <c r="E16" s="16">
        <f>IF(MatrizDeAdyacencia!E16=1, SUMIFS(tblRed[TRADE OFF VALOR OPERATIVO/COSTE], tblRed[Nodo Inicial], $C16, tblRed[Nodo Final], E$3, tblRed[Activo], 1), 0)</f>
        <v>0</v>
      </c>
      <c r="F16" s="16">
        <f>IF(MatrizDeAdyacencia!F16=1, SUMIFS(tblRed[TRADE OFF VALOR OPERATIVO/COSTE], tblRed[Nodo Inicial], $C16, tblRed[Nodo Final], F$3, tblRed[Activo], 1), 0)</f>
        <v>0</v>
      </c>
      <c r="G16" s="16">
        <f>IF(MatrizDeAdyacencia!G16=1, SUMIFS(tblRed[TRADE OFF VALOR OPERATIVO/COSTE], tblRed[Nodo Inicial], $C16, tblRed[Nodo Final], G$3, tblRed[Activo], 1), 0)</f>
        <v>0</v>
      </c>
      <c r="H16" s="16">
        <f>IF(MatrizDeAdyacencia!H16=1, SUMIFS(tblRed[TRADE OFF VALOR OPERATIVO/COSTE], tblRed[Nodo Inicial], $C16, tblRed[Nodo Final], H$3, tblRed[Activo], 1), 0)</f>
        <v>0</v>
      </c>
      <c r="I16" s="16">
        <f>IF(MatrizDeAdyacencia!I16=1, SUMIFS(tblRed[TRADE OFF VALOR OPERATIVO/COSTE], tblRed[Nodo Inicial], $C16, tblRed[Nodo Final], I$3, tblRed[Activo], 1), 0)</f>
        <v>0</v>
      </c>
      <c r="J16" s="16">
        <f>IF(MatrizDeAdyacencia!J16=1, SUMIFS(tblRed[TRADE OFF VALOR OPERATIVO/COSTE], tblRed[Nodo Inicial], $C16, tblRed[Nodo Final], J$3, tblRed[Activo], 1), 0)</f>
        <v>0</v>
      </c>
      <c r="K16" s="16">
        <f>IF(MatrizDeAdyacencia!K16=1, SUMIFS(tblRed[TRADE OFF VALOR OPERATIVO/COSTE], tblRed[Nodo Inicial], $C16, tblRed[Nodo Final], K$3, tblRed[Activo], 1), 0)</f>
        <v>0</v>
      </c>
      <c r="L16" s="16">
        <f>IF(MatrizDeAdyacencia!L16=1, SUMIFS(tblRed[TRADE OFF VALOR OPERATIVO/COSTE], tblRed[Nodo Inicial], $C16, tblRed[Nodo Final], L$3, tblRed[Activo], 1), 0)</f>
        <v>0</v>
      </c>
      <c r="M16" s="16">
        <f>IF(MatrizDeAdyacencia!M16=1, SUMIFS(tblRed[TRADE OFF VALOR OPERATIVO/COSTE], tblRed[Nodo Inicial], $C16, tblRed[Nodo Final], M$3, tblRed[Activo], 1), 0)</f>
        <v>0</v>
      </c>
      <c r="N16" s="16">
        <f>IF(MatrizDeAdyacencia!N16=1, SUMIFS(tblRed[TRADE OFF VALOR OPERATIVO/COSTE], tblRed[Nodo Inicial], $C16, tblRed[Nodo Final], N$3, tblRed[Activo], 1), 0)</f>
        <v>0</v>
      </c>
      <c r="O16" s="16">
        <f>IF(MatrizDeAdyacencia!O16=1, SUMIFS(tblRed[TRADE OFF VALOR OPERATIVO/COSTE], tblRed[Nodo Inicial], $C16, tblRed[Nodo Final], O$3, tblRed[Activo], 1), 0)</f>
        <v>0</v>
      </c>
      <c r="P16" s="16">
        <f>IF(MatrizDeAdyacencia!P16=1, SUMIFS(tblRed[TRADE OFF VALOR OPERATIVO/COSTE], tblRed[Nodo Inicial], $C16, tblRed[Nodo Final], P$3, tblRed[Activo], 1), 0)</f>
        <v>0</v>
      </c>
      <c r="Q16" s="16">
        <f>IF(MatrizDeAdyacencia!Q16=1, SUMIFS(tblRed[TRADE OFF VALOR OPERATIVO/COSTE], tblRed[Nodo Inicial], $C16, tblRed[Nodo Final], Q$3, tblRed[Activo], 1), 0)</f>
        <v>0</v>
      </c>
      <c r="R16" s="16">
        <f>IF(MatrizDeAdyacencia!R16=1, SUMIFS(tblRed[TRADE OFF VALOR OPERATIVO/COSTE], tblRed[Nodo Inicial], $C16, tblRed[Nodo Final], R$3, tblRed[Activo], 1), 0)</f>
        <v>0</v>
      </c>
      <c r="S16" s="16">
        <f>IF(MatrizDeAdyacencia!S16=1, SUMIFS(tblRed[TRADE OFF VALOR OPERATIVO/COSTE], tblRed[Nodo Inicial], $C16, tblRed[Nodo Final], S$3, tblRed[Activo], 1), 0)</f>
        <v>0</v>
      </c>
      <c r="T16" s="16">
        <f>IF(MatrizDeAdyacencia!T16=1, SUMIFS(tblRed[TRADE OFF VALOR OPERATIVO/COSTE], tblRed[Nodo Inicial], $C16, tblRed[Nodo Final], T$3, tblRed[Activo], 1), 0)</f>
        <v>0</v>
      </c>
      <c r="U16" s="16">
        <f>IF(MatrizDeAdyacencia!U16=1, SUMIFS(tblRed[TRADE OFF VALOR OPERATIVO/COSTE], tblRed[Nodo Inicial], $C16, tblRed[Nodo Final], U$3, tblRed[Activo], 1), 0)</f>
        <v>0</v>
      </c>
      <c r="V16" s="16">
        <f>IF(MatrizDeAdyacencia!V16=1, SUMIFS(tblRed[TRADE OFF VALOR OPERATIVO/COSTE], tblRed[Nodo Inicial], $C16, tblRed[Nodo Final], V$3, tblRed[Activo], 1), 0)</f>
        <v>2.5555555555555554</v>
      </c>
      <c r="W16" s="16">
        <f>IF(MatrizDeAdyacencia!W16=1, SUMIFS(tblRed[TRADE OFF VALOR OPERATIVO/COSTE], tblRed[Nodo Inicial], $C16, tblRed[Nodo Final], W$3, tblRed[Activo], 1), 0)</f>
        <v>1.7466666666666668</v>
      </c>
      <c r="X16" s="16">
        <f>IF(MatrizDeAdyacencia!X16=1, SUMIFS(tblRed[TRADE OFF VALOR OPERATIVO/COSTE], tblRed[Nodo Inicial], $C16, tblRed[Nodo Final], X$3, tblRed[Activo], 1), 0)</f>
        <v>0</v>
      </c>
      <c r="Y16" s="16">
        <f>IF(MatrizDeAdyacencia!Y16=1, SUMIFS(tblRed[TRADE OFF VALOR OPERATIVO/COSTE], tblRed[Nodo Inicial], $C16, tblRed[Nodo Final], Y$3, tblRed[Activo], 1), 0)</f>
        <v>2.3571428571428577</v>
      </c>
      <c r="Z16" s="16">
        <f>IF(MatrizDeAdyacencia!Z16=1, SUMIFS(tblRed[TRADE OFF VALOR OPERATIVO/COSTE], tblRed[Nodo Inicial], $C16, tblRed[Nodo Final], Z$3, tblRed[Activo], 1), 0)</f>
        <v>0</v>
      </c>
      <c r="AA16" s="16">
        <f>IF(MatrizDeAdyacencia!AA16=1, SUMIFS(tblRed[TRADE OFF VALOR OPERATIVO/COSTE], tblRed[Nodo Inicial], $C16, tblRed[Nodo Final], AA$3, tblRed[Activo], 1), 0)</f>
        <v>0</v>
      </c>
      <c r="AB16" s="16">
        <f>IF(MatrizDeAdyacencia!AB16=1, SUMIFS(tblRed[TRADE OFF VALOR OPERATIVO/COSTE], tblRed[Nodo Inicial], $C16, tblRed[Nodo Final], AB$3, tblRed[Activo], 1), 0)</f>
        <v>2.1578947368421053</v>
      </c>
      <c r="AC16" s="16">
        <f>IF(MatrizDeAdyacencia!AC16=1, SUMIFS(tblRed[TRADE OFF VALOR OPERATIVO/COSTE], tblRed[Nodo Inicial], $C16, tblRed[Nodo Final], AC$3, tblRed[Activo], 1), 0)</f>
        <v>0</v>
      </c>
      <c r="AD16" s="16">
        <f>IF(MatrizDeAdyacencia!AD16=1, SUMIFS(tblRed[TRADE OFF VALOR OPERATIVO/COSTE], tblRed[Nodo Inicial], $C16, tblRed[Nodo Final], AD$3, tblRed[Activo], 1), 0)</f>
        <v>0</v>
      </c>
      <c r="AE16" s="16">
        <f>IF(MatrizDeAdyacencia!AE16=1, SUMIFS(tblRed[TRADE OFF VALOR OPERATIVO/COSTE], tblRed[Nodo Inicial], $C16, tblRed[Nodo Final], AE$3, tblRed[Activo], 1), 0)</f>
        <v>0</v>
      </c>
      <c r="AF16" s="16">
        <f>IF(MatrizDeAdyacencia!AF16=1, SUMIFS(tblRed[TRADE OFF VALOR OPERATIVO/COSTE], tblRed[Nodo Inicial], $C16, tblRed[Nodo Final], AF$3, tblRed[Activo], 1), 0)</f>
        <v>0</v>
      </c>
      <c r="AG16" s="16">
        <f>IF(MatrizDeAdyacencia!AG16=1, SUMIFS(tblRed[TRADE OFF VALOR OPERATIVO/COSTE], tblRed[Nodo Inicial], $C16, tblRed[Nodo Final], AG$3, tblRed[Activo], 1), 0)</f>
        <v>0</v>
      </c>
      <c r="AH16" s="16">
        <f>IF(MatrizDeAdyacencia!AH16=1, SUMIFS(tblRed[TRADE OFF VALOR OPERATIVO/COSTE], tblRed[Nodo Inicial], $C16, tblRed[Nodo Final], AH$3, tblRed[Activo], 1), 0)</f>
        <v>0</v>
      </c>
    </row>
    <row r="17" spans="2:34" ht="19.5" customHeight="1" x14ac:dyDescent="0.25">
      <c r="B17" s="12" t="str">
        <f>VLOOKUP(tblMatrizTradeOff[[#This Row],[Nodo Orig.\Dest.]],tblNodos[],2,FALSE)</f>
        <v>Colectores instrumentales / de ocultación</v>
      </c>
      <c r="C17" s="4" t="s">
        <v>51</v>
      </c>
      <c r="D17" s="16">
        <f>IF(MatrizDeAdyacencia!D17=1, SUMIFS(tblRed[TRADE OFF VALOR OPERATIVO/COSTE], tblRed[Nodo Inicial], $C17, tblRed[Nodo Final], D$3, tblRed[Activo], 1), 0)</f>
        <v>0</v>
      </c>
      <c r="E17" s="16">
        <f>IF(MatrizDeAdyacencia!E17=1, SUMIFS(tblRed[TRADE OFF VALOR OPERATIVO/COSTE], tblRed[Nodo Inicial], $C17, tblRed[Nodo Final], E$3, tblRed[Activo], 1), 0)</f>
        <v>0</v>
      </c>
      <c r="F17" s="16">
        <f>IF(MatrizDeAdyacencia!F17=1, SUMIFS(tblRed[TRADE OFF VALOR OPERATIVO/COSTE], tblRed[Nodo Inicial], $C17, tblRed[Nodo Final], F$3, tblRed[Activo], 1), 0)</f>
        <v>0</v>
      </c>
      <c r="G17" s="16">
        <f>IF(MatrizDeAdyacencia!G17=1, SUMIFS(tblRed[TRADE OFF VALOR OPERATIVO/COSTE], tblRed[Nodo Inicial], $C17, tblRed[Nodo Final], G$3, tblRed[Activo], 1), 0)</f>
        <v>0</v>
      </c>
      <c r="H17" s="16">
        <f>IF(MatrizDeAdyacencia!H17=1, SUMIFS(tblRed[TRADE OFF VALOR OPERATIVO/COSTE], tblRed[Nodo Inicial], $C17, tblRed[Nodo Final], H$3, tblRed[Activo], 1), 0)</f>
        <v>0</v>
      </c>
      <c r="I17" s="16">
        <f>IF(MatrizDeAdyacencia!I17=1, SUMIFS(tblRed[TRADE OFF VALOR OPERATIVO/COSTE], tblRed[Nodo Inicial], $C17, tblRed[Nodo Final], I$3, tblRed[Activo], 1), 0)</f>
        <v>0</v>
      </c>
      <c r="J17" s="16">
        <f>IF(MatrizDeAdyacencia!J17=1, SUMIFS(tblRed[TRADE OFF VALOR OPERATIVO/COSTE], tblRed[Nodo Inicial], $C17, tblRed[Nodo Final], J$3, tblRed[Activo], 1), 0)</f>
        <v>0</v>
      </c>
      <c r="K17" s="16">
        <f>IF(MatrizDeAdyacencia!K17=1, SUMIFS(tblRed[TRADE OFF VALOR OPERATIVO/COSTE], tblRed[Nodo Inicial], $C17, tblRed[Nodo Final], K$3, tblRed[Activo], 1), 0)</f>
        <v>0</v>
      </c>
      <c r="L17" s="16">
        <f>IF(MatrizDeAdyacencia!L17=1, SUMIFS(tblRed[TRADE OFF VALOR OPERATIVO/COSTE], tblRed[Nodo Inicial], $C17, tblRed[Nodo Final], L$3, tblRed[Activo], 1), 0)</f>
        <v>0</v>
      </c>
      <c r="M17" s="16">
        <f>IF(MatrizDeAdyacencia!M17=1, SUMIFS(tblRed[TRADE OFF VALOR OPERATIVO/COSTE], tblRed[Nodo Inicial], $C17, tblRed[Nodo Final], M$3, tblRed[Activo], 1), 0)</f>
        <v>0</v>
      </c>
      <c r="N17" s="16">
        <f>IF(MatrizDeAdyacencia!N17=1, SUMIFS(tblRed[TRADE OFF VALOR OPERATIVO/COSTE], tblRed[Nodo Inicial], $C17, tblRed[Nodo Final], N$3, tblRed[Activo], 1), 0)</f>
        <v>0</v>
      </c>
      <c r="O17" s="16">
        <f>IF(MatrizDeAdyacencia!O17=1, SUMIFS(tblRed[TRADE OFF VALOR OPERATIVO/COSTE], tblRed[Nodo Inicial], $C17, tblRed[Nodo Final], O$3, tblRed[Activo], 1), 0)</f>
        <v>0</v>
      </c>
      <c r="P17" s="16">
        <f>IF(MatrizDeAdyacencia!P17=1, SUMIFS(tblRed[TRADE OFF VALOR OPERATIVO/COSTE], tblRed[Nodo Inicial], $C17, tblRed[Nodo Final], P$3, tblRed[Activo], 1), 0)</f>
        <v>0</v>
      </c>
      <c r="Q17" s="16">
        <f>IF(MatrizDeAdyacencia!Q17=1, SUMIFS(tblRed[TRADE OFF VALOR OPERATIVO/COSTE], tblRed[Nodo Inicial], $C17, tblRed[Nodo Final], Q$3, tblRed[Activo], 1), 0)</f>
        <v>0</v>
      </c>
      <c r="R17" s="16">
        <f>IF(MatrizDeAdyacencia!R17=1, SUMIFS(tblRed[TRADE OFF VALOR OPERATIVO/COSTE], tblRed[Nodo Inicial], $C17, tblRed[Nodo Final], R$3, tblRed[Activo], 1), 0)</f>
        <v>0</v>
      </c>
      <c r="S17" s="16">
        <f>IF(MatrizDeAdyacencia!S17=1, SUMIFS(tblRed[TRADE OFF VALOR OPERATIVO/COSTE], tblRed[Nodo Inicial], $C17, tblRed[Nodo Final], S$3, tblRed[Activo], 1), 0)</f>
        <v>0</v>
      </c>
      <c r="T17" s="16">
        <f>IF(MatrizDeAdyacencia!T17=1, SUMIFS(tblRed[TRADE OFF VALOR OPERATIVO/COSTE], tblRed[Nodo Inicial], $C17, tblRed[Nodo Final], T$3, tblRed[Activo], 1), 0)</f>
        <v>2.25</v>
      </c>
      <c r="U17" s="16">
        <f>IF(MatrizDeAdyacencia!U17=1, SUMIFS(tblRed[TRADE OFF VALOR OPERATIVO/COSTE], tblRed[Nodo Inicial], $C17, tblRed[Nodo Final], U$3, tblRed[Activo], 1), 0)</f>
        <v>0</v>
      </c>
      <c r="V17" s="16">
        <f>IF(MatrizDeAdyacencia!V17=1, SUMIFS(tblRed[TRADE OFF VALOR OPERATIVO/COSTE], tblRed[Nodo Inicial], $C17, tblRed[Nodo Final], V$3, tblRed[Activo], 1), 0)</f>
        <v>2.5555555555555554</v>
      </c>
      <c r="W17" s="16">
        <f>IF(MatrizDeAdyacencia!W17=1, SUMIFS(tblRed[TRADE OFF VALOR OPERATIVO/COSTE], tblRed[Nodo Inicial], $C17, tblRed[Nodo Final], W$3, tblRed[Activo], 1), 0)</f>
        <v>1.8</v>
      </c>
      <c r="X17" s="16">
        <f>IF(MatrizDeAdyacencia!X17=1, SUMIFS(tblRed[TRADE OFF VALOR OPERATIVO/COSTE], tblRed[Nodo Inicial], $C17, tblRed[Nodo Final], X$3, tblRed[Activo], 1), 0)</f>
        <v>0</v>
      </c>
      <c r="Y17" s="16">
        <f>IF(MatrizDeAdyacencia!Y17=1, SUMIFS(tblRed[TRADE OFF VALOR OPERATIVO/COSTE], tblRed[Nodo Inicial], $C17, tblRed[Nodo Final], Y$3, tblRed[Activo], 1), 0)</f>
        <v>0</v>
      </c>
      <c r="Z17" s="16">
        <f>IF(MatrizDeAdyacencia!Z17=1, SUMIFS(tblRed[TRADE OFF VALOR OPERATIVO/COSTE], tblRed[Nodo Inicial], $C17, tblRed[Nodo Final], Z$3, tblRed[Activo], 1), 0)</f>
        <v>0</v>
      </c>
      <c r="AA17" s="16">
        <f>IF(MatrizDeAdyacencia!AA17=1, SUMIFS(tblRed[TRADE OFF VALOR OPERATIVO/COSTE], tblRed[Nodo Inicial], $C17, tblRed[Nodo Final], AA$3, tblRed[Activo], 1), 0)</f>
        <v>2.8571428571428572</v>
      </c>
      <c r="AB17" s="16">
        <f>IF(MatrizDeAdyacencia!AB17=1, SUMIFS(tblRed[TRADE OFF VALOR OPERATIVO/COSTE], tblRed[Nodo Inicial], $C17, tblRed[Nodo Final], AB$3, tblRed[Activo], 1), 0)</f>
        <v>0</v>
      </c>
      <c r="AC17" s="16">
        <f>IF(MatrizDeAdyacencia!AC17=1, SUMIFS(tblRed[TRADE OFF VALOR OPERATIVO/COSTE], tblRed[Nodo Inicial], $C17, tblRed[Nodo Final], AC$3, tblRed[Activo], 1), 0)</f>
        <v>0</v>
      </c>
      <c r="AD17" s="16">
        <f>IF(MatrizDeAdyacencia!AD17=1, SUMIFS(tblRed[TRADE OFF VALOR OPERATIVO/COSTE], tblRed[Nodo Inicial], $C17, tblRed[Nodo Final], AD$3, tblRed[Activo], 1), 0)</f>
        <v>0</v>
      </c>
      <c r="AE17" s="16">
        <f>IF(MatrizDeAdyacencia!AE17=1, SUMIFS(tblRed[TRADE OFF VALOR OPERATIVO/COSTE], tblRed[Nodo Inicial], $C17, tblRed[Nodo Final], AE$3, tblRed[Activo], 1), 0)</f>
        <v>0</v>
      </c>
      <c r="AF17" s="16">
        <f>IF(MatrizDeAdyacencia!AF17=1, SUMIFS(tblRed[TRADE OFF VALOR OPERATIVO/COSTE], tblRed[Nodo Inicial], $C17, tblRed[Nodo Final], AF$3, tblRed[Activo], 1), 0)</f>
        <v>0</v>
      </c>
      <c r="AG17" s="16">
        <f>IF(MatrizDeAdyacencia!AG17=1, SUMIFS(tblRed[TRADE OFF VALOR OPERATIVO/COSTE], tblRed[Nodo Inicial], $C17, tblRed[Nodo Final], AG$3, tblRed[Activo], 1), 0)</f>
        <v>0</v>
      </c>
      <c r="AH17" s="16">
        <f>IF(MatrizDeAdyacencia!AH17=1, SUMIFS(tblRed[TRADE OFF VALOR OPERATIVO/COSTE], tblRed[Nodo Inicial], $C17, tblRed[Nodo Final], AH$3, tblRed[Activo], 1), 0)</f>
        <v>0</v>
      </c>
    </row>
    <row r="18" spans="2:34" ht="19.5" customHeight="1" x14ac:dyDescent="0.25">
      <c r="B18" s="12" t="str">
        <f>VLOOKUP(tblMatrizTradeOff[[#This Row],[Nodo Orig.\Dest.]],tblNodos[],2,FALSE)</f>
        <v>Intermediarios físicos de transporte de valor</v>
      </c>
      <c r="C18" s="4" t="s">
        <v>53</v>
      </c>
      <c r="D18" s="16">
        <f>IF(MatrizDeAdyacencia!D18=1, SUMIFS(tblRed[TRADE OFF VALOR OPERATIVO/COSTE], tblRed[Nodo Inicial], $C18, tblRed[Nodo Final], D$3, tblRed[Activo], 1), 0)</f>
        <v>0</v>
      </c>
      <c r="E18" s="16">
        <f>IF(MatrizDeAdyacencia!E18=1, SUMIFS(tblRed[TRADE OFF VALOR OPERATIVO/COSTE], tblRed[Nodo Inicial], $C18, tblRed[Nodo Final], E$3, tblRed[Activo], 1), 0)</f>
        <v>0</v>
      </c>
      <c r="F18" s="16">
        <f>IF(MatrizDeAdyacencia!F18=1, SUMIFS(tblRed[TRADE OFF VALOR OPERATIVO/COSTE], tblRed[Nodo Inicial], $C18, tblRed[Nodo Final], F$3, tblRed[Activo], 1), 0)</f>
        <v>0</v>
      </c>
      <c r="G18" s="16">
        <f>IF(MatrizDeAdyacencia!G18=1, SUMIFS(tblRed[TRADE OFF VALOR OPERATIVO/COSTE], tblRed[Nodo Inicial], $C18, tblRed[Nodo Final], G$3, tblRed[Activo], 1), 0)</f>
        <v>0</v>
      </c>
      <c r="H18" s="16">
        <f>IF(MatrizDeAdyacencia!H18=1, SUMIFS(tblRed[TRADE OFF VALOR OPERATIVO/COSTE], tblRed[Nodo Inicial], $C18, tblRed[Nodo Final], H$3, tblRed[Activo], 1), 0)</f>
        <v>0</v>
      </c>
      <c r="I18" s="16">
        <f>IF(MatrizDeAdyacencia!I18=1, SUMIFS(tblRed[TRADE OFF VALOR OPERATIVO/COSTE], tblRed[Nodo Inicial], $C18, tblRed[Nodo Final], I$3, tblRed[Activo], 1), 0)</f>
        <v>0</v>
      </c>
      <c r="J18" s="16">
        <f>IF(MatrizDeAdyacencia!J18=1, SUMIFS(tblRed[TRADE OFF VALOR OPERATIVO/COSTE], tblRed[Nodo Inicial], $C18, tblRed[Nodo Final], J$3, tblRed[Activo], 1), 0)</f>
        <v>0</v>
      </c>
      <c r="K18" s="16">
        <f>IF(MatrizDeAdyacencia!K18=1, SUMIFS(tblRed[TRADE OFF VALOR OPERATIVO/COSTE], tblRed[Nodo Inicial], $C18, tblRed[Nodo Final], K$3, tblRed[Activo], 1), 0)</f>
        <v>0</v>
      </c>
      <c r="L18" s="16">
        <f>IF(MatrizDeAdyacencia!L18=1, SUMIFS(tblRed[TRADE OFF VALOR OPERATIVO/COSTE], tblRed[Nodo Inicial], $C18, tblRed[Nodo Final], L$3, tblRed[Activo], 1), 0)</f>
        <v>0</v>
      </c>
      <c r="M18" s="16">
        <f>IF(MatrizDeAdyacencia!M18=1, SUMIFS(tblRed[TRADE OFF VALOR OPERATIVO/COSTE], tblRed[Nodo Inicial], $C18, tblRed[Nodo Final], M$3, tblRed[Activo], 1), 0)</f>
        <v>0</v>
      </c>
      <c r="N18" s="16">
        <f>IF(MatrizDeAdyacencia!N18=1, SUMIFS(tblRed[TRADE OFF VALOR OPERATIVO/COSTE], tblRed[Nodo Inicial], $C18, tblRed[Nodo Final], N$3, tblRed[Activo], 1), 0)</f>
        <v>0</v>
      </c>
      <c r="O18" s="16">
        <f>IF(MatrizDeAdyacencia!O18=1, SUMIFS(tblRed[TRADE OFF VALOR OPERATIVO/COSTE], tblRed[Nodo Inicial], $C18, tblRed[Nodo Final], O$3, tblRed[Activo], 1), 0)</f>
        <v>0</v>
      </c>
      <c r="P18" s="16">
        <f>IF(MatrizDeAdyacencia!P18=1, SUMIFS(tblRed[TRADE OFF VALOR OPERATIVO/COSTE], tblRed[Nodo Inicial], $C18, tblRed[Nodo Final], P$3, tblRed[Activo], 1), 0)</f>
        <v>0</v>
      </c>
      <c r="Q18" s="16">
        <f>IF(MatrizDeAdyacencia!Q18=1, SUMIFS(tblRed[TRADE OFF VALOR OPERATIVO/COSTE], tblRed[Nodo Inicial], $C18, tblRed[Nodo Final], Q$3, tblRed[Activo], 1), 0)</f>
        <v>0</v>
      </c>
      <c r="R18" s="16">
        <f>IF(MatrizDeAdyacencia!R18=1, SUMIFS(tblRed[TRADE OFF VALOR OPERATIVO/COSTE], tblRed[Nodo Inicial], $C18, tblRed[Nodo Final], R$3, tblRed[Activo], 1), 0)</f>
        <v>0</v>
      </c>
      <c r="S18" s="16">
        <f>IF(MatrizDeAdyacencia!S18=1, SUMIFS(tblRed[TRADE OFF VALOR OPERATIVO/COSTE], tblRed[Nodo Inicial], $C18, tblRed[Nodo Final], S$3, tblRed[Activo], 1), 0)</f>
        <v>0</v>
      </c>
      <c r="T18" s="16">
        <f>IF(MatrizDeAdyacencia!T18=1, SUMIFS(tblRed[TRADE OFF VALOR OPERATIVO/COSTE], tblRed[Nodo Inicial], $C18, tblRed[Nodo Final], T$3, tblRed[Activo], 1), 0)</f>
        <v>0</v>
      </c>
      <c r="U18" s="16">
        <f>IF(MatrizDeAdyacencia!U18=1, SUMIFS(tblRed[TRADE OFF VALOR OPERATIVO/COSTE], tblRed[Nodo Inicial], $C18, tblRed[Nodo Final], U$3, tblRed[Activo], 1), 0)</f>
        <v>0</v>
      </c>
      <c r="V18" s="16">
        <f>IF(MatrizDeAdyacencia!V18=1, SUMIFS(tblRed[TRADE OFF VALOR OPERATIVO/COSTE], tblRed[Nodo Inicial], $C18, tblRed[Nodo Final], V$3, tblRed[Activo], 1), 0)</f>
        <v>0</v>
      </c>
      <c r="W18" s="16">
        <f>IF(MatrizDeAdyacencia!W18=1, SUMIFS(tblRed[TRADE OFF VALOR OPERATIVO/COSTE], tblRed[Nodo Inicial], $C18, tblRed[Nodo Final], W$3, tblRed[Activo], 1), 0)</f>
        <v>0</v>
      </c>
      <c r="X18" s="16">
        <f>IF(MatrizDeAdyacencia!X18=1, SUMIFS(tblRed[TRADE OFF VALOR OPERATIVO/COSTE], tblRed[Nodo Inicial], $C18, tblRed[Nodo Final], X$3, tblRed[Activo], 1), 0)</f>
        <v>0</v>
      </c>
      <c r="Y18" s="16">
        <f>IF(MatrizDeAdyacencia!Y18=1, SUMIFS(tblRed[TRADE OFF VALOR OPERATIVO/COSTE], tblRed[Nodo Inicial], $C18, tblRed[Nodo Final], Y$3, tblRed[Activo], 1), 0)</f>
        <v>0</v>
      </c>
      <c r="Z18" s="16">
        <f>IF(MatrizDeAdyacencia!Z18=1, SUMIFS(tblRed[TRADE OFF VALOR OPERATIVO/COSTE], tblRed[Nodo Inicial], $C18, tblRed[Nodo Final], Z$3, tblRed[Activo], 1), 0)</f>
        <v>0</v>
      </c>
      <c r="AA18" s="16">
        <f>IF(MatrizDeAdyacencia!AA18=1, SUMIFS(tblRed[TRADE OFF VALOR OPERATIVO/COSTE], tblRed[Nodo Inicial], $C18, tblRed[Nodo Final], AA$3, tblRed[Activo], 1), 0)</f>
        <v>0</v>
      </c>
      <c r="AB18" s="16">
        <f>IF(MatrizDeAdyacencia!AB18=1, SUMIFS(tblRed[TRADE OFF VALOR OPERATIVO/COSTE], tblRed[Nodo Inicial], $C18, tblRed[Nodo Final], AB$3, tblRed[Activo], 1), 0)</f>
        <v>0</v>
      </c>
      <c r="AC18" s="16">
        <f>IF(MatrizDeAdyacencia!AC18=1, SUMIFS(tblRed[TRADE OFF VALOR OPERATIVO/COSTE], tblRed[Nodo Inicial], $C18, tblRed[Nodo Final], AC$3, tblRed[Activo], 1), 0)</f>
        <v>0</v>
      </c>
      <c r="AD18" s="16">
        <f>IF(MatrizDeAdyacencia!AD18=1, SUMIFS(tblRed[TRADE OFF VALOR OPERATIVO/COSTE], tblRed[Nodo Inicial], $C18, tblRed[Nodo Final], AD$3, tblRed[Activo], 1), 0)</f>
        <v>2.4251968503937009</v>
      </c>
      <c r="AE18" s="16">
        <f>IF(MatrizDeAdyacencia!AE18=1, SUMIFS(tblRed[TRADE OFF VALOR OPERATIVO/COSTE], tblRed[Nodo Inicial], $C18, tblRed[Nodo Final], AE$3, tblRed[Activo], 1), 0)</f>
        <v>3</v>
      </c>
      <c r="AF18" s="16">
        <f>IF(MatrizDeAdyacencia!AF18=1, SUMIFS(tblRed[TRADE OFF VALOR OPERATIVO/COSTE], tblRed[Nodo Inicial], $C18, tblRed[Nodo Final], AF$3, tblRed[Activo], 1), 0)</f>
        <v>0</v>
      </c>
      <c r="AG18" s="16">
        <f>IF(MatrizDeAdyacencia!AG18=1, SUMIFS(tblRed[TRADE OFF VALOR OPERATIVO/COSTE], tblRed[Nodo Inicial], $C18, tblRed[Nodo Final], AG$3, tblRed[Activo], 1), 0)</f>
        <v>0</v>
      </c>
      <c r="AH18" s="16">
        <f>IF(MatrizDeAdyacencia!AH18=1, SUMIFS(tblRed[TRADE OFF VALOR OPERATIVO/COSTE], tblRed[Nodo Inicial], $C18, tblRed[Nodo Final], AH$3, tblRed[Activo], 1), 0)</f>
        <v>0</v>
      </c>
    </row>
    <row r="19" spans="2:34" ht="19.5" customHeight="1" x14ac:dyDescent="0.25">
      <c r="B19" s="12" t="str">
        <f>VLOOKUP(tblMatrizTradeOff[[#This Row],[Nodo Orig.\Dest.]],tblNodos[],2,FALSE)</f>
        <v>Intermediarios informales y paralelos</v>
      </c>
      <c r="C19" s="4" t="s">
        <v>55</v>
      </c>
      <c r="D19" s="16">
        <f>IF(MatrizDeAdyacencia!D19=1, SUMIFS(tblRed[TRADE OFF VALOR OPERATIVO/COSTE], tblRed[Nodo Inicial], $C19, tblRed[Nodo Final], D$3, tblRed[Activo], 1), 0)</f>
        <v>0</v>
      </c>
      <c r="E19" s="16">
        <f>IF(MatrizDeAdyacencia!E19=1, SUMIFS(tblRed[TRADE OFF VALOR OPERATIVO/COSTE], tblRed[Nodo Inicial], $C19, tblRed[Nodo Final], E$3, tblRed[Activo], 1), 0)</f>
        <v>0</v>
      </c>
      <c r="F19" s="16">
        <f>IF(MatrizDeAdyacencia!F19=1, SUMIFS(tblRed[TRADE OFF VALOR OPERATIVO/COSTE], tblRed[Nodo Inicial], $C19, tblRed[Nodo Final], F$3, tblRed[Activo], 1), 0)</f>
        <v>0</v>
      </c>
      <c r="G19" s="16">
        <f>IF(MatrizDeAdyacencia!G19=1, SUMIFS(tblRed[TRADE OFF VALOR OPERATIVO/COSTE], tblRed[Nodo Inicial], $C19, tblRed[Nodo Final], G$3, tblRed[Activo], 1), 0)</f>
        <v>0</v>
      </c>
      <c r="H19" s="16">
        <f>IF(MatrizDeAdyacencia!H19=1, SUMIFS(tblRed[TRADE OFF VALOR OPERATIVO/COSTE], tblRed[Nodo Inicial], $C19, tblRed[Nodo Final], H$3, tblRed[Activo], 1), 0)</f>
        <v>0</v>
      </c>
      <c r="I19" s="16">
        <f>IF(MatrizDeAdyacencia!I19=1, SUMIFS(tblRed[TRADE OFF VALOR OPERATIVO/COSTE], tblRed[Nodo Inicial], $C19, tblRed[Nodo Final], I$3, tblRed[Activo], 1), 0)</f>
        <v>0</v>
      </c>
      <c r="J19" s="16">
        <f>IF(MatrizDeAdyacencia!J19=1, SUMIFS(tblRed[TRADE OFF VALOR OPERATIVO/COSTE], tblRed[Nodo Inicial], $C19, tblRed[Nodo Final], J$3, tblRed[Activo], 1), 0)</f>
        <v>0</v>
      </c>
      <c r="K19" s="16">
        <f>IF(MatrizDeAdyacencia!K19=1, SUMIFS(tblRed[TRADE OFF VALOR OPERATIVO/COSTE], tblRed[Nodo Inicial], $C19, tblRed[Nodo Final], K$3, tblRed[Activo], 1), 0)</f>
        <v>0</v>
      </c>
      <c r="L19" s="16">
        <f>IF(MatrizDeAdyacencia!L19=1, SUMIFS(tblRed[TRADE OFF VALOR OPERATIVO/COSTE], tblRed[Nodo Inicial], $C19, tblRed[Nodo Final], L$3, tblRed[Activo], 1), 0)</f>
        <v>0</v>
      </c>
      <c r="M19" s="16">
        <f>IF(MatrizDeAdyacencia!M19=1, SUMIFS(tblRed[TRADE OFF VALOR OPERATIVO/COSTE], tblRed[Nodo Inicial], $C19, tblRed[Nodo Final], M$3, tblRed[Activo], 1), 0)</f>
        <v>0</v>
      </c>
      <c r="N19" s="16">
        <f>IF(MatrizDeAdyacencia!N19=1, SUMIFS(tblRed[TRADE OFF VALOR OPERATIVO/COSTE], tblRed[Nodo Inicial], $C19, tblRed[Nodo Final], N$3, tblRed[Activo], 1), 0)</f>
        <v>0</v>
      </c>
      <c r="O19" s="16">
        <f>IF(MatrizDeAdyacencia!O19=1, SUMIFS(tblRed[TRADE OFF VALOR OPERATIVO/COSTE], tblRed[Nodo Inicial], $C19, tblRed[Nodo Final], O$3, tblRed[Activo], 1), 0)</f>
        <v>0</v>
      </c>
      <c r="P19" s="16">
        <f>IF(MatrizDeAdyacencia!P19=1, SUMIFS(tblRed[TRADE OFF VALOR OPERATIVO/COSTE], tblRed[Nodo Inicial], $C19, tblRed[Nodo Final], P$3, tblRed[Activo], 1), 0)</f>
        <v>0</v>
      </c>
      <c r="Q19" s="16">
        <f>IF(MatrizDeAdyacencia!Q19=1, SUMIFS(tblRed[TRADE OFF VALOR OPERATIVO/COSTE], tblRed[Nodo Inicial], $C19, tblRed[Nodo Final], Q$3, tblRed[Activo], 1), 0)</f>
        <v>0</v>
      </c>
      <c r="R19" s="16">
        <f>IF(MatrizDeAdyacencia!R19=1, SUMIFS(tblRed[TRADE OFF VALOR OPERATIVO/COSTE], tblRed[Nodo Inicial], $C19, tblRed[Nodo Final], R$3, tblRed[Activo], 1), 0)</f>
        <v>0</v>
      </c>
      <c r="S19" s="16">
        <f>IF(MatrizDeAdyacencia!S19=1, SUMIFS(tblRed[TRADE OFF VALOR OPERATIVO/COSTE], tblRed[Nodo Inicial], $C19, tblRed[Nodo Final], S$3, tblRed[Activo], 1), 0)</f>
        <v>0</v>
      </c>
      <c r="T19" s="16">
        <f>IF(MatrizDeAdyacencia!T19=1, SUMIFS(tblRed[TRADE OFF VALOR OPERATIVO/COSTE], tblRed[Nodo Inicial], $C19, tblRed[Nodo Final], T$3, tblRed[Activo], 1), 0)</f>
        <v>0</v>
      </c>
      <c r="U19" s="16">
        <f>IF(MatrizDeAdyacencia!U19=1, SUMIFS(tblRed[TRADE OFF VALOR OPERATIVO/COSTE], tblRed[Nodo Inicial], $C19, tblRed[Nodo Final], U$3, tblRed[Activo], 1), 0)</f>
        <v>0</v>
      </c>
      <c r="V19" s="16">
        <f>IF(MatrizDeAdyacencia!V19=1, SUMIFS(tblRed[TRADE OFF VALOR OPERATIVO/COSTE], tblRed[Nodo Inicial], $C19, tblRed[Nodo Final], V$3, tblRed[Activo], 1), 0)</f>
        <v>0</v>
      </c>
      <c r="W19" s="16">
        <f>IF(MatrizDeAdyacencia!W19=1, SUMIFS(tblRed[TRADE OFF VALOR OPERATIVO/COSTE], tblRed[Nodo Inicial], $C19, tblRed[Nodo Final], W$3, tblRed[Activo], 1), 0)</f>
        <v>0</v>
      </c>
      <c r="X19" s="16">
        <f>IF(MatrizDeAdyacencia!X19=1, SUMIFS(tblRed[TRADE OFF VALOR OPERATIVO/COSTE], tblRed[Nodo Inicial], $C19, tblRed[Nodo Final], X$3, tblRed[Activo], 1), 0)</f>
        <v>0</v>
      </c>
      <c r="Y19" s="16">
        <f>IF(MatrizDeAdyacencia!Y19=1, SUMIFS(tblRed[TRADE OFF VALOR OPERATIVO/COSTE], tblRed[Nodo Inicial], $C19, tblRed[Nodo Final], Y$3, tblRed[Activo], 1), 0)</f>
        <v>0</v>
      </c>
      <c r="Z19" s="16">
        <f>IF(MatrizDeAdyacencia!Z19=1, SUMIFS(tblRed[TRADE OFF VALOR OPERATIVO/COSTE], tblRed[Nodo Inicial], $C19, tblRed[Nodo Final], Z$3, tblRed[Activo], 1), 0)</f>
        <v>0</v>
      </c>
      <c r="AA19" s="16">
        <f>IF(MatrizDeAdyacencia!AA19=1, SUMIFS(tblRed[TRADE OFF VALOR OPERATIVO/COSTE], tblRed[Nodo Inicial], $C19, tblRed[Nodo Final], AA$3, tblRed[Activo], 1), 0)</f>
        <v>0</v>
      </c>
      <c r="AB19" s="16">
        <f>IF(MatrizDeAdyacencia!AB19=1, SUMIFS(tblRed[TRADE OFF VALOR OPERATIVO/COSTE], tblRed[Nodo Inicial], $C19, tblRed[Nodo Final], AB$3, tblRed[Activo], 1), 0)</f>
        <v>0</v>
      </c>
      <c r="AC19" s="16">
        <f>IF(MatrizDeAdyacencia!AC19=1, SUMIFS(tblRed[TRADE OFF VALOR OPERATIVO/COSTE], tblRed[Nodo Inicial], $C19, tblRed[Nodo Final], AC$3, tblRed[Activo], 1), 0)</f>
        <v>0</v>
      </c>
      <c r="AD19" s="16">
        <f>IF(MatrizDeAdyacencia!AD19=1, SUMIFS(tblRed[TRADE OFF VALOR OPERATIVO/COSTE], tblRed[Nodo Inicial], $C19, tblRed[Nodo Final], AD$3, tblRed[Activo], 1), 0)</f>
        <v>0</v>
      </c>
      <c r="AE19" s="16">
        <f>IF(MatrizDeAdyacencia!AE19=1, SUMIFS(tblRed[TRADE OFF VALOR OPERATIVO/COSTE], tblRed[Nodo Inicial], $C19, tblRed[Nodo Final], AE$3, tblRed[Activo], 1), 0)</f>
        <v>0</v>
      </c>
      <c r="AF19" s="16">
        <f>IF(MatrizDeAdyacencia!AF19=1, SUMIFS(tblRed[TRADE OFF VALOR OPERATIVO/COSTE], tblRed[Nodo Inicial], $C19, tblRed[Nodo Final], AF$3, tblRed[Activo], 1), 0)</f>
        <v>1.4242424242424243</v>
      </c>
      <c r="AG19" s="16">
        <f>IF(MatrizDeAdyacencia!AG19=1, SUMIFS(tblRed[TRADE OFF VALOR OPERATIVO/COSTE], tblRed[Nodo Inicial], $C19, tblRed[Nodo Final], AG$3, tblRed[Activo], 1), 0)</f>
        <v>0</v>
      </c>
      <c r="AH19" s="16">
        <f>IF(MatrizDeAdyacencia!AH19=1, SUMIFS(tblRed[TRADE OFF VALOR OPERATIVO/COSTE], tblRed[Nodo Inicial], $C19, tblRed[Nodo Final], AH$3, tblRed[Activo], 1), 0)</f>
        <v>0</v>
      </c>
    </row>
    <row r="20" spans="2:34" ht="19.5" customHeight="1" x14ac:dyDescent="0.25">
      <c r="B20" s="12" t="str">
        <f>VLOOKUP(tblMatrizTradeOff[[#This Row],[Nodo Orig.\Dest.]],tblNodos[],2,FALSE)</f>
        <v>Intermediarios MVTS y remesas</v>
      </c>
      <c r="C20" s="4" t="s">
        <v>57</v>
      </c>
      <c r="D20" s="16">
        <f>IF(MatrizDeAdyacencia!D20=1, SUMIFS(tblRed[TRADE OFF VALOR OPERATIVO/COSTE], tblRed[Nodo Inicial], $C20, tblRed[Nodo Final], D$3, tblRed[Activo], 1), 0)</f>
        <v>0</v>
      </c>
      <c r="E20" s="16">
        <f>IF(MatrizDeAdyacencia!E20=1, SUMIFS(tblRed[TRADE OFF VALOR OPERATIVO/COSTE], tblRed[Nodo Inicial], $C20, tblRed[Nodo Final], E$3, tblRed[Activo], 1), 0)</f>
        <v>0</v>
      </c>
      <c r="F20" s="16">
        <f>IF(MatrizDeAdyacencia!F20=1, SUMIFS(tblRed[TRADE OFF VALOR OPERATIVO/COSTE], tblRed[Nodo Inicial], $C20, tblRed[Nodo Final], F$3, tblRed[Activo], 1), 0)</f>
        <v>0</v>
      </c>
      <c r="G20" s="16">
        <f>IF(MatrizDeAdyacencia!G20=1, SUMIFS(tblRed[TRADE OFF VALOR OPERATIVO/COSTE], tblRed[Nodo Inicial], $C20, tblRed[Nodo Final], G$3, tblRed[Activo], 1), 0)</f>
        <v>0</v>
      </c>
      <c r="H20" s="16">
        <f>IF(MatrizDeAdyacencia!H20=1, SUMIFS(tblRed[TRADE OFF VALOR OPERATIVO/COSTE], tblRed[Nodo Inicial], $C20, tblRed[Nodo Final], H$3, tblRed[Activo], 1), 0)</f>
        <v>0</v>
      </c>
      <c r="I20" s="16">
        <f>IF(MatrizDeAdyacencia!I20=1, SUMIFS(tblRed[TRADE OFF VALOR OPERATIVO/COSTE], tblRed[Nodo Inicial], $C20, tblRed[Nodo Final], I$3, tblRed[Activo], 1), 0)</f>
        <v>0</v>
      </c>
      <c r="J20" s="16">
        <f>IF(MatrizDeAdyacencia!J20=1, SUMIFS(tblRed[TRADE OFF VALOR OPERATIVO/COSTE], tblRed[Nodo Inicial], $C20, tblRed[Nodo Final], J$3, tblRed[Activo], 1), 0)</f>
        <v>0</v>
      </c>
      <c r="K20" s="16">
        <f>IF(MatrizDeAdyacencia!K20=1, SUMIFS(tblRed[TRADE OFF VALOR OPERATIVO/COSTE], tblRed[Nodo Inicial], $C20, tblRed[Nodo Final], K$3, tblRed[Activo], 1), 0)</f>
        <v>0</v>
      </c>
      <c r="L20" s="16">
        <f>IF(MatrizDeAdyacencia!L20=1, SUMIFS(tblRed[TRADE OFF VALOR OPERATIVO/COSTE], tblRed[Nodo Inicial], $C20, tblRed[Nodo Final], L$3, tblRed[Activo], 1), 0)</f>
        <v>0</v>
      </c>
      <c r="M20" s="16">
        <f>IF(MatrizDeAdyacencia!M20=1, SUMIFS(tblRed[TRADE OFF VALOR OPERATIVO/COSTE], tblRed[Nodo Inicial], $C20, tblRed[Nodo Final], M$3, tblRed[Activo], 1), 0)</f>
        <v>0</v>
      </c>
      <c r="N20" s="16">
        <f>IF(MatrizDeAdyacencia!N20=1, SUMIFS(tblRed[TRADE OFF VALOR OPERATIVO/COSTE], tblRed[Nodo Inicial], $C20, tblRed[Nodo Final], N$3, tblRed[Activo], 1), 0)</f>
        <v>0</v>
      </c>
      <c r="O20" s="16">
        <f>IF(MatrizDeAdyacencia!O20=1, SUMIFS(tblRed[TRADE OFF VALOR OPERATIVO/COSTE], tblRed[Nodo Inicial], $C20, tblRed[Nodo Final], O$3, tblRed[Activo], 1), 0)</f>
        <v>0</v>
      </c>
      <c r="P20" s="16">
        <f>IF(MatrizDeAdyacencia!P20=1, SUMIFS(tblRed[TRADE OFF VALOR OPERATIVO/COSTE], tblRed[Nodo Inicial], $C20, tblRed[Nodo Final], P$3, tblRed[Activo], 1), 0)</f>
        <v>0</v>
      </c>
      <c r="Q20" s="16">
        <f>IF(MatrizDeAdyacencia!Q20=1, SUMIFS(tblRed[TRADE OFF VALOR OPERATIVO/COSTE], tblRed[Nodo Inicial], $C20, tblRed[Nodo Final], Q$3, tblRed[Activo], 1), 0)</f>
        <v>0</v>
      </c>
      <c r="R20" s="16">
        <f>IF(MatrizDeAdyacencia!R20=1, SUMIFS(tblRed[TRADE OFF VALOR OPERATIVO/COSTE], tblRed[Nodo Inicial], $C20, tblRed[Nodo Final], R$3, tblRed[Activo], 1), 0)</f>
        <v>0</v>
      </c>
      <c r="S20" s="16">
        <f>IF(MatrizDeAdyacencia!S20=1, SUMIFS(tblRed[TRADE OFF VALOR OPERATIVO/COSTE], tblRed[Nodo Inicial], $C20, tblRed[Nodo Final], S$3, tblRed[Activo], 1), 0)</f>
        <v>0</v>
      </c>
      <c r="T20" s="16">
        <f>IF(MatrizDeAdyacencia!T20=1, SUMIFS(tblRed[TRADE OFF VALOR OPERATIVO/COSTE], tblRed[Nodo Inicial], $C20, tblRed[Nodo Final], T$3, tblRed[Activo], 1), 0)</f>
        <v>0</v>
      </c>
      <c r="U20" s="16">
        <f>IF(MatrizDeAdyacencia!U20=1, SUMIFS(tblRed[TRADE OFF VALOR OPERATIVO/COSTE], tblRed[Nodo Inicial], $C20, tblRed[Nodo Final], U$3, tblRed[Activo], 1), 0)</f>
        <v>0</v>
      </c>
      <c r="V20" s="16">
        <f>IF(MatrizDeAdyacencia!V20=1, SUMIFS(tblRed[TRADE OFF VALOR OPERATIVO/COSTE], tblRed[Nodo Inicial], $C20, tblRed[Nodo Final], V$3, tblRed[Activo], 1), 0)</f>
        <v>0</v>
      </c>
      <c r="W20" s="16">
        <f>IF(MatrizDeAdyacencia!W20=1, SUMIFS(tblRed[TRADE OFF VALOR OPERATIVO/COSTE], tblRed[Nodo Inicial], $C20, tblRed[Nodo Final], W$3, tblRed[Activo], 1), 0)</f>
        <v>0</v>
      </c>
      <c r="X20" s="16">
        <f>IF(MatrizDeAdyacencia!X20=1, SUMIFS(tblRed[TRADE OFF VALOR OPERATIVO/COSTE], tblRed[Nodo Inicial], $C20, tblRed[Nodo Final], X$3, tblRed[Activo], 1), 0)</f>
        <v>0</v>
      </c>
      <c r="Y20" s="16">
        <f>IF(MatrizDeAdyacencia!Y20=1, SUMIFS(tblRed[TRADE OFF VALOR OPERATIVO/COSTE], tblRed[Nodo Inicial], $C20, tblRed[Nodo Final], Y$3, tblRed[Activo], 1), 0)</f>
        <v>0</v>
      </c>
      <c r="Z20" s="16">
        <f>IF(MatrizDeAdyacencia!Z20=1, SUMIFS(tblRed[TRADE OFF VALOR OPERATIVO/COSTE], tblRed[Nodo Inicial], $C20, tblRed[Nodo Final], Z$3, tblRed[Activo], 1), 0)</f>
        <v>0</v>
      </c>
      <c r="AA20" s="16">
        <f>IF(MatrizDeAdyacencia!AA20=1, SUMIFS(tblRed[TRADE OFF VALOR OPERATIVO/COSTE], tblRed[Nodo Inicial], $C20, tblRed[Nodo Final], AA$3, tblRed[Activo], 1), 0)</f>
        <v>0</v>
      </c>
      <c r="AB20" s="16">
        <f>IF(MatrizDeAdyacencia!AB20=1, SUMIFS(tblRed[TRADE OFF VALOR OPERATIVO/COSTE], tblRed[Nodo Inicial], $C20, tblRed[Nodo Final], AB$3, tblRed[Activo], 1), 0)</f>
        <v>0</v>
      </c>
      <c r="AC20" s="16">
        <f>IF(MatrizDeAdyacencia!AC20=1, SUMIFS(tblRed[TRADE OFF VALOR OPERATIVO/COSTE], tblRed[Nodo Inicial], $C20, tblRed[Nodo Final], AC$3, tblRed[Activo], 1), 0)</f>
        <v>0</v>
      </c>
      <c r="AD20" s="16">
        <f>IF(MatrizDeAdyacencia!AD20=1, SUMIFS(tblRed[TRADE OFF VALOR OPERATIVO/COSTE], tblRed[Nodo Inicial], $C20, tblRed[Nodo Final], AD$3, tblRed[Activo], 1), 0)</f>
        <v>0</v>
      </c>
      <c r="AE20" s="16">
        <f>IF(MatrizDeAdyacencia!AE20=1, SUMIFS(tblRed[TRADE OFF VALOR OPERATIVO/COSTE], tblRed[Nodo Inicial], $C20, tblRed[Nodo Final], AE$3, tblRed[Activo], 1), 0)</f>
        <v>0</v>
      </c>
      <c r="AF20" s="16">
        <f>IF(MatrizDeAdyacencia!AF20=1, SUMIFS(tblRed[TRADE OFF VALOR OPERATIVO/COSTE], tblRed[Nodo Inicial], $C20, tblRed[Nodo Final], AF$3, tblRed[Activo], 1), 0)</f>
        <v>0</v>
      </c>
      <c r="AG20" s="16">
        <f>IF(MatrizDeAdyacencia!AG20=1, SUMIFS(tblRed[TRADE OFF VALOR OPERATIVO/COSTE], tblRed[Nodo Inicial], $C20, tblRed[Nodo Final], AG$3, tblRed[Activo], 1), 0)</f>
        <v>2.25</v>
      </c>
      <c r="AH20" s="16">
        <f>IF(MatrizDeAdyacencia!AH20=1, SUMIFS(tblRed[TRADE OFF VALOR OPERATIVO/COSTE], tblRed[Nodo Inicial], $C20, tblRed[Nodo Final], AH$3, tblRed[Activo], 1), 0)</f>
        <v>0</v>
      </c>
    </row>
    <row r="21" spans="2:34" ht="19.5" customHeight="1" x14ac:dyDescent="0.25">
      <c r="B21" s="12" t="str">
        <f>VLOOKUP(tblMatrizTradeOff[[#This Row],[Nodo Orig.\Dest.]],tblNodos[],2,FALSE)</f>
        <v>Intermediarios de dinero móvil</v>
      </c>
      <c r="C21" s="4" t="s">
        <v>59</v>
      </c>
      <c r="D21" s="16">
        <f>IF(MatrizDeAdyacencia!D21=1, SUMIFS(tblRed[TRADE OFF VALOR OPERATIVO/COSTE], tblRed[Nodo Inicial], $C21, tblRed[Nodo Final], D$3, tblRed[Activo], 1), 0)</f>
        <v>0</v>
      </c>
      <c r="E21" s="16">
        <f>IF(MatrizDeAdyacencia!E21=1, SUMIFS(tblRed[TRADE OFF VALOR OPERATIVO/COSTE], tblRed[Nodo Inicial], $C21, tblRed[Nodo Final], E$3, tblRed[Activo], 1), 0)</f>
        <v>0</v>
      </c>
      <c r="F21" s="16">
        <f>IF(MatrizDeAdyacencia!F21=1, SUMIFS(tblRed[TRADE OFF VALOR OPERATIVO/COSTE], tblRed[Nodo Inicial], $C21, tblRed[Nodo Final], F$3, tblRed[Activo], 1), 0)</f>
        <v>0</v>
      </c>
      <c r="G21" s="16">
        <f>IF(MatrizDeAdyacencia!G21=1, SUMIFS(tblRed[TRADE OFF VALOR OPERATIVO/COSTE], tblRed[Nodo Inicial], $C21, tblRed[Nodo Final], G$3, tblRed[Activo], 1), 0)</f>
        <v>0</v>
      </c>
      <c r="H21" s="16">
        <f>IF(MatrizDeAdyacencia!H21=1, SUMIFS(tblRed[TRADE OFF VALOR OPERATIVO/COSTE], tblRed[Nodo Inicial], $C21, tblRed[Nodo Final], H$3, tblRed[Activo], 1), 0)</f>
        <v>0</v>
      </c>
      <c r="I21" s="16">
        <f>IF(MatrizDeAdyacencia!I21=1, SUMIFS(tblRed[TRADE OFF VALOR OPERATIVO/COSTE], tblRed[Nodo Inicial], $C21, tblRed[Nodo Final], I$3, tblRed[Activo], 1), 0)</f>
        <v>0</v>
      </c>
      <c r="J21" s="16">
        <f>IF(MatrizDeAdyacencia!J21=1, SUMIFS(tblRed[TRADE OFF VALOR OPERATIVO/COSTE], tblRed[Nodo Inicial], $C21, tblRed[Nodo Final], J$3, tblRed[Activo], 1), 0)</f>
        <v>0</v>
      </c>
      <c r="K21" s="16">
        <f>IF(MatrizDeAdyacencia!K21=1, SUMIFS(tblRed[TRADE OFF VALOR OPERATIVO/COSTE], tblRed[Nodo Inicial], $C21, tblRed[Nodo Final], K$3, tblRed[Activo], 1), 0)</f>
        <v>0</v>
      </c>
      <c r="L21" s="16">
        <f>IF(MatrizDeAdyacencia!L21=1, SUMIFS(tblRed[TRADE OFF VALOR OPERATIVO/COSTE], tblRed[Nodo Inicial], $C21, tblRed[Nodo Final], L$3, tblRed[Activo], 1), 0)</f>
        <v>0</v>
      </c>
      <c r="M21" s="16">
        <f>IF(MatrizDeAdyacencia!M21=1, SUMIFS(tblRed[TRADE OFF VALOR OPERATIVO/COSTE], tblRed[Nodo Inicial], $C21, tblRed[Nodo Final], M$3, tblRed[Activo], 1), 0)</f>
        <v>0</v>
      </c>
      <c r="N21" s="16">
        <f>IF(MatrizDeAdyacencia!N21=1, SUMIFS(tblRed[TRADE OFF VALOR OPERATIVO/COSTE], tblRed[Nodo Inicial], $C21, tblRed[Nodo Final], N$3, tblRed[Activo], 1), 0)</f>
        <v>0</v>
      </c>
      <c r="O21" s="16">
        <f>IF(MatrizDeAdyacencia!O21=1, SUMIFS(tblRed[TRADE OFF VALOR OPERATIVO/COSTE], tblRed[Nodo Inicial], $C21, tblRed[Nodo Final], O$3, tblRed[Activo], 1), 0)</f>
        <v>0</v>
      </c>
      <c r="P21" s="16">
        <f>IF(MatrizDeAdyacencia!P21=1, SUMIFS(tblRed[TRADE OFF VALOR OPERATIVO/COSTE], tblRed[Nodo Inicial], $C21, tblRed[Nodo Final], P$3, tblRed[Activo], 1), 0)</f>
        <v>0</v>
      </c>
      <c r="Q21" s="16">
        <f>IF(MatrizDeAdyacencia!Q21=1, SUMIFS(tblRed[TRADE OFF VALOR OPERATIVO/COSTE], tblRed[Nodo Inicial], $C21, tblRed[Nodo Final], Q$3, tblRed[Activo], 1), 0)</f>
        <v>0</v>
      </c>
      <c r="R21" s="16">
        <f>IF(MatrizDeAdyacencia!R21=1, SUMIFS(tblRed[TRADE OFF VALOR OPERATIVO/COSTE], tblRed[Nodo Inicial], $C21, tblRed[Nodo Final], R$3, tblRed[Activo], 1), 0)</f>
        <v>0</v>
      </c>
      <c r="S21" s="16">
        <f>IF(MatrizDeAdyacencia!S21=1, SUMIFS(tblRed[TRADE OFF VALOR OPERATIVO/COSTE], tblRed[Nodo Inicial], $C21, tblRed[Nodo Final], S$3, tblRed[Activo], 1), 0)</f>
        <v>0</v>
      </c>
      <c r="T21" s="16">
        <f>IF(MatrizDeAdyacencia!T21=1, SUMIFS(tblRed[TRADE OFF VALOR OPERATIVO/COSTE], tblRed[Nodo Inicial], $C21, tblRed[Nodo Final], T$3, tblRed[Activo], 1), 0)</f>
        <v>0</v>
      </c>
      <c r="U21" s="16">
        <f>IF(MatrizDeAdyacencia!U21=1, SUMIFS(tblRed[TRADE OFF VALOR OPERATIVO/COSTE], tblRed[Nodo Inicial], $C21, tblRed[Nodo Final], U$3, tblRed[Activo], 1), 0)</f>
        <v>0</v>
      </c>
      <c r="V21" s="16">
        <f>IF(MatrizDeAdyacencia!V21=1, SUMIFS(tblRed[TRADE OFF VALOR OPERATIVO/COSTE], tblRed[Nodo Inicial], $C21, tblRed[Nodo Final], V$3, tblRed[Activo], 1), 0)</f>
        <v>0</v>
      </c>
      <c r="W21" s="16">
        <f>IF(MatrizDeAdyacencia!W21=1, SUMIFS(tblRed[TRADE OFF VALOR OPERATIVO/COSTE], tblRed[Nodo Inicial], $C21, tblRed[Nodo Final], W$3, tblRed[Activo], 1), 0)</f>
        <v>0</v>
      </c>
      <c r="X21" s="16">
        <f>IF(MatrizDeAdyacencia!X21=1, SUMIFS(tblRed[TRADE OFF VALOR OPERATIVO/COSTE], tblRed[Nodo Inicial], $C21, tblRed[Nodo Final], X$3, tblRed[Activo], 1), 0)</f>
        <v>0</v>
      </c>
      <c r="Y21" s="16">
        <f>IF(MatrizDeAdyacencia!Y21=1, SUMIFS(tblRed[TRADE OFF VALOR OPERATIVO/COSTE], tblRed[Nodo Inicial], $C21, tblRed[Nodo Final], Y$3, tblRed[Activo], 1), 0)</f>
        <v>0</v>
      </c>
      <c r="Z21" s="16">
        <f>IF(MatrizDeAdyacencia!Z21=1, SUMIFS(tblRed[TRADE OFF VALOR OPERATIVO/COSTE], tblRed[Nodo Inicial], $C21, tblRed[Nodo Final], Z$3, tblRed[Activo], 1), 0)</f>
        <v>0</v>
      </c>
      <c r="AA21" s="16">
        <f>IF(MatrizDeAdyacencia!AA21=1, SUMIFS(tblRed[TRADE OFF VALOR OPERATIVO/COSTE], tblRed[Nodo Inicial], $C21, tblRed[Nodo Final], AA$3, tblRed[Activo], 1), 0)</f>
        <v>0</v>
      </c>
      <c r="AB21" s="16">
        <f>IF(MatrizDeAdyacencia!AB21=1, SUMIFS(tblRed[TRADE OFF VALOR OPERATIVO/COSTE], tblRed[Nodo Inicial], $C21, tblRed[Nodo Final], AB$3, tblRed[Activo], 1), 0)</f>
        <v>0</v>
      </c>
      <c r="AC21" s="16">
        <f>IF(MatrizDeAdyacencia!AC21=1, SUMIFS(tblRed[TRADE OFF VALOR OPERATIVO/COSTE], tblRed[Nodo Inicial], $C21, tblRed[Nodo Final], AC$3, tblRed[Activo], 1), 0)</f>
        <v>0</v>
      </c>
      <c r="AD21" s="16">
        <f>IF(MatrizDeAdyacencia!AD21=1, SUMIFS(tblRed[TRADE OFF VALOR OPERATIVO/COSTE], tblRed[Nodo Inicial], $C21, tblRed[Nodo Final], AD$3, tblRed[Activo], 1), 0)</f>
        <v>0</v>
      </c>
      <c r="AE21" s="16">
        <f>IF(MatrizDeAdyacencia!AE21=1, SUMIFS(tblRed[TRADE OFF VALOR OPERATIVO/COSTE], tblRed[Nodo Inicial], $C21, tblRed[Nodo Final], AE$3, tblRed[Activo], 1), 0)</f>
        <v>1.8</v>
      </c>
      <c r="AF21" s="16">
        <f>IF(MatrizDeAdyacencia!AF21=1, SUMIFS(tblRed[TRADE OFF VALOR OPERATIVO/COSTE], tblRed[Nodo Inicial], $C21, tblRed[Nodo Final], AF$3, tblRed[Activo], 1), 0)</f>
        <v>0</v>
      </c>
      <c r="AG21" s="16">
        <f>IF(MatrizDeAdyacencia!AG21=1, SUMIFS(tblRed[TRADE OFF VALOR OPERATIVO/COSTE], tblRed[Nodo Inicial], $C21, tblRed[Nodo Final], AG$3, tblRed[Activo], 1), 0)</f>
        <v>0</v>
      </c>
      <c r="AH21" s="16">
        <f>IF(MatrizDeAdyacencia!AH21=1, SUMIFS(tblRed[TRADE OFF VALOR OPERATIVO/COSTE], tblRed[Nodo Inicial], $C21, tblRed[Nodo Final], AH$3, tblRed[Activo], 1), 0)</f>
        <v>0</v>
      </c>
    </row>
    <row r="22" spans="2:34" ht="19.5" customHeight="1" x14ac:dyDescent="0.25">
      <c r="B22" s="70" t="str">
        <f>VLOOKUP(tblMatrizTradeOff[[#This Row],[Nodo Orig.\Dest.]],tblNodos[],2,FALSE)</f>
        <v>Intermediarios bancarios formales</v>
      </c>
      <c r="C22" s="6" t="s">
        <v>61</v>
      </c>
      <c r="D22" s="16">
        <f>IF(MatrizDeAdyacencia!D22=1, SUMIFS(tblRed[TRADE OFF VALOR OPERATIVO/COSTE], tblRed[Nodo Inicial], $C22, tblRed[Nodo Final], D$3, tblRed[Activo], 1), 0)</f>
        <v>0</v>
      </c>
      <c r="E22" s="16">
        <f>IF(MatrizDeAdyacencia!E22=1, SUMIFS(tblRed[TRADE OFF VALOR OPERATIVO/COSTE], tblRed[Nodo Inicial], $C22, tblRed[Nodo Final], E$3, tblRed[Activo], 1), 0)</f>
        <v>0</v>
      </c>
      <c r="F22" s="16">
        <f>IF(MatrizDeAdyacencia!F22=1, SUMIFS(tblRed[TRADE OFF VALOR OPERATIVO/COSTE], tblRed[Nodo Inicial], $C22, tblRed[Nodo Final], F$3, tblRed[Activo], 1), 0)</f>
        <v>0</v>
      </c>
      <c r="G22" s="16">
        <f>IF(MatrizDeAdyacencia!G22=1, SUMIFS(tblRed[TRADE OFF VALOR OPERATIVO/COSTE], tblRed[Nodo Inicial], $C22, tblRed[Nodo Final], G$3, tblRed[Activo], 1), 0)</f>
        <v>0</v>
      </c>
      <c r="H22" s="16">
        <f>IF(MatrizDeAdyacencia!H22=1, SUMIFS(tblRed[TRADE OFF VALOR OPERATIVO/COSTE], tblRed[Nodo Inicial], $C22, tblRed[Nodo Final], H$3, tblRed[Activo], 1), 0)</f>
        <v>0</v>
      </c>
      <c r="I22" s="16">
        <f>IF(MatrizDeAdyacencia!I22=1, SUMIFS(tblRed[TRADE OFF VALOR OPERATIVO/COSTE], tblRed[Nodo Inicial], $C22, tblRed[Nodo Final], I$3, tblRed[Activo], 1), 0)</f>
        <v>0</v>
      </c>
      <c r="J22" s="16">
        <f>IF(MatrizDeAdyacencia!J22=1, SUMIFS(tblRed[TRADE OFF VALOR OPERATIVO/COSTE], tblRed[Nodo Inicial], $C22, tblRed[Nodo Final], J$3, tblRed[Activo], 1), 0)</f>
        <v>0</v>
      </c>
      <c r="K22" s="16">
        <f>IF(MatrizDeAdyacencia!K22=1, SUMIFS(tblRed[TRADE OFF VALOR OPERATIVO/COSTE], tblRed[Nodo Inicial], $C22, tblRed[Nodo Final], K$3, tblRed[Activo], 1), 0)</f>
        <v>0</v>
      </c>
      <c r="L22" s="16">
        <f>IF(MatrizDeAdyacencia!L22=1, SUMIFS(tblRed[TRADE OFF VALOR OPERATIVO/COSTE], tblRed[Nodo Inicial], $C22, tblRed[Nodo Final], L$3, tblRed[Activo], 1), 0)</f>
        <v>0</v>
      </c>
      <c r="M22" s="16">
        <f>IF(MatrizDeAdyacencia!M22=1, SUMIFS(tblRed[TRADE OFF VALOR OPERATIVO/COSTE], tblRed[Nodo Inicial], $C22, tblRed[Nodo Final], M$3, tblRed[Activo], 1), 0)</f>
        <v>0</v>
      </c>
      <c r="N22" s="16">
        <f>IF(MatrizDeAdyacencia!N22=1, SUMIFS(tblRed[TRADE OFF VALOR OPERATIVO/COSTE], tblRed[Nodo Inicial], $C22, tblRed[Nodo Final], N$3, tblRed[Activo], 1), 0)</f>
        <v>0</v>
      </c>
      <c r="O22" s="16">
        <f>IF(MatrizDeAdyacencia!O22=1, SUMIFS(tblRed[TRADE OFF VALOR OPERATIVO/COSTE], tblRed[Nodo Inicial], $C22, tblRed[Nodo Final], O$3, tblRed[Activo], 1), 0)</f>
        <v>0</v>
      </c>
      <c r="P22" s="16">
        <f>IF(MatrizDeAdyacencia!P22=1, SUMIFS(tblRed[TRADE OFF VALOR OPERATIVO/COSTE], tblRed[Nodo Inicial], $C22, tblRed[Nodo Final], P$3, tblRed[Activo], 1), 0)</f>
        <v>0</v>
      </c>
      <c r="Q22" s="16">
        <f>IF(MatrizDeAdyacencia!Q22=1, SUMIFS(tblRed[TRADE OFF VALOR OPERATIVO/COSTE], tblRed[Nodo Inicial], $C22, tblRed[Nodo Final], Q$3, tblRed[Activo], 1), 0)</f>
        <v>0</v>
      </c>
      <c r="R22" s="16">
        <f>IF(MatrizDeAdyacencia!R22=1, SUMIFS(tblRed[TRADE OFF VALOR OPERATIVO/COSTE], tblRed[Nodo Inicial], $C22, tblRed[Nodo Final], R$3, tblRed[Activo], 1), 0)</f>
        <v>0</v>
      </c>
      <c r="S22" s="16">
        <f>IF(MatrizDeAdyacencia!S22=1, SUMIFS(tblRed[TRADE OFF VALOR OPERATIVO/COSTE], tblRed[Nodo Inicial], $C22, tblRed[Nodo Final], S$3, tblRed[Activo], 1), 0)</f>
        <v>0</v>
      </c>
      <c r="T22" s="16">
        <f>IF(MatrizDeAdyacencia!T22=1, SUMIFS(tblRed[TRADE OFF VALOR OPERATIVO/COSTE], tblRed[Nodo Inicial], $C22, tblRed[Nodo Final], T$3, tblRed[Activo], 1), 0)</f>
        <v>0</v>
      </c>
      <c r="U22" s="16">
        <f>IF(MatrizDeAdyacencia!U22=1, SUMIFS(tblRed[TRADE OFF VALOR OPERATIVO/COSTE], tblRed[Nodo Inicial], $C22, tblRed[Nodo Final], U$3, tblRed[Activo], 1), 0)</f>
        <v>0</v>
      </c>
      <c r="V22" s="16">
        <f>IF(MatrizDeAdyacencia!V22=1, SUMIFS(tblRed[TRADE OFF VALOR OPERATIVO/COSTE], tblRed[Nodo Inicial], $C22, tblRed[Nodo Final], V$3, tblRed[Activo], 1), 0)</f>
        <v>0</v>
      </c>
      <c r="W22" s="16">
        <f>IF(MatrizDeAdyacencia!W22=1, SUMIFS(tblRed[TRADE OFF VALOR OPERATIVO/COSTE], tblRed[Nodo Inicial], $C22, tblRed[Nodo Final], W$3, tblRed[Activo], 1), 0)</f>
        <v>0</v>
      </c>
      <c r="X22" s="16">
        <f>IF(MatrizDeAdyacencia!X22=1, SUMIFS(tblRed[TRADE OFF VALOR OPERATIVO/COSTE], tblRed[Nodo Inicial], $C22, tblRed[Nodo Final], X$3, tblRed[Activo], 1), 0)</f>
        <v>0</v>
      </c>
      <c r="Y22" s="16">
        <f>IF(MatrizDeAdyacencia!Y22=1, SUMIFS(tblRed[TRADE OFF VALOR OPERATIVO/COSTE], tblRed[Nodo Inicial], $C22, tblRed[Nodo Final], Y$3, tblRed[Activo], 1), 0)</f>
        <v>0</v>
      </c>
      <c r="Z22" s="16">
        <f>IF(MatrizDeAdyacencia!Z22=1, SUMIFS(tblRed[TRADE OFF VALOR OPERATIVO/COSTE], tblRed[Nodo Inicial], $C22, tblRed[Nodo Final], Z$3, tblRed[Activo], 1), 0)</f>
        <v>0</v>
      </c>
      <c r="AA22" s="16">
        <f>IF(MatrizDeAdyacencia!AA22=1, SUMIFS(tblRed[TRADE OFF VALOR OPERATIVO/COSTE], tblRed[Nodo Inicial], $C22, tblRed[Nodo Final], AA$3, tblRed[Activo], 1), 0)</f>
        <v>0</v>
      </c>
      <c r="AB22" s="16">
        <f>IF(MatrizDeAdyacencia!AB22=1, SUMIFS(tblRed[TRADE OFF VALOR OPERATIVO/COSTE], tblRed[Nodo Inicial], $C22, tblRed[Nodo Final], AB$3, tblRed[Activo], 1), 0)</f>
        <v>0</v>
      </c>
      <c r="AC22" s="16">
        <f>IF(MatrizDeAdyacencia!AC22=1, SUMIFS(tblRed[TRADE OFF VALOR OPERATIVO/COSTE], tblRed[Nodo Inicial], $C22, tblRed[Nodo Final], AC$3, tblRed[Activo], 1), 0)</f>
        <v>0</v>
      </c>
      <c r="AD22" s="16">
        <f>IF(MatrizDeAdyacencia!AD22=1, SUMIFS(tblRed[TRADE OFF VALOR OPERATIVO/COSTE], tblRed[Nodo Inicial], $C22, tblRed[Nodo Final], AD$3, tblRed[Activo], 1), 0)</f>
        <v>0</v>
      </c>
      <c r="AE22" s="16">
        <f>IF(MatrizDeAdyacencia!AE22=1, SUMIFS(tblRed[TRADE OFF VALOR OPERATIVO/COSTE], tblRed[Nodo Inicial], $C22, tblRed[Nodo Final], AE$3, tblRed[Activo], 1), 0)</f>
        <v>2.4705882352941178</v>
      </c>
      <c r="AF22" s="16">
        <f>IF(MatrizDeAdyacencia!AF22=1, SUMIFS(tblRed[TRADE OFF VALOR OPERATIVO/COSTE], tblRed[Nodo Inicial], $C22, tblRed[Nodo Final], AF$3, tblRed[Activo], 1), 0)</f>
        <v>0</v>
      </c>
      <c r="AG22" s="16">
        <f>IF(MatrizDeAdyacencia!AG22=1, SUMIFS(tblRed[TRADE OFF VALOR OPERATIVO/COSTE], tblRed[Nodo Inicial], $C22, tblRed[Nodo Final], AG$3, tblRed[Activo], 1), 0)</f>
        <v>2.5555555555555554</v>
      </c>
      <c r="AH22" s="16">
        <f>IF(MatrizDeAdyacencia!AH22=1, SUMIFS(tblRed[TRADE OFF VALOR OPERATIVO/COSTE], tblRed[Nodo Inicial], $C22, tblRed[Nodo Final], AH$3, tblRed[Activo], 1), 0)</f>
        <v>0</v>
      </c>
    </row>
    <row r="23" spans="2:34" ht="19.5" customHeight="1" x14ac:dyDescent="0.25">
      <c r="B23" s="48" t="str">
        <f>VLOOKUP(tblMatrizTradeOff[[#This Row],[Nodo Orig.\Dest.]],tblNodos[],2,FALSE)</f>
        <v>Intermediarios de pago digital (PSP /FinTech)</v>
      </c>
      <c r="C23" s="75" t="s">
        <v>63</v>
      </c>
      <c r="D23" s="16">
        <f>IF(MatrizDeAdyacencia!D23=1, SUMIFS(tblRed[TRADE OFF VALOR OPERATIVO/COSTE], tblRed[Nodo Inicial], $C23, tblRed[Nodo Final], D$3, tblRed[Activo], 1), 0)</f>
        <v>0</v>
      </c>
      <c r="E23" s="16">
        <f>IF(MatrizDeAdyacencia!E23=1, SUMIFS(tblRed[TRADE OFF VALOR OPERATIVO/COSTE], tblRed[Nodo Inicial], $C23, tblRed[Nodo Final], E$3, tblRed[Activo], 1), 0)</f>
        <v>0</v>
      </c>
      <c r="F23" s="16">
        <f>IF(MatrizDeAdyacencia!F23=1, SUMIFS(tblRed[TRADE OFF VALOR OPERATIVO/COSTE], tblRed[Nodo Inicial], $C23, tblRed[Nodo Final], F$3, tblRed[Activo], 1), 0)</f>
        <v>0</v>
      </c>
      <c r="G23" s="16">
        <f>IF(MatrizDeAdyacencia!G23=1, SUMIFS(tblRed[TRADE OFF VALOR OPERATIVO/COSTE], tblRed[Nodo Inicial], $C23, tblRed[Nodo Final], G$3, tblRed[Activo], 1), 0)</f>
        <v>0</v>
      </c>
      <c r="H23" s="16">
        <f>IF(MatrizDeAdyacencia!H23=1, SUMIFS(tblRed[TRADE OFF VALOR OPERATIVO/COSTE], tblRed[Nodo Inicial], $C23, tblRed[Nodo Final], H$3, tblRed[Activo], 1), 0)</f>
        <v>0</v>
      </c>
      <c r="I23" s="16">
        <f>IF(MatrizDeAdyacencia!I23=1, SUMIFS(tblRed[TRADE OFF VALOR OPERATIVO/COSTE], tblRed[Nodo Inicial], $C23, tblRed[Nodo Final], I$3, tblRed[Activo], 1), 0)</f>
        <v>0</v>
      </c>
      <c r="J23" s="16">
        <f>IF(MatrizDeAdyacencia!J23=1, SUMIFS(tblRed[TRADE OFF VALOR OPERATIVO/COSTE], tblRed[Nodo Inicial], $C23, tblRed[Nodo Final], J$3, tblRed[Activo], 1), 0)</f>
        <v>0</v>
      </c>
      <c r="K23" s="16">
        <f>IF(MatrizDeAdyacencia!K23=1, SUMIFS(tblRed[TRADE OFF VALOR OPERATIVO/COSTE], tblRed[Nodo Inicial], $C23, tblRed[Nodo Final], K$3, tblRed[Activo], 1), 0)</f>
        <v>0</v>
      </c>
      <c r="L23" s="16">
        <f>IF(MatrizDeAdyacencia!L23=1, SUMIFS(tblRed[TRADE OFF VALOR OPERATIVO/COSTE], tblRed[Nodo Inicial], $C23, tblRed[Nodo Final], L$3, tblRed[Activo], 1), 0)</f>
        <v>0</v>
      </c>
      <c r="M23" s="16">
        <f>IF(MatrizDeAdyacencia!M23=1, SUMIFS(tblRed[TRADE OFF VALOR OPERATIVO/COSTE], tblRed[Nodo Inicial], $C23, tblRed[Nodo Final], M$3, tblRed[Activo], 1), 0)</f>
        <v>0</v>
      </c>
      <c r="N23" s="16">
        <f>IF(MatrizDeAdyacencia!N23=1, SUMIFS(tblRed[TRADE OFF VALOR OPERATIVO/COSTE], tblRed[Nodo Inicial], $C23, tblRed[Nodo Final], N$3, tblRed[Activo], 1), 0)</f>
        <v>0</v>
      </c>
      <c r="O23" s="16">
        <f>IF(MatrizDeAdyacencia!O23=1, SUMIFS(tblRed[TRADE OFF VALOR OPERATIVO/COSTE], tblRed[Nodo Inicial], $C23, tblRed[Nodo Final], O$3, tblRed[Activo], 1), 0)</f>
        <v>0</v>
      </c>
      <c r="P23" s="16">
        <f>IF(MatrizDeAdyacencia!P23=1, SUMIFS(tblRed[TRADE OFF VALOR OPERATIVO/COSTE], tblRed[Nodo Inicial], $C23, tblRed[Nodo Final], P$3, tblRed[Activo], 1), 0)</f>
        <v>0</v>
      </c>
      <c r="Q23" s="16">
        <f>IF(MatrizDeAdyacencia!Q23=1, SUMIFS(tblRed[TRADE OFF VALOR OPERATIVO/COSTE], tblRed[Nodo Inicial], $C23, tblRed[Nodo Final], Q$3, tblRed[Activo], 1), 0)</f>
        <v>0</v>
      </c>
      <c r="R23" s="16">
        <f>IF(MatrizDeAdyacencia!R23=1, SUMIFS(tblRed[TRADE OFF VALOR OPERATIVO/COSTE], tblRed[Nodo Inicial], $C23, tblRed[Nodo Final], R$3, tblRed[Activo], 1), 0)</f>
        <v>0</v>
      </c>
      <c r="S23" s="16">
        <f>IF(MatrizDeAdyacencia!S23=1, SUMIFS(tblRed[TRADE OFF VALOR OPERATIVO/COSTE], tblRed[Nodo Inicial], $C23, tblRed[Nodo Final], S$3, tblRed[Activo], 1), 0)</f>
        <v>0</v>
      </c>
      <c r="T23" s="16">
        <f>IF(MatrizDeAdyacencia!T23=1, SUMIFS(tblRed[TRADE OFF VALOR OPERATIVO/COSTE], tblRed[Nodo Inicial], $C23, tblRed[Nodo Final], T$3, tblRed[Activo], 1), 0)</f>
        <v>0</v>
      </c>
      <c r="U23" s="16">
        <f>IF(MatrizDeAdyacencia!U23=1, SUMIFS(tblRed[TRADE OFF VALOR OPERATIVO/COSTE], tblRed[Nodo Inicial], $C23, tblRed[Nodo Final], U$3, tblRed[Activo], 1), 0)</f>
        <v>0</v>
      </c>
      <c r="V23" s="16">
        <f>IF(MatrizDeAdyacencia!V23=1, SUMIFS(tblRed[TRADE OFF VALOR OPERATIVO/COSTE], tblRed[Nodo Inicial], $C23, tblRed[Nodo Final], V$3, tblRed[Activo], 1), 0)</f>
        <v>0</v>
      </c>
      <c r="W23" s="16">
        <f>IF(MatrizDeAdyacencia!W23=1, SUMIFS(tblRed[TRADE OFF VALOR OPERATIVO/COSTE], tblRed[Nodo Inicial], $C23, tblRed[Nodo Final], W$3, tblRed[Activo], 1), 0)</f>
        <v>0</v>
      </c>
      <c r="X23" s="16">
        <f>IF(MatrizDeAdyacencia!X23=1, SUMIFS(tblRed[TRADE OFF VALOR OPERATIVO/COSTE], tblRed[Nodo Inicial], $C23, tblRed[Nodo Final], X$3, tblRed[Activo], 1), 0)</f>
        <v>0</v>
      </c>
      <c r="Y23" s="16">
        <f>IF(MatrizDeAdyacencia!Y23=1, SUMIFS(tblRed[TRADE OFF VALOR OPERATIVO/COSTE], tblRed[Nodo Inicial], $C23, tblRed[Nodo Final], Y$3, tblRed[Activo], 1), 0)</f>
        <v>0</v>
      </c>
      <c r="Z23" s="16">
        <f>IF(MatrizDeAdyacencia!Z23=1, SUMIFS(tblRed[TRADE OFF VALOR OPERATIVO/COSTE], tblRed[Nodo Inicial], $C23, tblRed[Nodo Final], Z$3, tblRed[Activo], 1), 0)</f>
        <v>0</v>
      </c>
      <c r="AA23" s="16">
        <f>IF(MatrizDeAdyacencia!AA23=1, SUMIFS(tblRed[TRADE OFF VALOR OPERATIVO/COSTE], tblRed[Nodo Inicial], $C23, tblRed[Nodo Final], AA$3, tblRed[Activo], 1), 0)</f>
        <v>0</v>
      </c>
      <c r="AB23" s="16">
        <f>IF(MatrizDeAdyacencia!AB23=1, SUMIFS(tblRed[TRADE OFF VALOR OPERATIVO/COSTE], tblRed[Nodo Inicial], $C23, tblRed[Nodo Final], AB$3, tblRed[Activo], 1), 0)</f>
        <v>0</v>
      </c>
      <c r="AC23" s="16">
        <f>IF(MatrizDeAdyacencia!AC23=1, SUMIFS(tblRed[TRADE OFF VALOR OPERATIVO/COSTE], tblRed[Nodo Inicial], $C23, tblRed[Nodo Final], AC$3, tblRed[Activo], 1), 0)</f>
        <v>0</v>
      </c>
      <c r="AD23" s="16">
        <f>IF(MatrizDeAdyacencia!AD23=1, SUMIFS(tblRed[TRADE OFF VALOR OPERATIVO/COSTE], tblRed[Nodo Inicial], $C23, tblRed[Nodo Final], AD$3, tblRed[Activo], 1), 0)</f>
        <v>0</v>
      </c>
      <c r="AE23" s="16">
        <f>IF(MatrizDeAdyacencia!AE23=1, SUMIFS(tblRed[TRADE OFF VALOR OPERATIVO/COSTE], tblRed[Nodo Inicial], $C23, tblRed[Nodo Final], AE$3, tblRed[Activo], 1), 0)</f>
        <v>0</v>
      </c>
      <c r="AF23" s="16">
        <f>IF(MatrizDeAdyacencia!AF23=1, SUMIFS(tblRed[TRADE OFF VALOR OPERATIVO/COSTE], tblRed[Nodo Inicial], $C23, tblRed[Nodo Final], AF$3, tblRed[Activo], 1), 0)</f>
        <v>0</v>
      </c>
      <c r="AG23" s="16">
        <f>IF(MatrizDeAdyacencia!AG23=1, SUMIFS(tblRed[TRADE OFF VALOR OPERATIVO/COSTE], tblRed[Nodo Inicial], $C23, tblRed[Nodo Final], AG$3, tblRed[Activo], 1), 0)</f>
        <v>1.7724137931034485</v>
      </c>
      <c r="AH23" s="16">
        <f>IF(MatrizDeAdyacencia!AH23=1, SUMIFS(tblRed[TRADE OFF VALOR OPERATIVO/COSTE], tblRed[Nodo Inicial], $C23, tblRed[Nodo Final], AH$3, tblRed[Activo], 1), 0)</f>
        <v>0</v>
      </c>
    </row>
    <row r="24" spans="2:34" ht="19.5" customHeight="1" x14ac:dyDescent="0.25">
      <c r="B24" s="48" t="str">
        <f>VLOOKUP(tblMatrizTradeOff[[#This Row],[Nodo Orig.\Dest.]],tblNodos[],2,FALSE)</f>
        <v>Intermediarios de activos virtuales y conversión</v>
      </c>
      <c r="C24" s="75" t="s">
        <v>65</v>
      </c>
      <c r="D24" s="16">
        <f>IF(MatrizDeAdyacencia!D24=1, SUMIFS(tblRed[TRADE OFF VALOR OPERATIVO/COSTE], tblRed[Nodo Inicial], $C24, tblRed[Nodo Final], D$3, tblRed[Activo], 1), 0)</f>
        <v>0</v>
      </c>
      <c r="E24" s="16">
        <f>IF(MatrizDeAdyacencia!E24=1, SUMIFS(tblRed[TRADE OFF VALOR OPERATIVO/COSTE], tblRed[Nodo Inicial], $C24, tblRed[Nodo Final], E$3, tblRed[Activo], 1), 0)</f>
        <v>0</v>
      </c>
      <c r="F24" s="16">
        <f>IF(MatrizDeAdyacencia!F24=1, SUMIFS(tblRed[TRADE OFF VALOR OPERATIVO/COSTE], tblRed[Nodo Inicial], $C24, tblRed[Nodo Final], F$3, tblRed[Activo], 1), 0)</f>
        <v>0</v>
      </c>
      <c r="G24" s="16">
        <f>IF(MatrizDeAdyacencia!G24=1, SUMIFS(tblRed[TRADE OFF VALOR OPERATIVO/COSTE], tblRed[Nodo Inicial], $C24, tblRed[Nodo Final], G$3, tblRed[Activo], 1), 0)</f>
        <v>0</v>
      </c>
      <c r="H24" s="16">
        <f>IF(MatrizDeAdyacencia!H24=1, SUMIFS(tblRed[TRADE OFF VALOR OPERATIVO/COSTE], tblRed[Nodo Inicial], $C24, tblRed[Nodo Final], H$3, tblRed[Activo], 1), 0)</f>
        <v>0</v>
      </c>
      <c r="I24" s="16">
        <f>IF(MatrizDeAdyacencia!I24=1, SUMIFS(tblRed[TRADE OFF VALOR OPERATIVO/COSTE], tblRed[Nodo Inicial], $C24, tblRed[Nodo Final], I$3, tblRed[Activo], 1), 0)</f>
        <v>0</v>
      </c>
      <c r="J24" s="16">
        <f>IF(MatrizDeAdyacencia!J24=1, SUMIFS(tblRed[TRADE OFF VALOR OPERATIVO/COSTE], tblRed[Nodo Inicial], $C24, tblRed[Nodo Final], J$3, tblRed[Activo], 1), 0)</f>
        <v>0</v>
      </c>
      <c r="K24" s="16">
        <f>IF(MatrizDeAdyacencia!K24=1, SUMIFS(tblRed[TRADE OFF VALOR OPERATIVO/COSTE], tblRed[Nodo Inicial], $C24, tblRed[Nodo Final], K$3, tblRed[Activo], 1), 0)</f>
        <v>0</v>
      </c>
      <c r="L24" s="16">
        <f>IF(MatrizDeAdyacencia!L24=1, SUMIFS(tblRed[TRADE OFF VALOR OPERATIVO/COSTE], tblRed[Nodo Inicial], $C24, tblRed[Nodo Final], L$3, tblRed[Activo], 1), 0)</f>
        <v>0</v>
      </c>
      <c r="M24" s="16">
        <f>IF(MatrizDeAdyacencia!M24=1, SUMIFS(tblRed[TRADE OFF VALOR OPERATIVO/COSTE], tblRed[Nodo Inicial], $C24, tblRed[Nodo Final], M$3, tblRed[Activo], 1), 0)</f>
        <v>0</v>
      </c>
      <c r="N24" s="16">
        <f>IF(MatrizDeAdyacencia!N24=1, SUMIFS(tblRed[TRADE OFF VALOR OPERATIVO/COSTE], tblRed[Nodo Inicial], $C24, tblRed[Nodo Final], N$3, tblRed[Activo], 1), 0)</f>
        <v>0</v>
      </c>
      <c r="O24" s="16">
        <f>IF(MatrizDeAdyacencia!O24=1, SUMIFS(tblRed[TRADE OFF VALOR OPERATIVO/COSTE], tblRed[Nodo Inicial], $C24, tblRed[Nodo Final], O$3, tblRed[Activo], 1), 0)</f>
        <v>0</v>
      </c>
      <c r="P24" s="16">
        <f>IF(MatrizDeAdyacencia!P24=1, SUMIFS(tblRed[TRADE OFF VALOR OPERATIVO/COSTE], tblRed[Nodo Inicial], $C24, tblRed[Nodo Final], P$3, tblRed[Activo], 1), 0)</f>
        <v>0</v>
      </c>
      <c r="Q24" s="16">
        <f>IF(MatrizDeAdyacencia!Q24=1, SUMIFS(tblRed[TRADE OFF VALOR OPERATIVO/COSTE], tblRed[Nodo Inicial], $C24, tblRed[Nodo Final], Q$3, tblRed[Activo], 1), 0)</f>
        <v>0</v>
      </c>
      <c r="R24" s="16">
        <f>IF(MatrizDeAdyacencia!R24=1, SUMIFS(tblRed[TRADE OFF VALOR OPERATIVO/COSTE], tblRed[Nodo Inicial], $C24, tblRed[Nodo Final], R$3, tblRed[Activo], 1), 0)</f>
        <v>0</v>
      </c>
      <c r="S24" s="16">
        <f>IF(MatrizDeAdyacencia!S24=1, SUMIFS(tblRed[TRADE OFF VALOR OPERATIVO/COSTE], tblRed[Nodo Inicial], $C24, tblRed[Nodo Final], S$3, tblRed[Activo], 1), 0)</f>
        <v>0</v>
      </c>
      <c r="T24" s="16">
        <f>IF(MatrizDeAdyacencia!T24=1, SUMIFS(tblRed[TRADE OFF VALOR OPERATIVO/COSTE], tblRed[Nodo Inicial], $C24, tblRed[Nodo Final], T$3, tblRed[Activo], 1), 0)</f>
        <v>0</v>
      </c>
      <c r="U24" s="16">
        <f>IF(MatrizDeAdyacencia!U24=1, SUMIFS(tblRed[TRADE OFF VALOR OPERATIVO/COSTE], tblRed[Nodo Inicial], $C24, tblRed[Nodo Final], U$3, tblRed[Activo], 1), 0)</f>
        <v>0</v>
      </c>
      <c r="V24" s="16">
        <f>IF(MatrizDeAdyacencia!V24=1, SUMIFS(tblRed[TRADE OFF VALOR OPERATIVO/COSTE], tblRed[Nodo Inicial], $C24, tblRed[Nodo Final], V$3, tblRed[Activo], 1), 0)</f>
        <v>0</v>
      </c>
      <c r="W24" s="16">
        <f>IF(MatrizDeAdyacencia!W24=1, SUMIFS(tblRed[TRADE OFF VALOR OPERATIVO/COSTE], tblRed[Nodo Inicial], $C24, tblRed[Nodo Final], W$3, tblRed[Activo], 1), 0)</f>
        <v>0</v>
      </c>
      <c r="X24" s="16">
        <f>IF(MatrizDeAdyacencia!X24=1, SUMIFS(tblRed[TRADE OFF VALOR OPERATIVO/COSTE], tblRed[Nodo Inicial], $C24, tblRed[Nodo Final], X$3, tblRed[Activo], 1), 0)</f>
        <v>0</v>
      </c>
      <c r="Y24" s="16">
        <f>IF(MatrizDeAdyacencia!Y24=1, SUMIFS(tblRed[TRADE OFF VALOR OPERATIVO/COSTE], tblRed[Nodo Inicial], $C24, tblRed[Nodo Final], Y$3, tblRed[Activo], 1), 0)</f>
        <v>0</v>
      </c>
      <c r="Z24" s="16">
        <f>IF(MatrizDeAdyacencia!Z24=1, SUMIFS(tblRed[TRADE OFF VALOR OPERATIVO/COSTE], tblRed[Nodo Inicial], $C24, tblRed[Nodo Final], Z$3, tblRed[Activo], 1), 0)</f>
        <v>0</v>
      </c>
      <c r="AA24" s="16">
        <f>IF(MatrizDeAdyacencia!AA24=1, SUMIFS(tblRed[TRADE OFF VALOR OPERATIVO/COSTE], tblRed[Nodo Inicial], $C24, tblRed[Nodo Final], AA$3, tblRed[Activo], 1), 0)</f>
        <v>0</v>
      </c>
      <c r="AB24" s="16">
        <f>IF(MatrizDeAdyacencia!AB24=1, SUMIFS(tblRed[TRADE OFF VALOR OPERATIVO/COSTE], tblRed[Nodo Inicial], $C24, tblRed[Nodo Final], AB$3, tblRed[Activo], 1), 0)</f>
        <v>0</v>
      </c>
      <c r="AC24" s="16">
        <f>IF(MatrizDeAdyacencia!AC24=1, SUMIFS(tblRed[TRADE OFF VALOR OPERATIVO/COSTE], tblRed[Nodo Inicial], $C24, tblRed[Nodo Final], AC$3, tblRed[Activo], 1), 0)</f>
        <v>0</v>
      </c>
      <c r="AD24" s="16">
        <f>IF(MatrizDeAdyacencia!AD24=1, SUMIFS(tblRed[TRADE OFF VALOR OPERATIVO/COSTE], tblRed[Nodo Inicial], $C24, tblRed[Nodo Final], AD$3, tblRed[Activo], 1), 0)</f>
        <v>0</v>
      </c>
      <c r="AE24" s="16">
        <f>IF(MatrizDeAdyacencia!AE24=1, SUMIFS(tblRed[TRADE OFF VALOR OPERATIVO/COSTE], tblRed[Nodo Inicial], $C24, tblRed[Nodo Final], AE$3, tblRed[Activo], 1), 0)</f>
        <v>0</v>
      </c>
      <c r="AF24" s="16">
        <f>IF(MatrizDeAdyacencia!AF24=1, SUMIFS(tblRed[TRADE OFF VALOR OPERATIVO/COSTE], tblRed[Nodo Inicial], $C24, tblRed[Nodo Final], AF$3, tblRed[Activo], 1), 0)</f>
        <v>2.3392857142857144</v>
      </c>
      <c r="AG24" s="16">
        <f>IF(MatrizDeAdyacencia!AG24=1, SUMIFS(tblRed[TRADE OFF VALOR OPERATIVO/COSTE], tblRed[Nodo Inicial], $C24, tblRed[Nodo Final], AG$3, tblRed[Activo], 1), 0)</f>
        <v>1.9772727272727268</v>
      </c>
      <c r="AH24" s="16">
        <f>IF(MatrizDeAdyacencia!AH24=1, SUMIFS(tblRed[TRADE OFF VALOR OPERATIVO/COSTE], tblRed[Nodo Inicial], $C24, tblRed[Nodo Final], AH$3, tblRed[Activo], 1), 0)</f>
        <v>0</v>
      </c>
    </row>
    <row r="25" spans="2:34" ht="19.5" customHeight="1" x14ac:dyDescent="0.25">
      <c r="B25" s="48" t="str">
        <f>VLOOKUP(tblMatrizTradeOff[[#This Row],[Nodo Orig.\Dest.]],tblNodos[],2,FALSE)</f>
        <v>Intermediarios comerciales y transaccionales</v>
      </c>
      <c r="C25" s="75" t="s">
        <v>67</v>
      </c>
      <c r="D25" s="16">
        <f>IF(MatrizDeAdyacencia!D25=1, SUMIFS(tblRed[TRADE OFF VALOR OPERATIVO/COSTE], tblRed[Nodo Inicial], $C25, tblRed[Nodo Final], D$3, tblRed[Activo], 1), 0)</f>
        <v>0</v>
      </c>
      <c r="E25" s="16">
        <f>IF(MatrizDeAdyacencia!E25=1, SUMIFS(tblRed[TRADE OFF VALOR OPERATIVO/COSTE], tblRed[Nodo Inicial], $C25, tblRed[Nodo Final], E$3, tblRed[Activo], 1), 0)</f>
        <v>0</v>
      </c>
      <c r="F25" s="16">
        <f>IF(MatrizDeAdyacencia!F25=1, SUMIFS(tblRed[TRADE OFF VALOR OPERATIVO/COSTE], tblRed[Nodo Inicial], $C25, tblRed[Nodo Final], F$3, tblRed[Activo], 1), 0)</f>
        <v>0</v>
      </c>
      <c r="G25" s="16">
        <f>IF(MatrizDeAdyacencia!G25=1, SUMIFS(tblRed[TRADE OFF VALOR OPERATIVO/COSTE], tblRed[Nodo Inicial], $C25, tblRed[Nodo Final], G$3, tblRed[Activo], 1), 0)</f>
        <v>0</v>
      </c>
      <c r="H25" s="16">
        <f>IF(MatrizDeAdyacencia!H25=1, SUMIFS(tblRed[TRADE OFF VALOR OPERATIVO/COSTE], tblRed[Nodo Inicial], $C25, tblRed[Nodo Final], H$3, tblRed[Activo], 1), 0)</f>
        <v>0</v>
      </c>
      <c r="I25" s="16">
        <f>IF(MatrizDeAdyacencia!I25=1, SUMIFS(tblRed[TRADE OFF VALOR OPERATIVO/COSTE], tblRed[Nodo Inicial], $C25, tblRed[Nodo Final], I$3, tblRed[Activo], 1), 0)</f>
        <v>0</v>
      </c>
      <c r="J25" s="16">
        <f>IF(MatrizDeAdyacencia!J25=1, SUMIFS(tblRed[TRADE OFF VALOR OPERATIVO/COSTE], tblRed[Nodo Inicial], $C25, tblRed[Nodo Final], J$3, tblRed[Activo], 1), 0)</f>
        <v>0</v>
      </c>
      <c r="K25" s="16">
        <f>IF(MatrizDeAdyacencia!K25=1, SUMIFS(tblRed[TRADE OFF VALOR OPERATIVO/COSTE], tblRed[Nodo Inicial], $C25, tblRed[Nodo Final], K$3, tblRed[Activo], 1), 0)</f>
        <v>0</v>
      </c>
      <c r="L25" s="16">
        <f>IF(MatrizDeAdyacencia!L25=1, SUMIFS(tblRed[TRADE OFF VALOR OPERATIVO/COSTE], tblRed[Nodo Inicial], $C25, tblRed[Nodo Final], L$3, tblRed[Activo], 1), 0)</f>
        <v>0</v>
      </c>
      <c r="M25" s="16">
        <f>IF(MatrizDeAdyacencia!M25=1, SUMIFS(tblRed[TRADE OFF VALOR OPERATIVO/COSTE], tblRed[Nodo Inicial], $C25, tblRed[Nodo Final], M$3, tblRed[Activo], 1), 0)</f>
        <v>0</v>
      </c>
      <c r="N25" s="16">
        <f>IF(MatrizDeAdyacencia!N25=1, SUMIFS(tblRed[TRADE OFF VALOR OPERATIVO/COSTE], tblRed[Nodo Inicial], $C25, tblRed[Nodo Final], N$3, tblRed[Activo], 1), 0)</f>
        <v>0</v>
      </c>
      <c r="O25" s="16">
        <f>IF(MatrizDeAdyacencia!O25=1, SUMIFS(tblRed[TRADE OFF VALOR OPERATIVO/COSTE], tblRed[Nodo Inicial], $C25, tblRed[Nodo Final], O$3, tblRed[Activo], 1), 0)</f>
        <v>0</v>
      </c>
      <c r="P25" s="16">
        <f>IF(MatrizDeAdyacencia!P25=1, SUMIFS(tblRed[TRADE OFF VALOR OPERATIVO/COSTE], tblRed[Nodo Inicial], $C25, tblRed[Nodo Final], P$3, tblRed[Activo], 1), 0)</f>
        <v>0</v>
      </c>
      <c r="Q25" s="16">
        <f>IF(MatrizDeAdyacencia!Q25=1, SUMIFS(tblRed[TRADE OFF VALOR OPERATIVO/COSTE], tblRed[Nodo Inicial], $C25, tblRed[Nodo Final], Q$3, tblRed[Activo], 1), 0)</f>
        <v>0</v>
      </c>
      <c r="R25" s="16">
        <f>IF(MatrizDeAdyacencia!R25=1, SUMIFS(tblRed[TRADE OFF VALOR OPERATIVO/COSTE], tblRed[Nodo Inicial], $C25, tblRed[Nodo Final], R$3, tblRed[Activo], 1), 0)</f>
        <v>0</v>
      </c>
      <c r="S25" s="16">
        <f>IF(MatrizDeAdyacencia!S25=1, SUMIFS(tblRed[TRADE OFF VALOR OPERATIVO/COSTE], tblRed[Nodo Inicial], $C25, tblRed[Nodo Final], S$3, tblRed[Activo], 1), 0)</f>
        <v>0</v>
      </c>
      <c r="T25" s="16">
        <f>IF(MatrizDeAdyacencia!T25=1, SUMIFS(tblRed[TRADE OFF VALOR OPERATIVO/COSTE], tblRed[Nodo Inicial], $C25, tblRed[Nodo Final], T$3, tblRed[Activo], 1), 0)</f>
        <v>0</v>
      </c>
      <c r="U25" s="16">
        <f>IF(MatrizDeAdyacencia!U25=1, SUMIFS(tblRed[TRADE OFF VALOR OPERATIVO/COSTE], tblRed[Nodo Inicial], $C25, tblRed[Nodo Final], U$3, tblRed[Activo], 1), 0)</f>
        <v>0</v>
      </c>
      <c r="V25" s="16">
        <f>IF(MatrizDeAdyacencia!V25=1, SUMIFS(tblRed[TRADE OFF VALOR OPERATIVO/COSTE], tblRed[Nodo Inicial], $C25, tblRed[Nodo Final], V$3, tblRed[Activo], 1), 0)</f>
        <v>0</v>
      </c>
      <c r="W25" s="16">
        <f>IF(MatrizDeAdyacencia!W25=1, SUMIFS(tblRed[TRADE OFF VALOR OPERATIVO/COSTE], tblRed[Nodo Inicial], $C25, tblRed[Nodo Final], W$3, tblRed[Activo], 1), 0)</f>
        <v>0</v>
      </c>
      <c r="X25" s="16">
        <f>IF(MatrizDeAdyacencia!X25=1, SUMIFS(tblRed[TRADE OFF VALOR OPERATIVO/COSTE], tblRed[Nodo Inicial], $C25, tblRed[Nodo Final], X$3, tblRed[Activo], 1), 0)</f>
        <v>0</v>
      </c>
      <c r="Y25" s="16">
        <f>IF(MatrizDeAdyacencia!Y25=1, SUMIFS(tblRed[TRADE OFF VALOR OPERATIVO/COSTE], tblRed[Nodo Inicial], $C25, tblRed[Nodo Final], Y$3, tblRed[Activo], 1), 0)</f>
        <v>0</v>
      </c>
      <c r="Z25" s="16">
        <f>IF(MatrizDeAdyacencia!Z25=1, SUMIFS(tblRed[TRADE OFF VALOR OPERATIVO/COSTE], tblRed[Nodo Inicial], $C25, tblRed[Nodo Final], Z$3, tblRed[Activo], 1), 0)</f>
        <v>0</v>
      </c>
      <c r="AA25" s="16">
        <f>IF(MatrizDeAdyacencia!AA25=1, SUMIFS(tblRed[TRADE OFF VALOR OPERATIVO/COSTE], tblRed[Nodo Inicial], $C25, tblRed[Nodo Final], AA$3, tblRed[Activo], 1), 0)</f>
        <v>0</v>
      </c>
      <c r="AB25" s="16">
        <f>IF(MatrizDeAdyacencia!AB25=1, SUMIFS(tblRed[TRADE OFF VALOR OPERATIVO/COSTE], tblRed[Nodo Inicial], $C25, tblRed[Nodo Final], AB$3, tblRed[Activo], 1), 0)</f>
        <v>0</v>
      </c>
      <c r="AC25" s="16">
        <f>IF(MatrizDeAdyacencia!AC25=1, SUMIFS(tblRed[TRADE OFF VALOR OPERATIVO/COSTE], tblRed[Nodo Inicial], $C25, tblRed[Nodo Final], AC$3, tblRed[Activo], 1), 0)</f>
        <v>0</v>
      </c>
      <c r="AD25" s="16">
        <f>IF(MatrizDeAdyacencia!AD25=1, SUMIFS(tblRed[TRADE OFF VALOR OPERATIVO/COSTE], tblRed[Nodo Inicial], $C25, tblRed[Nodo Final], AD$3, tblRed[Activo], 1), 0)</f>
        <v>2.6333333333333337</v>
      </c>
      <c r="AE25" s="16">
        <f>IF(MatrizDeAdyacencia!AE25=1, SUMIFS(tblRed[TRADE OFF VALOR OPERATIVO/COSTE], tblRed[Nodo Inicial], $C25, tblRed[Nodo Final], AE$3, tblRed[Activo], 1), 0)</f>
        <v>2.8333333333333335</v>
      </c>
      <c r="AF25" s="16">
        <f>IF(MatrizDeAdyacencia!AF25=1, SUMIFS(tblRed[TRADE OFF VALOR OPERATIVO/COSTE], tblRed[Nodo Inicial], $C25, tblRed[Nodo Final], AF$3, tblRed[Activo], 1), 0)</f>
        <v>2.5454545454545454</v>
      </c>
      <c r="AG25" s="16">
        <f>IF(MatrizDeAdyacencia!AG25=1, SUMIFS(tblRed[TRADE OFF VALOR OPERATIVO/COSTE], tblRed[Nodo Inicial], $C25, tblRed[Nodo Final], AG$3, tblRed[Activo], 1), 0)</f>
        <v>0</v>
      </c>
      <c r="AH25" s="16">
        <f>IF(MatrizDeAdyacencia!AH25=1, SUMIFS(tblRed[TRADE OFF VALOR OPERATIVO/COSTE], tblRed[Nodo Inicial], $C25, tblRed[Nodo Final], AH$3, tblRed[Activo], 1), 0)</f>
        <v>0</v>
      </c>
    </row>
    <row r="26" spans="2:34" ht="19.5" customHeight="1" x14ac:dyDescent="0.25">
      <c r="B26" s="48" t="str">
        <f>VLOOKUP(tblMatrizTradeOff[[#This Row],[Nodo Orig.\Dest.]],tblNodos[],2,FALSE)</f>
        <v>Intermediarios logísticos del contrabando</v>
      </c>
      <c r="C26" s="75" t="s">
        <v>69</v>
      </c>
      <c r="D26" s="16">
        <f>IF(MatrizDeAdyacencia!D26=1, SUMIFS(tblRed[TRADE OFF VALOR OPERATIVO/COSTE], tblRed[Nodo Inicial], $C26, tblRed[Nodo Final], D$3, tblRed[Activo], 1), 0)</f>
        <v>0</v>
      </c>
      <c r="E26" s="16">
        <f>IF(MatrizDeAdyacencia!E26=1, SUMIFS(tblRed[TRADE OFF VALOR OPERATIVO/COSTE], tblRed[Nodo Inicial], $C26, tblRed[Nodo Final], E$3, tblRed[Activo], 1), 0)</f>
        <v>0</v>
      </c>
      <c r="F26" s="16">
        <f>IF(MatrizDeAdyacencia!F26=1, SUMIFS(tblRed[TRADE OFF VALOR OPERATIVO/COSTE], tblRed[Nodo Inicial], $C26, tblRed[Nodo Final], F$3, tblRed[Activo], 1), 0)</f>
        <v>0</v>
      </c>
      <c r="G26" s="16">
        <f>IF(MatrizDeAdyacencia!G26=1, SUMIFS(tblRed[TRADE OFF VALOR OPERATIVO/COSTE], tblRed[Nodo Inicial], $C26, tblRed[Nodo Final], G$3, tblRed[Activo], 1), 0)</f>
        <v>0</v>
      </c>
      <c r="H26" s="16">
        <f>IF(MatrizDeAdyacencia!H26=1, SUMIFS(tblRed[TRADE OFF VALOR OPERATIVO/COSTE], tblRed[Nodo Inicial], $C26, tblRed[Nodo Final], H$3, tblRed[Activo], 1), 0)</f>
        <v>0</v>
      </c>
      <c r="I26" s="16">
        <f>IF(MatrizDeAdyacencia!I26=1, SUMIFS(tblRed[TRADE OFF VALOR OPERATIVO/COSTE], tblRed[Nodo Inicial], $C26, tblRed[Nodo Final], I$3, tblRed[Activo], 1), 0)</f>
        <v>0</v>
      </c>
      <c r="J26" s="16">
        <f>IF(MatrizDeAdyacencia!J26=1, SUMIFS(tblRed[TRADE OFF VALOR OPERATIVO/COSTE], tblRed[Nodo Inicial], $C26, tblRed[Nodo Final], J$3, tblRed[Activo], 1), 0)</f>
        <v>0</v>
      </c>
      <c r="K26" s="16">
        <f>IF(MatrizDeAdyacencia!K26=1, SUMIFS(tblRed[TRADE OFF VALOR OPERATIVO/COSTE], tblRed[Nodo Inicial], $C26, tblRed[Nodo Final], K$3, tblRed[Activo], 1), 0)</f>
        <v>0</v>
      </c>
      <c r="L26" s="16">
        <f>IF(MatrizDeAdyacencia!L26=1, SUMIFS(tblRed[TRADE OFF VALOR OPERATIVO/COSTE], tblRed[Nodo Inicial], $C26, tblRed[Nodo Final], L$3, tblRed[Activo], 1), 0)</f>
        <v>0</v>
      </c>
      <c r="M26" s="16">
        <f>IF(MatrizDeAdyacencia!M26=1, SUMIFS(tblRed[TRADE OFF VALOR OPERATIVO/COSTE], tblRed[Nodo Inicial], $C26, tblRed[Nodo Final], M$3, tblRed[Activo], 1), 0)</f>
        <v>0</v>
      </c>
      <c r="N26" s="16">
        <f>IF(MatrizDeAdyacencia!N26=1, SUMIFS(tblRed[TRADE OFF VALOR OPERATIVO/COSTE], tblRed[Nodo Inicial], $C26, tblRed[Nodo Final], N$3, tblRed[Activo], 1), 0)</f>
        <v>0</v>
      </c>
      <c r="O26" s="16">
        <f>IF(MatrizDeAdyacencia!O26=1, SUMIFS(tblRed[TRADE OFF VALOR OPERATIVO/COSTE], tblRed[Nodo Inicial], $C26, tblRed[Nodo Final], O$3, tblRed[Activo], 1), 0)</f>
        <v>0</v>
      </c>
      <c r="P26" s="16">
        <f>IF(MatrizDeAdyacencia!P26=1, SUMIFS(tblRed[TRADE OFF VALOR OPERATIVO/COSTE], tblRed[Nodo Inicial], $C26, tblRed[Nodo Final], P$3, tblRed[Activo], 1), 0)</f>
        <v>0</v>
      </c>
      <c r="Q26" s="16">
        <f>IF(MatrizDeAdyacencia!Q26=1, SUMIFS(tblRed[TRADE OFF VALOR OPERATIVO/COSTE], tblRed[Nodo Inicial], $C26, tblRed[Nodo Final], Q$3, tblRed[Activo], 1), 0)</f>
        <v>0</v>
      </c>
      <c r="R26" s="16">
        <f>IF(MatrizDeAdyacencia!R26=1, SUMIFS(tblRed[TRADE OFF VALOR OPERATIVO/COSTE], tblRed[Nodo Inicial], $C26, tblRed[Nodo Final], R$3, tblRed[Activo], 1), 0)</f>
        <v>0</v>
      </c>
      <c r="S26" s="16">
        <f>IF(MatrizDeAdyacencia!S26=1, SUMIFS(tblRed[TRADE OFF VALOR OPERATIVO/COSTE], tblRed[Nodo Inicial], $C26, tblRed[Nodo Final], S$3, tblRed[Activo], 1), 0)</f>
        <v>0</v>
      </c>
      <c r="T26" s="16">
        <f>IF(MatrizDeAdyacencia!T26=1, SUMIFS(tblRed[TRADE OFF VALOR OPERATIVO/COSTE], tblRed[Nodo Inicial], $C26, tblRed[Nodo Final], T$3, tblRed[Activo], 1), 0)</f>
        <v>0</v>
      </c>
      <c r="U26" s="16">
        <f>IF(MatrizDeAdyacencia!U26=1, SUMIFS(tblRed[TRADE OFF VALOR OPERATIVO/COSTE], tblRed[Nodo Inicial], $C26, tblRed[Nodo Final], U$3, tblRed[Activo], 1), 0)</f>
        <v>0</v>
      </c>
      <c r="V26" s="16">
        <f>IF(MatrizDeAdyacencia!V26=1, SUMIFS(tblRed[TRADE OFF VALOR OPERATIVO/COSTE], tblRed[Nodo Inicial], $C26, tblRed[Nodo Final], V$3, tblRed[Activo], 1), 0)</f>
        <v>0</v>
      </c>
      <c r="W26" s="16">
        <f>IF(MatrizDeAdyacencia!W26=1, SUMIFS(tblRed[TRADE OFF VALOR OPERATIVO/COSTE], tblRed[Nodo Inicial], $C26, tblRed[Nodo Final], W$3, tblRed[Activo], 1), 0)</f>
        <v>0</v>
      </c>
      <c r="X26" s="16">
        <f>IF(MatrizDeAdyacencia!X26=1, SUMIFS(tblRed[TRADE OFF VALOR OPERATIVO/COSTE], tblRed[Nodo Inicial], $C26, tblRed[Nodo Final], X$3, tblRed[Activo], 1), 0)</f>
        <v>0</v>
      </c>
      <c r="Y26" s="16">
        <f>IF(MatrizDeAdyacencia!Y26=1, SUMIFS(tblRed[TRADE OFF VALOR OPERATIVO/COSTE], tblRed[Nodo Inicial], $C26, tblRed[Nodo Final], Y$3, tblRed[Activo], 1), 0)</f>
        <v>0</v>
      </c>
      <c r="Z26" s="16">
        <f>IF(MatrizDeAdyacencia!Z26=1, SUMIFS(tblRed[TRADE OFF VALOR OPERATIVO/COSTE], tblRed[Nodo Inicial], $C26, tblRed[Nodo Final], Z$3, tblRed[Activo], 1), 0)</f>
        <v>0</v>
      </c>
      <c r="AA26" s="16">
        <f>IF(MatrizDeAdyacencia!AA26=1, SUMIFS(tblRed[TRADE OFF VALOR OPERATIVO/COSTE], tblRed[Nodo Inicial], $C26, tblRed[Nodo Final], AA$3, tblRed[Activo], 1), 0)</f>
        <v>0</v>
      </c>
      <c r="AB26" s="16">
        <f>IF(MatrizDeAdyacencia!AB26=1, SUMIFS(tblRed[TRADE OFF VALOR OPERATIVO/COSTE], tblRed[Nodo Inicial], $C26, tblRed[Nodo Final], AB$3, tblRed[Activo], 1), 0)</f>
        <v>0</v>
      </c>
      <c r="AC26" s="16">
        <f>IF(MatrizDeAdyacencia!AC26=1, SUMIFS(tblRed[TRADE OFF VALOR OPERATIVO/COSTE], tblRed[Nodo Inicial], $C26, tblRed[Nodo Final], AC$3, tblRed[Activo], 1), 0)</f>
        <v>0</v>
      </c>
      <c r="AD26" s="16">
        <f>IF(MatrizDeAdyacencia!AD26=1, SUMIFS(tblRed[TRADE OFF VALOR OPERATIVO/COSTE], tblRed[Nodo Inicial], $C26, tblRed[Nodo Final], AD$3, tblRed[Activo], 1), 0)</f>
        <v>2.6333333333333337</v>
      </c>
      <c r="AE26" s="16">
        <f>IF(MatrizDeAdyacencia!AE26=1, SUMIFS(tblRed[TRADE OFF VALOR OPERATIVO/COSTE], tblRed[Nodo Inicial], $C26, tblRed[Nodo Final], AE$3, tblRed[Activo], 1), 0)</f>
        <v>0</v>
      </c>
      <c r="AF26" s="16">
        <f>IF(MatrizDeAdyacencia!AF26=1, SUMIFS(tblRed[TRADE OFF VALOR OPERATIVO/COSTE], tblRed[Nodo Inicial], $C26, tblRed[Nodo Final], AF$3, tblRed[Activo], 1), 0)</f>
        <v>0</v>
      </c>
      <c r="AG26" s="16">
        <f>IF(MatrizDeAdyacencia!AG26=1, SUMIFS(tblRed[TRADE OFF VALOR OPERATIVO/COSTE], tblRed[Nodo Inicial], $C26, tblRed[Nodo Final], AG$3, tblRed[Activo], 1), 0)</f>
        <v>3.6666666666666665</v>
      </c>
      <c r="AH26" s="16">
        <f>IF(MatrizDeAdyacencia!AH26=1, SUMIFS(tblRed[TRADE OFF VALOR OPERATIVO/COSTE], tblRed[Nodo Inicial], $C26, tblRed[Nodo Final], AH$3, tblRed[Activo], 1), 0)</f>
        <v>0</v>
      </c>
    </row>
    <row r="27" spans="2:34" ht="19.5" customHeight="1" x14ac:dyDescent="0.25">
      <c r="B27" s="48" t="str">
        <f>VLOOKUP(tblMatrizTradeOff[[#This Row],[Nodo Orig.\Dest.]],tblNodos[],2,FALSE)</f>
        <v>Intermediarios financeros especializados</v>
      </c>
      <c r="C27" s="75" t="s">
        <v>71</v>
      </c>
      <c r="D27" s="16">
        <f>IF(MatrizDeAdyacencia!D27=1, SUMIFS(tblRed[TRADE OFF VALOR OPERATIVO/COSTE], tblRed[Nodo Inicial], $C27, tblRed[Nodo Final], D$3, tblRed[Activo], 1), 0)</f>
        <v>0</v>
      </c>
      <c r="E27" s="16">
        <f>IF(MatrizDeAdyacencia!E27=1, SUMIFS(tblRed[TRADE OFF VALOR OPERATIVO/COSTE], tblRed[Nodo Inicial], $C27, tblRed[Nodo Final], E$3, tblRed[Activo], 1), 0)</f>
        <v>0</v>
      </c>
      <c r="F27" s="16">
        <f>IF(MatrizDeAdyacencia!F27=1, SUMIFS(tblRed[TRADE OFF VALOR OPERATIVO/COSTE], tblRed[Nodo Inicial], $C27, tblRed[Nodo Final], F$3, tblRed[Activo], 1), 0)</f>
        <v>0</v>
      </c>
      <c r="G27" s="16">
        <f>IF(MatrizDeAdyacencia!G27=1, SUMIFS(tblRed[TRADE OFF VALOR OPERATIVO/COSTE], tblRed[Nodo Inicial], $C27, tblRed[Nodo Final], G$3, tblRed[Activo], 1), 0)</f>
        <v>0</v>
      </c>
      <c r="H27" s="16">
        <f>IF(MatrizDeAdyacencia!H27=1, SUMIFS(tblRed[TRADE OFF VALOR OPERATIVO/COSTE], tblRed[Nodo Inicial], $C27, tblRed[Nodo Final], H$3, tblRed[Activo], 1), 0)</f>
        <v>0</v>
      </c>
      <c r="I27" s="16">
        <f>IF(MatrizDeAdyacencia!I27=1, SUMIFS(tblRed[TRADE OFF VALOR OPERATIVO/COSTE], tblRed[Nodo Inicial], $C27, tblRed[Nodo Final], I$3, tblRed[Activo], 1), 0)</f>
        <v>0</v>
      </c>
      <c r="J27" s="16">
        <f>IF(MatrizDeAdyacencia!J27=1, SUMIFS(tblRed[TRADE OFF VALOR OPERATIVO/COSTE], tblRed[Nodo Inicial], $C27, tblRed[Nodo Final], J$3, tblRed[Activo], 1), 0)</f>
        <v>0</v>
      </c>
      <c r="K27" s="16">
        <f>IF(MatrizDeAdyacencia!K27=1, SUMIFS(tblRed[TRADE OFF VALOR OPERATIVO/COSTE], tblRed[Nodo Inicial], $C27, tblRed[Nodo Final], K$3, tblRed[Activo], 1), 0)</f>
        <v>0</v>
      </c>
      <c r="L27" s="16">
        <f>IF(MatrizDeAdyacencia!L27=1, SUMIFS(tblRed[TRADE OFF VALOR OPERATIVO/COSTE], tblRed[Nodo Inicial], $C27, tblRed[Nodo Final], L$3, tblRed[Activo], 1), 0)</f>
        <v>0</v>
      </c>
      <c r="M27" s="16">
        <f>IF(MatrizDeAdyacencia!M27=1, SUMIFS(tblRed[TRADE OFF VALOR OPERATIVO/COSTE], tblRed[Nodo Inicial], $C27, tblRed[Nodo Final], M$3, tblRed[Activo], 1), 0)</f>
        <v>0</v>
      </c>
      <c r="N27" s="16">
        <f>IF(MatrizDeAdyacencia!N27=1, SUMIFS(tblRed[TRADE OFF VALOR OPERATIVO/COSTE], tblRed[Nodo Inicial], $C27, tblRed[Nodo Final], N$3, tblRed[Activo], 1), 0)</f>
        <v>0</v>
      </c>
      <c r="O27" s="16">
        <f>IF(MatrizDeAdyacencia!O27=1, SUMIFS(tblRed[TRADE OFF VALOR OPERATIVO/COSTE], tblRed[Nodo Inicial], $C27, tblRed[Nodo Final], O$3, tblRed[Activo], 1), 0)</f>
        <v>0</v>
      </c>
      <c r="P27" s="16">
        <f>IF(MatrizDeAdyacencia!P27=1, SUMIFS(tblRed[TRADE OFF VALOR OPERATIVO/COSTE], tblRed[Nodo Inicial], $C27, tblRed[Nodo Final], P$3, tblRed[Activo], 1), 0)</f>
        <v>0</v>
      </c>
      <c r="Q27" s="16">
        <f>IF(MatrizDeAdyacencia!Q27=1, SUMIFS(tblRed[TRADE OFF VALOR OPERATIVO/COSTE], tblRed[Nodo Inicial], $C27, tblRed[Nodo Final], Q$3, tblRed[Activo], 1), 0)</f>
        <v>0</v>
      </c>
      <c r="R27" s="16">
        <f>IF(MatrizDeAdyacencia!R27=1, SUMIFS(tblRed[TRADE OFF VALOR OPERATIVO/COSTE], tblRed[Nodo Inicial], $C27, tblRed[Nodo Final], R$3, tblRed[Activo], 1), 0)</f>
        <v>0</v>
      </c>
      <c r="S27" s="16">
        <f>IF(MatrizDeAdyacencia!S27=1, SUMIFS(tblRed[TRADE OFF VALOR OPERATIVO/COSTE], tblRed[Nodo Inicial], $C27, tblRed[Nodo Final], S$3, tblRed[Activo], 1), 0)</f>
        <v>0</v>
      </c>
      <c r="T27" s="16">
        <f>IF(MatrizDeAdyacencia!T27=1, SUMIFS(tblRed[TRADE OFF VALOR OPERATIVO/COSTE], tblRed[Nodo Inicial], $C27, tblRed[Nodo Final], T$3, tblRed[Activo], 1), 0)</f>
        <v>0</v>
      </c>
      <c r="U27" s="16">
        <f>IF(MatrizDeAdyacencia!U27=1, SUMIFS(tblRed[TRADE OFF VALOR OPERATIVO/COSTE], tblRed[Nodo Inicial], $C27, tblRed[Nodo Final], U$3, tblRed[Activo], 1), 0)</f>
        <v>0</v>
      </c>
      <c r="V27" s="16">
        <f>IF(MatrizDeAdyacencia!V27=1, SUMIFS(tblRed[TRADE OFF VALOR OPERATIVO/COSTE], tblRed[Nodo Inicial], $C27, tblRed[Nodo Final], V$3, tblRed[Activo], 1), 0)</f>
        <v>0</v>
      </c>
      <c r="W27" s="16">
        <f>IF(MatrizDeAdyacencia!W27=1, SUMIFS(tblRed[TRADE OFF VALOR OPERATIVO/COSTE], tblRed[Nodo Inicial], $C27, tblRed[Nodo Final], W$3, tblRed[Activo], 1), 0)</f>
        <v>0</v>
      </c>
      <c r="X27" s="16">
        <f>IF(MatrizDeAdyacencia!X27=1, SUMIFS(tblRed[TRADE OFF VALOR OPERATIVO/COSTE], tblRed[Nodo Inicial], $C27, tblRed[Nodo Final], X$3, tblRed[Activo], 1), 0)</f>
        <v>0</v>
      </c>
      <c r="Y27" s="16">
        <f>IF(MatrizDeAdyacencia!Y27=1, SUMIFS(tblRed[TRADE OFF VALOR OPERATIVO/COSTE], tblRed[Nodo Inicial], $C27, tblRed[Nodo Final], Y$3, tblRed[Activo], 1), 0)</f>
        <v>0</v>
      </c>
      <c r="Z27" s="16">
        <f>IF(MatrizDeAdyacencia!Z27=1, SUMIFS(tblRed[TRADE OFF VALOR OPERATIVO/COSTE], tblRed[Nodo Inicial], $C27, tblRed[Nodo Final], Z$3, tblRed[Activo], 1), 0)</f>
        <v>0</v>
      </c>
      <c r="AA27" s="16">
        <f>IF(MatrizDeAdyacencia!AA27=1, SUMIFS(tblRed[TRADE OFF VALOR OPERATIVO/COSTE], tblRed[Nodo Inicial], $C27, tblRed[Nodo Final], AA$3, tblRed[Activo], 1), 0)</f>
        <v>0</v>
      </c>
      <c r="AB27" s="16">
        <f>IF(MatrizDeAdyacencia!AB27=1, SUMIFS(tblRed[TRADE OFF VALOR OPERATIVO/COSTE], tblRed[Nodo Inicial], $C27, tblRed[Nodo Final], AB$3, tblRed[Activo], 1), 0)</f>
        <v>0</v>
      </c>
      <c r="AC27" s="16">
        <f>IF(MatrizDeAdyacencia!AC27=1, SUMIFS(tblRed[TRADE OFF VALOR OPERATIVO/COSTE], tblRed[Nodo Inicial], $C27, tblRed[Nodo Final], AC$3, tblRed[Activo], 1), 0)</f>
        <v>0</v>
      </c>
      <c r="AD27" s="16">
        <f>IF(MatrizDeAdyacencia!AD27=1, SUMIFS(tblRed[TRADE OFF VALOR OPERATIVO/COSTE], tblRed[Nodo Inicial], $C27, tblRed[Nodo Final], AD$3, tblRed[Activo], 1), 0)</f>
        <v>3.5333333333333332</v>
      </c>
      <c r="AE27" s="16">
        <f>IF(MatrizDeAdyacencia!AE27=1, SUMIFS(tblRed[TRADE OFF VALOR OPERATIVO/COSTE], tblRed[Nodo Inicial], $C27, tblRed[Nodo Final], AE$3, tblRed[Activo], 1), 0)</f>
        <v>3.25</v>
      </c>
      <c r="AF27" s="16">
        <f>IF(MatrizDeAdyacencia!AF27=1, SUMIFS(tblRed[TRADE OFF VALOR OPERATIVO/COSTE], tblRed[Nodo Inicial], $C27, tblRed[Nodo Final], AF$3, tblRed[Activo], 1), 0)</f>
        <v>0</v>
      </c>
      <c r="AG27" s="16">
        <f>IF(MatrizDeAdyacencia!AG27=1, SUMIFS(tblRed[TRADE OFF VALOR OPERATIVO/COSTE], tblRed[Nodo Inicial], $C27, tblRed[Nodo Final], AG$3, tblRed[Activo], 1), 0)</f>
        <v>0</v>
      </c>
      <c r="AH27" s="16">
        <f>IF(MatrizDeAdyacencia!AH27=1, SUMIFS(tblRed[TRADE OFF VALOR OPERATIVO/COSTE], tblRed[Nodo Inicial], $C27, tblRed[Nodo Final], AH$3, tblRed[Activo], 1), 0)</f>
        <v>0</v>
      </c>
    </row>
    <row r="28" spans="2:34" ht="19.5" customHeight="1" x14ac:dyDescent="0.25">
      <c r="B28" s="48" t="str">
        <f>VLOOKUP(tblMatrizTradeOff[[#This Row],[Nodo Orig.\Dest.]],tblNodos[],2,FALSE)</f>
        <v>Intermediarios operativos y de cobertura</v>
      </c>
      <c r="C28" s="75" t="s">
        <v>73</v>
      </c>
      <c r="D28" s="16">
        <f>IF(MatrizDeAdyacencia!D28=1, SUMIFS(tblRed[TRADE OFF VALOR OPERATIVO/COSTE], tblRed[Nodo Inicial], $C28, tblRed[Nodo Final], D$3, tblRed[Activo], 1), 0)</f>
        <v>0</v>
      </c>
      <c r="E28" s="16">
        <f>IF(MatrizDeAdyacencia!E28=1, SUMIFS(tblRed[TRADE OFF VALOR OPERATIVO/COSTE], tblRed[Nodo Inicial], $C28, tblRed[Nodo Final], E$3, tblRed[Activo], 1), 0)</f>
        <v>0</v>
      </c>
      <c r="F28" s="16">
        <f>IF(MatrizDeAdyacencia!F28=1, SUMIFS(tblRed[TRADE OFF VALOR OPERATIVO/COSTE], tblRed[Nodo Inicial], $C28, tblRed[Nodo Final], F$3, tblRed[Activo], 1), 0)</f>
        <v>0</v>
      </c>
      <c r="G28" s="16">
        <f>IF(MatrizDeAdyacencia!G28=1, SUMIFS(tblRed[TRADE OFF VALOR OPERATIVO/COSTE], tblRed[Nodo Inicial], $C28, tblRed[Nodo Final], G$3, tblRed[Activo], 1), 0)</f>
        <v>0</v>
      </c>
      <c r="H28" s="16">
        <f>IF(MatrizDeAdyacencia!H28=1, SUMIFS(tblRed[TRADE OFF VALOR OPERATIVO/COSTE], tblRed[Nodo Inicial], $C28, tblRed[Nodo Final], H$3, tblRed[Activo], 1), 0)</f>
        <v>0</v>
      </c>
      <c r="I28" s="16">
        <f>IF(MatrizDeAdyacencia!I28=1, SUMIFS(tblRed[TRADE OFF VALOR OPERATIVO/COSTE], tblRed[Nodo Inicial], $C28, tblRed[Nodo Final], I$3, tblRed[Activo], 1), 0)</f>
        <v>0</v>
      </c>
      <c r="J28" s="16">
        <f>IF(MatrizDeAdyacencia!J28=1, SUMIFS(tblRed[TRADE OFF VALOR OPERATIVO/COSTE], tblRed[Nodo Inicial], $C28, tblRed[Nodo Final], J$3, tblRed[Activo], 1), 0)</f>
        <v>0</v>
      </c>
      <c r="K28" s="16">
        <f>IF(MatrizDeAdyacencia!K28=1, SUMIFS(tblRed[TRADE OFF VALOR OPERATIVO/COSTE], tblRed[Nodo Inicial], $C28, tblRed[Nodo Final], K$3, tblRed[Activo], 1), 0)</f>
        <v>0</v>
      </c>
      <c r="L28" s="16">
        <f>IF(MatrizDeAdyacencia!L28=1, SUMIFS(tblRed[TRADE OFF VALOR OPERATIVO/COSTE], tblRed[Nodo Inicial], $C28, tblRed[Nodo Final], L$3, tblRed[Activo], 1), 0)</f>
        <v>0</v>
      </c>
      <c r="M28" s="16">
        <f>IF(MatrizDeAdyacencia!M28=1, SUMIFS(tblRed[TRADE OFF VALOR OPERATIVO/COSTE], tblRed[Nodo Inicial], $C28, tblRed[Nodo Final], M$3, tblRed[Activo], 1), 0)</f>
        <v>0</v>
      </c>
      <c r="N28" s="16">
        <f>IF(MatrizDeAdyacencia!N28=1, SUMIFS(tblRed[TRADE OFF VALOR OPERATIVO/COSTE], tblRed[Nodo Inicial], $C28, tblRed[Nodo Final], N$3, tblRed[Activo], 1), 0)</f>
        <v>0</v>
      </c>
      <c r="O28" s="16">
        <f>IF(MatrizDeAdyacencia!O28=1, SUMIFS(tblRed[TRADE OFF VALOR OPERATIVO/COSTE], tblRed[Nodo Inicial], $C28, tblRed[Nodo Final], O$3, tblRed[Activo], 1), 0)</f>
        <v>0</v>
      </c>
      <c r="P28" s="16">
        <f>IF(MatrizDeAdyacencia!P28=1, SUMIFS(tblRed[TRADE OFF VALOR OPERATIVO/COSTE], tblRed[Nodo Inicial], $C28, tblRed[Nodo Final], P$3, tblRed[Activo], 1), 0)</f>
        <v>0</v>
      </c>
      <c r="Q28" s="16">
        <f>IF(MatrizDeAdyacencia!Q28=1, SUMIFS(tblRed[TRADE OFF VALOR OPERATIVO/COSTE], tblRed[Nodo Inicial], $C28, tblRed[Nodo Final], Q$3, tblRed[Activo], 1), 0)</f>
        <v>0</v>
      </c>
      <c r="R28" s="16">
        <f>IF(MatrizDeAdyacencia!R28=1, SUMIFS(tblRed[TRADE OFF VALOR OPERATIVO/COSTE], tblRed[Nodo Inicial], $C28, tblRed[Nodo Final], R$3, tblRed[Activo], 1), 0)</f>
        <v>0</v>
      </c>
      <c r="S28" s="16">
        <f>IF(MatrizDeAdyacencia!S28=1, SUMIFS(tblRed[TRADE OFF VALOR OPERATIVO/COSTE], tblRed[Nodo Inicial], $C28, tblRed[Nodo Final], S$3, tblRed[Activo], 1), 0)</f>
        <v>0</v>
      </c>
      <c r="T28" s="16">
        <f>IF(MatrizDeAdyacencia!T28=1, SUMIFS(tblRed[TRADE OFF VALOR OPERATIVO/COSTE], tblRed[Nodo Inicial], $C28, tblRed[Nodo Final], T$3, tblRed[Activo], 1), 0)</f>
        <v>0</v>
      </c>
      <c r="U28" s="16">
        <f>IF(MatrizDeAdyacencia!U28=1, SUMIFS(tblRed[TRADE OFF VALOR OPERATIVO/COSTE], tblRed[Nodo Inicial], $C28, tblRed[Nodo Final], U$3, tblRed[Activo], 1), 0)</f>
        <v>0</v>
      </c>
      <c r="V28" s="16">
        <f>IF(MatrizDeAdyacencia!V28=1, SUMIFS(tblRed[TRADE OFF VALOR OPERATIVO/COSTE], tblRed[Nodo Inicial], $C28, tblRed[Nodo Final], V$3, tblRed[Activo], 1), 0)</f>
        <v>0</v>
      </c>
      <c r="W28" s="16">
        <f>IF(MatrizDeAdyacencia!W28=1, SUMIFS(tblRed[TRADE OFF VALOR OPERATIVO/COSTE], tblRed[Nodo Inicial], $C28, tblRed[Nodo Final], W$3, tblRed[Activo], 1), 0)</f>
        <v>0</v>
      </c>
      <c r="X28" s="16">
        <f>IF(MatrizDeAdyacencia!X28=1, SUMIFS(tblRed[TRADE OFF VALOR OPERATIVO/COSTE], tblRed[Nodo Inicial], $C28, tblRed[Nodo Final], X$3, tblRed[Activo], 1), 0)</f>
        <v>0</v>
      </c>
      <c r="Y28" s="16">
        <f>IF(MatrizDeAdyacencia!Y28=1, SUMIFS(tblRed[TRADE OFF VALOR OPERATIVO/COSTE], tblRed[Nodo Inicial], $C28, tblRed[Nodo Final], Y$3, tblRed[Activo], 1), 0)</f>
        <v>0</v>
      </c>
      <c r="Z28" s="16">
        <f>IF(MatrizDeAdyacencia!Z28=1, SUMIFS(tblRed[TRADE OFF VALOR OPERATIVO/COSTE], tblRed[Nodo Inicial], $C28, tblRed[Nodo Final], Z$3, tblRed[Activo], 1), 0)</f>
        <v>0</v>
      </c>
      <c r="AA28" s="16">
        <f>IF(MatrizDeAdyacencia!AA28=1, SUMIFS(tblRed[TRADE OFF VALOR OPERATIVO/COSTE], tblRed[Nodo Inicial], $C28, tblRed[Nodo Final], AA$3, tblRed[Activo], 1), 0)</f>
        <v>0</v>
      </c>
      <c r="AB28" s="16">
        <f>IF(MatrizDeAdyacencia!AB28=1, SUMIFS(tblRed[TRADE OFF VALOR OPERATIVO/COSTE], tblRed[Nodo Inicial], $C28, tblRed[Nodo Final], AB$3, tblRed[Activo], 1), 0)</f>
        <v>0</v>
      </c>
      <c r="AC28" s="16">
        <f>IF(MatrizDeAdyacencia!AC28=1, SUMIFS(tblRed[TRADE OFF VALOR OPERATIVO/COSTE], tblRed[Nodo Inicial], $C28, tblRed[Nodo Final], AC$3, tblRed[Activo], 1), 0)</f>
        <v>0</v>
      </c>
      <c r="AD28" s="16">
        <f>IF(MatrizDeAdyacencia!AD28=1, SUMIFS(tblRed[TRADE OFF VALOR OPERATIVO/COSTE], tblRed[Nodo Inicial], $C28, tblRed[Nodo Final], AD$3, tblRed[Activo], 1), 0)</f>
        <v>2.75</v>
      </c>
      <c r="AE28" s="16">
        <f>IF(MatrizDeAdyacencia!AE28=1, SUMIFS(tblRed[TRADE OFF VALOR OPERATIVO/COSTE], tblRed[Nodo Inicial], $C28, tblRed[Nodo Final], AE$3, tblRed[Activo], 1), 0)</f>
        <v>0</v>
      </c>
      <c r="AF28" s="16">
        <f>IF(MatrizDeAdyacencia!AF28=1, SUMIFS(tblRed[TRADE OFF VALOR OPERATIVO/COSTE], tblRed[Nodo Inicial], $C28, tblRed[Nodo Final], AF$3, tblRed[Activo], 1), 0)</f>
        <v>0</v>
      </c>
      <c r="AG28" s="16">
        <f>IF(MatrizDeAdyacencia!AG28=1, SUMIFS(tblRed[TRADE OFF VALOR OPERATIVO/COSTE], tblRed[Nodo Inicial], $C28, tblRed[Nodo Final], AG$3, tblRed[Activo], 1), 0)</f>
        <v>0</v>
      </c>
      <c r="AH28" s="16">
        <f>IF(MatrizDeAdyacencia!AH28=1, SUMIFS(tblRed[TRADE OFF VALOR OPERATIVO/COSTE], tblRed[Nodo Inicial], $C28, tblRed[Nodo Final], AH$3, tblRed[Activo], 1), 0)</f>
        <v>0</v>
      </c>
    </row>
    <row r="29" spans="2:34" ht="19.5" customHeight="1" x14ac:dyDescent="0.25">
      <c r="B29" s="48" t="str">
        <f>VLOOKUP(tblMatrizTradeOff[[#This Row],[Nodo Orig.\Dest.]],tblNodos[],2,FALSE)</f>
        <v>Intermediarios de negociación y rescate</v>
      </c>
      <c r="C29" s="75" t="s">
        <v>75</v>
      </c>
      <c r="D29" s="16">
        <f>IF(MatrizDeAdyacencia!D29=1, SUMIFS(tblRed[TRADE OFF VALOR OPERATIVO/COSTE], tblRed[Nodo Inicial], $C29, tblRed[Nodo Final], D$3, tblRed[Activo], 1), 0)</f>
        <v>0</v>
      </c>
      <c r="E29" s="16">
        <f>IF(MatrizDeAdyacencia!E29=1, SUMIFS(tblRed[TRADE OFF VALOR OPERATIVO/COSTE], tblRed[Nodo Inicial], $C29, tblRed[Nodo Final], E$3, tblRed[Activo], 1), 0)</f>
        <v>0</v>
      </c>
      <c r="F29" s="16">
        <f>IF(MatrizDeAdyacencia!F29=1, SUMIFS(tblRed[TRADE OFF VALOR OPERATIVO/COSTE], tblRed[Nodo Inicial], $C29, tblRed[Nodo Final], F$3, tblRed[Activo], 1), 0)</f>
        <v>0</v>
      </c>
      <c r="G29" s="16">
        <f>IF(MatrizDeAdyacencia!G29=1, SUMIFS(tblRed[TRADE OFF VALOR OPERATIVO/COSTE], tblRed[Nodo Inicial], $C29, tblRed[Nodo Final], G$3, tblRed[Activo], 1), 0)</f>
        <v>0</v>
      </c>
      <c r="H29" s="16">
        <f>IF(MatrizDeAdyacencia!H29=1, SUMIFS(tblRed[TRADE OFF VALOR OPERATIVO/COSTE], tblRed[Nodo Inicial], $C29, tblRed[Nodo Final], H$3, tblRed[Activo], 1), 0)</f>
        <v>0</v>
      </c>
      <c r="I29" s="16">
        <f>IF(MatrizDeAdyacencia!I29=1, SUMIFS(tblRed[TRADE OFF VALOR OPERATIVO/COSTE], tblRed[Nodo Inicial], $C29, tblRed[Nodo Final], I$3, tblRed[Activo], 1), 0)</f>
        <v>0</v>
      </c>
      <c r="J29" s="16">
        <f>IF(MatrizDeAdyacencia!J29=1, SUMIFS(tblRed[TRADE OFF VALOR OPERATIVO/COSTE], tblRed[Nodo Inicial], $C29, tblRed[Nodo Final], J$3, tblRed[Activo], 1), 0)</f>
        <v>0</v>
      </c>
      <c r="K29" s="16">
        <f>IF(MatrizDeAdyacencia!K29=1, SUMIFS(tblRed[TRADE OFF VALOR OPERATIVO/COSTE], tblRed[Nodo Inicial], $C29, tblRed[Nodo Final], K$3, tblRed[Activo], 1), 0)</f>
        <v>0</v>
      </c>
      <c r="L29" s="16">
        <f>IF(MatrizDeAdyacencia!L29=1, SUMIFS(tblRed[TRADE OFF VALOR OPERATIVO/COSTE], tblRed[Nodo Inicial], $C29, tblRed[Nodo Final], L$3, tblRed[Activo], 1), 0)</f>
        <v>0</v>
      </c>
      <c r="M29" s="16">
        <f>IF(MatrizDeAdyacencia!M29=1, SUMIFS(tblRed[TRADE OFF VALOR OPERATIVO/COSTE], tblRed[Nodo Inicial], $C29, tblRed[Nodo Final], M$3, tblRed[Activo], 1), 0)</f>
        <v>0</v>
      </c>
      <c r="N29" s="16">
        <f>IF(MatrizDeAdyacencia!N29=1, SUMIFS(tblRed[TRADE OFF VALOR OPERATIVO/COSTE], tblRed[Nodo Inicial], $C29, tblRed[Nodo Final], N$3, tblRed[Activo], 1), 0)</f>
        <v>0</v>
      </c>
      <c r="O29" s="16">
        <f>IF(MatrizDeAdyacencia!O29=1, SUMIFS(tblRed[TRADE OFF VALOR OPERATIVO/COSTE], tblRed[Nodo Inicial], $C29, tblRed[Nodo Final], O$3, tblRed[Activo], 1), 0)</f>
        <v>0</v>
      </c>
      <c r="P29" s="16">
        <f>IF(MatrizDeAdyacencia!P29=1, SUMIFS(tblRed[TRADE OFF VALOR OPERATIVO/COSTE], tblRed[Nodo Inicial], $C29, tblRed[Nodo Final], P$3, tblRed[Activo], 1), 0)</f>
        <v>0</v>
      </c>
      <c r="Q29" s="16">
        <f>IF(MatrizDeAdyacencia!Q29=1, SUMIFS(tblRed[TRADE OFF VALOR OPERATIVO/COSTE], tblRed[Nodo Inicial], $C29, tblRed[Nodo Final], Q$3, tblRed[Activo], 1), 0)</f>
        <v>0</v>
      </c>
      <c r="R29" s="16">
        <f>IF(MatrizDeAdyacencia!R29=1, SUMIFS(tblRed[TRADE OFF VALOR OPERATIVO/COSTE], tblRed[Nodo Inicial], $C29, tblRed[Nodo Final], R$3, tblRed[Activo], 1), 0)</f>
        <v>0</v>
      </c>
      <c r="S29" s="16">
        <f>IF(MatrizDeAdyacencia!S29=1, SUMIFS(tblRed[TRADE OFF VALOR OPERATIVO/COSTE], tblRed[Nodo Inicial], $C29, tblRed[Nodo Final], S$3, tblRed[Activo], 1), 0)</f>
        <v>0</v>
      </c>
      <c r="T29" s="16">
        <f>IF(MatrizDeAdyacencia!T29=1, SUMIFS(tblRed[TRADE OFF VALOR OPERATIVO/COSTE], tblRed[Nodo Inicial], $C29, tblRed[Nodo Final], T$3, tblRed[Activo], 1), 0)</f>
        <v>0</v>
      </c>
      <c r="U29" s="16">
        <f>IF(MatrizDeAdyacencia!U29=1, SUMIFS(tblRed[TRADE OFF VALOR OPERATIVO/COSTE], tblRed[Nodo Inicial], $C29, tblRed[Nodo Final], U$3, tblRed[Activo], 1), 0)</f>
        <v>0</v>
      </c>
      <c r="V29" s="16">
        <f>IF(MatrizDeAdyacencia!V29=1, SUMIFS(tblRed[TRADE OFF VALOR OPERATIVO/COSTE], tblRed[Nodo Inicial], $C29, tblRed[Nodo Final], V$3, tblRed[Activo], 1), 0)</f>
        <v>0</v>
      </c>
      <c r="W29" s="16">
        <f>IF(MatrizDeAdyacencia!W29=1, SUMIFS(tblRed[TRADE OFF VALOR OPERATIVO/COSTE], tblRed[Nodo Inicial], $C29, tblRed[Nodo Final], W$3, tblRed[Activo], 1), 0)</f>
        <v>0</v>
      </c>
      <c r="X29" s="16">
        <f>IF(MatrizDeAdyacencia!X29=1, SUMIFS(tblRed[TRADE OFF VALOR OPERATIVO/COSTE], tblRed[Nodo Inicial], $C29, tblRed[Nodo Final], X$3, tblRed[Activo], 1), 0)</f>
        <v>0</v>
      </c>
      <c r="Y29" s="16">
        <f>IF(MatrizDeAdyacencia!Y29=1, SUMIFS(tblRed[TRADE OFF VALOR OPERATIVO/COSTE], tblRed[Nodo Inicial], $C29, tblRed[Nodo Final], Y$3, tblRed[Activo], 1), 0)</f>
        <v>0</v>
      </c>
      <c r="Z29" s="16">
        <f>IF(MatrizDeAdyacencia!Z29=1, SUMIFS(tblRed[TRADE OFF VALOR OPERATIVO/COSTE], tblRed[Nodo Inicial], $C29, tblRed[Nodo Final], Z$3, tblRed[Activo], 1), 0)</f>
        <v>0</v>
      </c>
      <c r="AA29" s="16">
        <f>IF(MatrizDeAdyacencia!AA29=1, SUMIFS(tblRed[TRADE OFF VALOR OPERATIVO/COSTE], tblRed[Nodo Inicial], $C29, tblRed[Nodo Final], AA$3, tblRed[Activo], 1), 0)</f>
        <v>0</v>
      </c>
      <c r="AB29" s="16">
        <f>IF(MatrizDeAdyacencia!AB29=1, SUMIFS(tblRed[TRADE OFF VALOR OPERATIVO/COSTE], tblRed[Nodo Inicial], $C29, tblRed[Nodo Final], AB$3, tblRed[Activo], 1), 0)</f>
        <v>0</v>
      </c>
      <c r="AC29" s="16">
        <f>IF(MatrizDeAdyacencia!AC29=1, SUMIFS(tblRed[TRADE OFF VALOR OPERATIVO/COSTE], tblRed[Nodo Inicial], $C29, tblRed[Nodo Final], AC$3, tblRed[Activo], 1), 0)</f>
        <v>0</v>
      </c>
      <c r="AD29" s="16">
        <f>IF(MatrizDeAdyacencia!AD29=1, SUMIFS(tblRed[TRADE OFF VALOR OPERATIVO/COSTE], tblRed[Nodo Inicial], $C29, tblRed[Nodo Final], AD$3, tblRed[Activo], 1), 0)</f>
        <v>0</v>
      </c>
      <c r="AE29" s="16">
        <f>IF(MatrizDeAdyacencia!AE29=1, SUMIFS(tblRed[TRADE OFF VALOR OPERATIVO/COSTE], tblRed[Nodo Inicial], $C29, tblRed[Nodo Final], AE$3, tblRed[Activo], 1), 0)</f>
        <v>0</v>
      </c>
      <c r="AF29" s="16">
        <f>IF(MatrizDeAdyacencia!AF29=1, SUMIFS(tblRed[TRADE OFF VALOR OPERATIVO/COSTE], tblRed[Nodo Inicial], $C29, tblRed[Nodo Final], AF$3, tblRed[Activo], 1), 0)</f>
        <v>0</v>
      </c>
      <c r="AG29" s="16">
        <f>IF(MatrizDeAdyacencia!AG29=1, SUMIFS(tblRed[TRADE OFF VALOR OPERATIVO/COSTE], tblRed[Nodo Inicial], $C29, tblRed[Nodo Final], AG$3, tblRed[Activo], 1), 0)</f>
        <v>4</v>
      </c>
      <c r="AH29" s="16">
        <f>IF(MatrizDeAdyacencia!AH29=1, SUMIFS(tblRed[TRADE OFF VALOR OPERATIVO/COSTE], tblRed[Nodo Inicial], $C29, tblRed[Nodo Final], AH$3, tblRed[Activo], 1), 0)</f>
        <v>0</v>
      </c>
    </row>
    <row r="30" spans="2:34" ht="19.5" customHeight="1" x14ac:dyDescent="0.25">
      <c r="B30" s="48" t="str">
        <f>VLOOKUP(tblMatrizTradeOff[[#This Row],[Nodo Orig.\Dest.]],tblNodos[],2,FALSE)</f>
        <v>Dirección financiera</v>
      </c>
      <c r="C30" s="75" t="s">
        <v>77</v>
      </c>
      <c r="D30" s="16">
        <f>IF(MatrizDeAdyacencia!D30=1, SUMIFS(tblRed[TRADE OFF VALOR OPERATIVO/COSTE], tblRed[Nodo Inicial], $C30, tblRed[Nodo Final], D$3, tblRed[Activo], 1), 0)</f>
        <v>0</v>
      </c>
      <c r="E30" s="16">
        <f>IF(MatrizDeAdyacencia!E30=1, SUMIFS(tblRed[TRADE OFF VALOR OPERATIVO/COSTE], tblRed[Nodo Inicial], $C30, tblRed[Nodo Final], E$3, tblRed[Activo], 1), 0)</f>
        <v>0</v>
      </c>
      <c r="F30" s="16">
        <f>IF(MatrizDeAdyacencia!F30=1, SUMIFS(tblRed[TRADE OFF VALOR OPERATIVO/COSTE], tblRed[Nodo Inicial], $C30, tblRed[Nodo Final], F$3, tblRed[Activo], 1), 0)</f>
        <v>0</v>
      </c>
      <c r="G30" s="16">
        <f>IF(MatrizDeAdyacencia!G30=1, SUMIFS(tblRed[TRADE OFF VALOR OPERATIVO/COSTE], tblRed[Nodo Inicial], $C30, tblRed[Nodo Final], G$3, tblRed[Activo], 1), 0)</f>
        <v>0</v>
      </c>
      <c r="H30" s="16">
        <f>IF(MatrizDeAdyacencia!H30=1, SUMIFS(tblRed[TRADE OFF VALOR OPERATIVO/COSTE], tblRed[Nodo Inicial], $C30, tblRed[Nodo Final], H$3, tblRed[Activo], 1), 0)</f>
        <v>0</v>
      </c>
      <c r="I30" s="16">
        <f>IF(MatrizDeAdyacencia!I30=1, SUMIFS(tblRed[TRADE OFF VALOR OPERATIVO/COSTE], tblRed[Nodo Inicial], $C30, tblRed[Nodo Final], I$3, tblRed[Activo], 1), 0)</f>
        <v>0</v>
      </c>
      <c r="J30" s="16">
        <f>IF(MatrizDeAdyacencia!J30=1, SUMIFS(tblRed[TRADE OFF VALOR OPERATIVO/COSTE], tblRed[Nodo Inicial], $C30, tblRed[Nodo Final], J$3, tblRed[Activo], 1), 0)</f>
        <v>0</v>
      </c>
      <c r="K30" s="16">
        <f>IF(MatrizDeAdyacencia!K30=1, SUMIFS(tblRed[TRADE OFF VALOR OPERATIVO/COSTE], tblRed[Nodo Inicial], $C30, tblRed[Nodo Final], K$3, tblRed[Activo], 1), 0)</f>
        <v>0</v>
      </c>
      <c r="L30" s="16">
        <f>IF(MatrizDeAdyacencia!L30=1, SUMIFS(tblRed[TRADE OFF VALOR OPERATIVO/COSTE], tblRed[Nodo Inicial], $C30, tblRed[Nodo Final], L$3, tblRed[Activo], 1), 0)</f>
        <v>0</v>
      </c>
      <c r="M30" s="16">
        <f>IF(MatrizDeAdyacencia!M30=1, SUMIFS(tblRed[TRADE OFF VALOR OPERATIVO/COSTE], tblRed[Nodo Inicial], $C30, tblRed[Nodo Final], M$3, tblRed[Activo], 1), 0)</f>
        <v>0</v>
      </c>
      <c r="N30" s="16">
        <f>IF(MatrizDeAdyacencia!N30=1, SUMIFS(tblRed[TRADE OFF VALOR OPERATIVO/COSTE], tblRed[Nodo Inicial], $C30, tblRed[Nodo Final], N$3, tblRed[Activo], 1), 0)</f>
        <v>0</v>
      </c>
      <c r="O30" s="16">
        <f>IF(MatrizDeAdyacencia!O30=1, SUMIFS(tblRed[TRADE OFF VALOR OPERATIVO/COSTE], tblRed[Nodo Inicial], $C30, tblRed[Nodo Final], O$3, tblRed[Activo], 1), 0)</f>
        <v>0</v>
      </c>
      <c r="P30" s="16">
        <f>IF(MatrizDeAdyacencia!P30=1, SUMIFS(tblRed[TRADE OFF VALOR OPERATIVO/COSTE], tblRed[Nodo Inicial], $C30, tblRed[Nodo Final], P$3, tblRed[Activo], 1), 0)</f>
        <v>0</v>
      </c>
      <c r="Q30" s="16">
        <f>IF(MatrizDeAdyacencia!Q30=1, SUMIFS(tblRed[TRADE OFF VALOR OPERATIVO/COSTE], tblRed[Nodo Inicial], $C30, tblRed[Nodo Final], Q$3, tblRed[Activo], 1), 0)</f>
        <v>0</v>
      </c>
      <c r="R30" s="16">
        <f>IF(MatrizDeAdyacencia!R30=1, SUMIFS(tblRed[TRADE OFF VALOR OPERATIVO/COSTE], tblRed[Nodo Inicial], $C30, tblRed[Nodo Final], R$3, tblRed[Activo], 1), 0)</f>
        <v>0</v>
      </c>
      <c r="S30" s="16">
        <f>IF(MatrizDeAdyacencia!S30=1, SUMIFS(tblRed[TRADE OFF VALOR OPERATIVO/COSTE], tblRed[Nodo Inicial], $C30, tblRed[Nodo Final], S$3, tblRed[Activo], 1), 0)</f>
        <v>0</v>
      </c>
      <c r="T30" s="16">
        <f>IF(MatrizDeAdyacencia!T30=1, SUMIFS(tblRed[TRADE OFF VALOR OPERATIVO/COSTE], tblRed[Nodo Inicial], $C30, tblRed[Nodo Final], T$3, tblRed[Activo], 1), 0)</f>
        <v>0</v>
      </c>
      <c r="U30" s="16">
        <f>IF(MatrizDeAdyacencia!U30=1, SUMIFS(tblRed[TRADE OFF VALOR OPERATIVO/COSTE], tblRed[Nodo Inicial], $C30, tblRed[Nodo Final], U$3, tblRed[Activo], 1), 0)</f>
        <v>0</v>
      </c>
      <c r="V30" s="16">
        <f>IF(MatrizDeAdyacencia!V30=1, SUMIFS(tblRed[TRADE OFF VALOR OPERATIVO/COSTE], tblRed[Nodo Inicial], $C30, tblRed[Nodo Final], V$3, tblRed[Activo], 1), 0)</f>
        <v>0</v>
      </c>
      <c r="W30" s="16">
        <f>IF(MatrizDeAdyacencia!W30=1, SUMIFS(tblRed[TRADE OFF VALOR OPERATIVO/COSTE], tblRed[Nodo Inicial], $C30, tblRed[Nodo Final], W$3, tblRed[Activo], 1), 0)</f>
        <v>0</v>
      </c>
      <c r="X30" s="16">
        <f>IF(MatrizDeAdyacencia!X30=1, SUMIFS(tblRed[TRADE OFF VALOR OPERATIVO/COSTE], tblRed[Nodo Inicial], $C30, tblRed[Nodo Final], X$3, tblRed[Activo], 1), 0)</f>
        <v>0</v>
      </c>
      <c r="Y30" s="16">
        <f>IF(MatrizDeAdyacencia!Y30=1, SUMIFS(tblRed[TRADE OFF VALOR OPERATIVO/COSTE], tblRed[Nodo Inicial], $C30, tblRed[Nodo Final], Y$3, tblRed[Activo], 1), 0)</f>
        <v>0</v>
      </c>
      <c r="Z30" s="16">
        <f>IF(MatrizDeAdyacencia!Z30=1, SUMIFS(tblRed[TRADE OFF VALOR OPERATIVO/COSTE], tblRed[Nodo Inicial], $C30, tblRed[Nodo Final], Z$3, tblRed[Activo], 1), 0)</f>
        <v>0</v>
      </c>
      <c r="AA30" s="16">
        <f>IF(MatrizDeAdyacencia!AA30=1, SUMIFS(tblRed[TRADE OFF VALOR OPERATIVO/COSTE], tblRed[Nodo Inicial], $C30, tblRed[Nodo Final], AA$3, tblRed[Activo], 1), 0)</f>
        <v>0</v>
      </c>
      <c r="AB30" s="16">
        <f>IF(MatrizDeAdyacencia!AB30=1, SUMIFS(tblRed[TRADE OFF VALOR OPERATIVO/COSTE], tblRed[Nodo Inicial], $C30, tblRed[Nodo Final], AB$3, tblRed[Activo], 1), 0)</f>
        <v>0</v>
      </c>
      <c r="AC30" s="16">
        <f>IF(MatrizDeAdyacencia!AC30=1, SUMIFS(tblRed[TRADE OFF VALOR OPERATIVO/COSTE], tblRed[Nodo Inicial], $C30, tblRed[Nodo Final], AC$3, tblRed[Activo], 1), 0)</f>
        <v>0</v>
      </c>
      <c r="AD30" s="16">
        <f>IF(MatrizDeAdyacencia!AD30=1, SUMIFS(tblRed[TRADE OFF VALOR OPERATIVO/COSTE], tblRed[Nodo Inicial], $C30, tblRed[Nodo Final], AD$3, tblRed[Activo], 1), 0)</f>
        <v>0</v>
      </c>
      <c r="AE30" s="16">
        <f>IF(MatrizDeAdyacencia!AE30=1, SUMIFS(tblRed[TRADE OFF VALOR OPERATIVO/COSTE], tblRed[Nodo Inicial], $C30, tblRed[Nodo Final], AE$3, tblRed[Activo], 1), 0)</f>
        <v>0</v>
      </c>
      <c r="AF30" s="16">
        <f>IF(MatrizDeAdyacencia!AF30=1, SUMIFS(tblRed[TRADE OFF VALOR OPERATIVO/COSTE], tblRed[Nodo Inicial], $C30, tblRed[Nodo Final], AF$3, tblRed[Activo], 1), 0)</f>
        <v>0</v>
      </c>
      <c r="AG30" s="16">
        <f>IF(MatrizDeAdyacencia!AG30=1, SUMIFS(tblRed[TRADE OFF VALOR OPERATIVO/COSTE], tblRed[Nodo Inicial], $C30, tblRed[Nodo Final], AG$3, tblRed[Activo], 1), 0)</f>
        <v>0</v>
      </c>
      <c r="AH30" s="16">
        <f>IF(MatrizDeAdyacencia!AH30=1, SUMIFS(tblRed[TRADE OFF VALOR OPERATIVO/COSTE], tblRed[Nodo Inicial], $C30, tblRed[Nodo Final], AH$3, tblRed[Activo], 1), 0)</f>
        <v>2.15</v>
      </c>
    </row>
    <row r="31" spans="2:34" ht="19.5" customHeight="1" x14ac:dyDescent="0.25">
      <c r="B31" s="48" t="str">
        <f>VLOOKUP(tblMatrizTradeOff[[#This Row],[Nodo Orig.\Dest.]],tblNodos[],2,FALSE)</f>
        <v>Gestión operativa descentralizada</v>
      </c>
      <c r="C31" s="75" t="s">
        <v>79</v>
      </c>
      <c r="D31" s="16">
        <f>IF(MatrizDeAdyacencia!D31=1, SUMIFS(tblRed[TRADE OFF VALOR OPERATIVO/COSTE], tblRed[Nodo Inicial], $C31, tblRed[Nodo Final], D$3, tblRed[Activo], 1), 0)</f>
        <v>0</v>
      </c>
      <c r="E31" s="16">
        <f>IF(MatrizDeAdyacencia!E31=1, SUMIFS(tblRed[TRADE OFF VALOR OPERATIVO/COSTE], tblRed[Nodo Inicial], $C31, tblRed[Nodo Final], E$3, tblRed[Activo], 1), 0)</f>
        <v>0</v>
      </c>
      <c r="F31" s="16">
        <f>IF(MatrizDeAdyacencia!F31=1, SUMIFS(tblRed[TRADE OFF VALOR OPERATIVO/COSTE], tblRed[Nodo Inicial], $C31, tblRed[Nodo Final], F$3, tblRed[Activo], 1), 0)</f>
        <v>0</v>
      </c>
      <c r="G31" s="16">
        <f>IF(MatrizDeAdyacencia!G31=1, SUMIFS(tblRed[TRADE OFF VALOR OPERATIVO/COSTE], tblRed[Nodo Inicial], $C31, tblRed[Nodo Final], G$3, tblRed[Activo], 1), 0)</f>
        <v>0</v>
      </c>
      <c r="H31" s="16">
        <f>IF(MatrizDeAdyacencia!H31=1, SUMIFS(tblRed[TRADE OFF VALOR OPERATIVO/COSTE], tblRed[Nodo Inicial], $C31, tblRed[Nodo Final], H$3, tblRed[Activo], 1), 0)</f>
        <v>0</v>
      </c>
      <c r="I31" s="16">
        <f>IF(MatrizDeAdyacencia!I31=1, SUMIFS(tblRed[TRADE OFF VALOR OPERATIVO/COSTE], tblRed[Nodo Inicial], $C31, tblRed[Nodo Final], I$3, tblRed[Activo], 1), 0)</f>
        <v>0</v>
      </c>
      <c r="J31" s="16">
        <f>IF(MatrizDeAdyacencia!J31=1, SUMIFS(tblRed[TRADE OFF VALOR OPERATIVO/COSTE], tblRed[Nodo Inicial], $C31, tblRed[Nodo Final], J$3, tblRed[Activo], 1), 0)</f>
        <v>0</v>
      </c>
      <c r="K31" s="16">
        <f>IF(MatrizDeAdyacencia!K31=1, SUMIFS(tblRed[TRADE OFF VALOR OPERATIVO/COSTE], tblRed[Nodo Inicial], $C31, tblRed[Nodo Final], K$3, tblRed[Activo], 1), 0)</f>
        <v>0</v>
      </c>
      <c r="L31" s="16">
        <f>IF(MatrizDeAdyacencia!L31=1, SUMIFS(tblRed[TRADE OFF VALOR OPERATIVO/COSTE], tblRed[Nodo Inicial], $C31, tblRed[Nodo Final], L$3, tblRed[Activo], 1), 0)</f>
        <v>0</v>
      </c>
      <c r="M31" s="16">
        <f>IF(MatrizDeAdyacencia!M31=1, SUMIFS(tblRed[TRADE OFF VALOR OPERATIVO/COSTE], tblRed[Nodo Inicial], $C31, tblRed[Nodo Final], M$3, tblRed[Activo], 1), 0)</f>
        <v>0</v>
      </c>
      <c r="N31" s="16">
        <f>IF(MatrizDeAdyacencia!N31=1, SUMIFS(tblRed[TRADE OFF VALOR OPERATIVO/COSTE], tblRed[Nodo Inicial], $C31, tblRed[Nodo Final], N$3, tblRed[Activo], 1), 0)</f>
        <v>0</v>
      </c>
      <c r="O31" s="16">
        <f>IF(MatrizDeAdyacencia!O31=1, SUMIFS(tblRed[TRADE OFF VALOR OPERATIVO/COSTE], tblRed[Nodo Inicial], $C31, tblRed[Nodo Final], O$3, tblRed[Activo], 1), 0)</f>
        <v>0</v>
      </c>
      <c r="P31" s="16">
        <f>IF(MatrizDeAdyacencia!P31=1, SUMIFS(tblRed[TRADE OFF VALOR OPERATIVO/COSTE], tblRed[Nodo Inicial], $C31, tblRed[Nodo Final], P$3, tblRed[Activo], 1), 0)</f>
        <v>0</v>
      </c>
      <c r="Q31" s="16">
        <f>IF(MatrizDeAdyacencia!Q31=1, SUMIFS(tblRed[TRADE OFF VALOR OPERATIVO/COSTE], tblRed[Nodo Inicial], $C31, tblRed[Nodo Final], Q$3, tblRed[Activo], 1), 0)</f>
        <v>0</v>
      </c>
      <c r="R31" s="16">
        <f>IF(MatrizDeAdyacencia!R31=1, SUMIFS(tblRed[TRADE OFF VALOR OPERATIVO/COSTE], tblRed[Nodo Inicial], $C31, tblRed[Nodo Final], R$3, tblRed[Activo], 1), 0)</f>
        <v>0</v>
      </c>
      <c r="S31" s="16">
        <f>IF(MatrizDeAdyacencia!S31=1, SUMIFS(tblRed[TRADE OFF VALOR OPERATIVO/COSTE], tblRed[Nodo Inicial], $C31, tblRed[Nodo Final], S$3, tblRed[Activo], 1), 0)</f>
        <v>0</v>
      </c>
      <c r="T31" s="16">
        <f>IF(MatrizDeAdyacencia!T31=1, SUMIFS(tblRed[TRADE OFF VALOR OPERATIVO/COSTE], tblRed[Nodo Inicial], $C31, tblRed[Nodo Final], T$3, tblRed[Activo], 1), 0)</f>
        <v>0</v>
      </c>
      <c r="U31" s="16">
        <f>IF(MatrizDeAdyacencia!U31=1, SUMIFS(tblRed[TRADE OFF VALOR OPERATIVO/COSTE], tblRed[Nodo Inicial], $C31, tblRed[Nodo Final], U$3, tblRed[Activo], 1), 0)</f>
        <v>0</v>
      </c>
      <c r="V31" s="16">
        <f>IF(MatrizDeAdyacencia!V31=1, SUMIFS(tblRed[TRADE OFF VALOR OPERATIVO/COSTE], tblRed[Nodo Inicial], $C31, tblRed[Nodo Final], V$3, tblRed[Activo], 1), 0)</f>
        <v>0</v>
      </c>
      <c r="W31" s="16">
        <f>IF(MatrizDeAdyacencia!W31=1, SUMIFS(tblRed[TRADE OFF VALOR OPERATIVO/COSTE], tblRed[Nodo Inicial], $C31, tblRed[Nodo Final], W$3, tblRed[Activo], 1), 0)</f>
        <v>0</v>
      </c>
      <c r="X31" s="16">
        <f>IF(MatrizDeAdyacencia!X31=1, SUMIFS(tblRed[TRADE OFF VALOR OPERATIVO/COSTE], tblRed[Nodo Inicial], $C31, tblRed[Nodo Final], X$3, tblRed[Activo], 1), 0)</f>
        <v>0</v>
      </c>
      <c r="Y31" s="16">
        <f>IF(MatrizDeAdyacencia!Y31=1, SUMIFS(tblRed[TRADE OFF VALOR OPERATIVO/COSTE], tblRed[Nodo Inicial], $C31, tblRed[Nodo Final], Y$3, tblRed[Activo], 1), 0)</f>
        <v>0</v>
      </c>
      <c r="Z31" s="16">
        <f>IF(MatrizDeAdyacencia!Z31=1, SUMIFS(tblRed[TRADE OFF VALOR OPERATIVO/COSTE], tblRed[Nodo Inicial], $C31, tblRed[Nodo Final], Z$3, tblRed[Activo], 1), 0)</f>
        <v>0</v>
      </c>
      <c r="AA31" s="16">
        <f>IF(MatrizDeAdyacencia!AA31=1, SUMIFS(tblRed[TRADE OFF VALOR OPERATIVO/COSTE], tblRed[Nodo Inicial], $C31, tblRed[Nodo Final], AA$3, tblRed[Activo], 1), 0)</f>
        <v>0</v>
      </c>
      <c r="AB31" s="16">
        <f>IF(MatrizDeAdyacencia!AB31=1, SUMIFS(tblRed[TRADE OFF VALOR OPERATIVO/COSTE], tblRed[Nodo Inicial], $C31, tblRed[Nodo Final], AB$3, tblRed[Activo], 1), 0)</f>
        <v>0</v>
      </c>
      <c r="AC31" s="16">
        <f>IF(MatrizDeAdyacencia!AC31=1, SUMIFS(tblRed[TRADE OFF VALOR OPERATIVO/COSTE], tblRed[Nodo Inicial], $C31, tblRed[Nodo Final], AC$3, tblRed[Activo], 1), 0)</f>
        <v>0</v>
      </c>
      <c r="AD31" s="16">
        <f>IF(MatrizDeAdyacencia!AD31=1, SUMIFS(tblRed[TRADE OFF VALOR OPERATIVO/COSTE], tblRed[Nodo Inicial], $C31, tblRed[Nodo Final], AD$3, tblRed[Activo], 1), 0)</f>
        <v>0</v>
      </c>
      <c r="AE31" s="16">
        <f>IF(MatrizDeAdyacencia!AE31=1, SUMIFS(tblRed[TRADE OFF VALOR OPERATIVO/COSTE], tblRed[Nodo Inicial], $C31, tblRed[Nodo Final], AE$3, tblRed[Activo], 1), 0)</f>
        <v>0</v>
      </c>
      <c r="AF31" s="16">
        <f>IF(MatrizDeAdyacencia!AF31=1, SUMIFS(tblRed[TRADE OFF VALOR OPERATIVO/COSTE], tblRed[Nodo Inicial], $C31, tblRed[Nodo Final], AF$3, tblRed[Activo], 1), 0)</f>
        <v>0</v>
      </c>
      <c r="AG31" s="16">
        <f>IF(MatrizDeAdyacencia!AG31=1, SUMIFS(tblRed[TRADE OFF VALOR OPERATIVO/COSTE], tblRed[Nodo Inicial], $C31, tblRed[Nodo Final], AG$3, tblRed[Activo], 1), 0)</f>
        <v>0</v>
      </c>
      <c r="AH31" s="16">
        <f>IF(MatrizDeAdyacencia!AH31=1, SUMIFS(tblRed[TRADE OFF VALOR OPERATIVO/COSTE], tblRed[Nodo Inicial], $C31, tblRed[Nodo Final], AH$3, tblRed[Activo], 1), 0)</f>
        <v>1.5185185185185186</v>
      </c>
    </row>
    <row r="32" spans="2:34" ht="19.5" customHeight="1" x14ac:dyDescent="0.25">
      <c r="B32" s="48" t="str">
        <f>VLOOKUP(tblMatrizTradeOff[[#This Row],[Nodo Orig.\Dest.]],tblNodos[],2,FALSE)</f>
        <v>Custodia y conversión</v>
      </c>
      <c r="C32" s="75" t="s">
        <v>81</v>
      </c>
      <c r="D32" s="16">
        <f>IF(MatrizDeAdyacencia!D32=1, SUMIFS(tblRed[TRADE OFF VALOR OPERATIVO/COSTE], tblRed[Nodo Inicial], $C32, tblRed[Nodo Final], D$3, tblRed[Activo], 1), 0)</f>
        <v>0</v>
      </c>
      <c r="E32" s="16">
        <f>IF(MatrizDeAdyacencia!E32=1, SUMIFS(tblRed[TRADE OFF VALOR OPERATIVO/COSTE], tblRed[Nodo Inicial], $C32, tblRed[Nodo Final], E$3, tblRed[Activo], 1), 0)</f>
        <v>0</v>
      </c>
      <c r="F32" s="16">
        <f>IF(MatrizDeAdyacencia!F32=1, SUMIFS(tblRed[TRADE OFF VALOR OPERATIVO/COSTE], tblRed[Nodo Inicial], $C32, tblRed[Nodo Final], F$3, tblRed[Activo], 1), 0)</f>
        <v>0</v>
      </c>
      <c r="G32" s="16">
        <f>IF(MatrizDeAdyacencia!G32=1, SUMIFS(tblRed[TRADE OFF VALOR OPERATIVO/COSTE], tblRed[Nodo Inicial], $C32, tblRed[Nodo Final], G$3, tblRed[Activo], 1), 0)</f>
        <v>0</v>
      </c>
      <c r="H32" s="16">
        <f>IF(MatrizDeAdyacencia!H32=1, SUMIFS(tblRed[TRADE OFF VALOR OPERATIVO/COSTE], tblRed[Nodo Inicial], $C32, tblRed[Nodo Final], H$3, tblRed[Activo], 1), 0)</f>
        <v>0</v>
      </c>
      <c r="I32" s="16">
        <f>IF(MatrizDeAdyacencia!I32=1, SUMIFS(tblRed[TRADE OFF VALOR OPERATIVO/COSTE], tblRed[Nodo Inicial], $C32, tblRed[Nodo Final], I$3, tblRed[Activo], 1), 0)</f>
        <v>0</v>
      </c>
      <c r="J32" s="16">
        <f>IF(MatrizDeAdyacencia!J32=1, SUMIFS(tblRed[TRADE OFF VALOR OPERATIVO/COSTE], tblRed[Nodo Inicial], $C32, tblRed[Nodo Final], J$3, tblRed[Activo], 1), 0)</f>
        <v>0</v>
      </c>
      <c r="K32" s="16">
        <f>IF(MatrizDeAdyacencia!K32=1, SUMIFS(tblRed[TRADE OFF VALOR OPERATIVO/COSTE], tblRed[Nodo Inicial], $C32, tblRed[Nodo Final], K$3, tblRed[Activo], 1), 0)</f>
        <v>0</v>
      </c>
      <c r="L32" s="16">
        <f>IF(MatrizDeAdyacencia!L32=1, SUMIFS(tblRed[TRADE OFF VALOR OPERATIVO/COSTE], tblRed[Nodo Inicial], $C32, tblRed[Nodo Final], L$3, tblRed[Activo], 1), 0)</f>
        <v>0</v>
      </c>
      <c r="M32" s="16">
        <f>IF(MatrizDeAdyacencia!M32=1, SUMIFS(tblRed[TRADE OFF VALOR OPERATIVO/COSTE], tblRed[Nodo Inicial], $C32, tblRed[Nodo Final], M$3, tblRed[Activo], 1), 0)</f>
        <v>0</v>
      </c>
      <c r="N32" s="16">
        <f>IF(MatrizDeAdyacencia!N32=1, SUMIFS(tblRed[TRADE OFF VALOR OPERATIVO/COSTE], tblRed[Nodo Inicial], $C32, tblRed[Nodo Final], N$3, tblRed[Activo], 1), 0)</f>
        <v>0</v>
      </c>
      <c r="O32" s="16">
        <f>IF(MatrizDeAdyacencia!O32=1, SUMIFS(tblRed[TRADE OFF VALOR OPERATIVO/COSTE], tblRed[Nodo Inicial], $C32, tblRed[Nodo Final], O$3, tblRed[Activo], 1), 0)</f>
        <v>0</v>
      </c>
      <c r="P32" s="16">
        <f>IF(MatrizDeAdyacencia!P32=1, SUMIFS(tblRed[TRADE OFF VALOR OPERATIVO/COSTE], tblRed[Nodo Inicial], $C32, tblRed[Nodo Final], P$3, tblRed[Activo], 1), 0)</f>
        <v>0</v>
      </c>
      <c r="Q32" s="16">
        <f>IF(MatrizDeAdyacencia!Q32=1, SUMIFS(tblRed[TRADE OFF VALOR OPERATIVO/COSTE], tblRed[Nodo Inicial], $C32, tblRed[Nodo Final], Q$3, tblRed[Activo], 1), 0)</f>
        <v>0</v>
      </c>
      <c r="R32" s="16">
        <f>IF(MatrizDeAdyacencia!R32=1, SUMIFS(tblRed[TRADE OFF VALOR OPERATIVO/COSTE], tblRed[Nodo Inicial], $C32, tblRed[Nodo Final], R$3, tblRed[Activo], 1), 0)</f>
        <v>0</v>
      </c>
      <c r="S32" s="16">
        <f>IF(MatrizDeAdyacencia!S32=1, SUMIFS(tblRed[TRADE OFF VALOR OPERATIVO/COSTE], tblRed[Nodo Inicial], $C32, tblRed[Nodo Final], S$3, tblRed[Activo], 1), 0)</f>
        <v>0</v>
      </c>
      <c r="T32" s="16">
        <f>IF(MatrizDeAdyacencia!T32=1, SUMIFS(tblRed[TRADE OFF VALOR OPERATIVO/COSTE], tblRed[Nodo Inicial], $C32, tblRed[Nodo Final], T$3, tblRed[Activo], 1), 0)</f>
        <v>0</v>
      </c>
      <c r="U32" s="16">
        <f>IF(MatrizDeAdyacencia!U32=1, SUMIFS(tblRed[TRADE OFF VALOR OPERATIVO/COSTE], tblRed[Nodo Inicial], $C32, tblRed[Nodo Final], U$3, tblRed[Activo], 1), 0)</f>
        <v>0</v>
      </c>
      <c r="V32" s="16">
        <f>IF(MatrizDeAdyacencia!V32=1, SUMIFS(tblRed[TRADE OFF VALOR OPERATIVO/COSTE], tblRed[Nodo Inicial], $C32, tblRed[Nodo Final], V$3, tblRed[Activo], 1), 0)</f>
        <v>0</v>
      </c>
      <c r="W32" s="16">
        <f>IF(MatrizDeAdyacencia!W32=1, SUMIFS(tblRed[TRADE OFF VALOR OPERATIVO/COSTE], tblRed[Nodo Inicial], $C32, tblRed[Nodo Final], W$3, tblRed[Activo], 1), 0)</f>
        <v>0</v>
      </c>
      <c r="X32" s="16">
        <f>IF(MatrizDeAdyacencia!X32=1, SUMIFS(tblRed[TRADE OFF VALOR OPERATIVO/COSTE], tblRed[Nodo Inicial], $C32, tblRed[Nodo Final], X$3, tblRed[Activo], 1), 0)</f>
        <v>0</v>
      </c>
      <c r="Y32" s="16">
        <f>IF(MatrizDeAdyacencia!Y32=1, SUMIFS(tblRed[TRADE OFF VALOR OPERATIVO/COSTE], tblRed[Nodo Inicial], $C32, tblRed[Nodo Final], Y$3, tblRed[Activo], 1), 0)</f>
        <v>0</v>
      </c>
      <c r="Z32" s="16">
        <f>IF(MatrizDeAdyacencia!Z32=1, SUMIFS(tblRed[TRADE OFF VALOR OPERATIVO/COSTE], tblRed[Nodo Inicial], $C32, tblRed[Nodo Final], Z$3, tblRed[Activo], 1), 0)</f>
        <v>0</v>
      </c>
      <c r="AA32" s="16">
        <f>IF(MatrizDeAdyacencia!AA32=1, SUMIFS(tblRed[TRADE OFF VALOR OPERATIVO/COSTE], tblRed[Nodo Inicial], $C32, tblRed[Nodo Final], AA$3, tblRed[Activo], 1), 0)</f>
        <v>0</v>
      </c>
      <c r="AB32" s="16">
        <f>IF(MatrizDeAdyacencia!AB32=1, SUMIFS(tblRed[TRADE OFF VALOR OPERATIVO/COSTE], tblRed[Nodo Inicial], $C32, tblRed[Nodo Final], AB$3, tblRed[Activo], 1), 0)</f>
        <v>0</v>
      </c>
      <c r="AC32" s="16">
        <f>IF(MatrizDeAdyacencia!AC32=1, SUMIFS(tblRed[TRADE OFF VALOR OPERATIVO/COSTE], tblRed[Nodo Inicial], $C32, tblRed[Nodo Final], AC$3, tblRed[Activo], 1), 0)</f>
        <v>0</v>
      </c>
      <c r="AD32" s="16">
        <f>IF(MatrizDeAdyacencia!AD32=1, SUMIFS(tblRed[TRADE OFF VALOR OPERATIVO/COSTE], tblRed[Nodo Inicial], $C32, tblRed[Nodo Final], AD$3, tblRed[Activo], 1), 0)</f>
        <v>0</v>
      </c>
      <c r="AE32" s="16">
        <f>IF(MatrizDeAdyacencia!AE32=1, SUMIFS(tblRed[TRADE OFF VALOR OPERATIVO/COSTE], tblRed[Nodo Inicial], $C32, tblRed[Nodo Final], AE$3, tblRed[Activo], 1), 0)</f>
        <v>0</v>
      </c>
      <c r="AF32" s="16">
        <f>IF(MatrizDeAdyacencia!AF32=1, SUMIFS(tblRed[TRADE OFF VALOR OPERATIVO/COSTE], tblRed[Nodo Inicial], $C32, tblRed[Nodo Final], AF$3, tblRed[Activo], 1), 0)</f>
        <v>0</v>
      </c>
      <c r="AG32" s="16">
        <f>IF(MatrizDeAdyacencia!AG32=1, SUMIFS(tblRed[TRADE OFF VALOR OPERATIVO/COSTE], tblRed[Nodo Inicial], $C32, tblRed[Nodo Final], AG$3, tblRed[Activo], 1), 0)</f>
        <v>0</v>
      </c>
      <c r="AH32" s="16">
        <f>IF(MatrizDeAdyacencia!AH32=1, SUMIFS(tblRed[TRADE OFF VALOR OPERATIVO/COSTE], tblRed[Nodo Inicial], $C32, tblRed[Nodo Final], AH$3, tblRed[Activo], 1), 0)</f>
        <v>2.1282051282051286</v>
      </c>
    </row>
    <row r="33" spans="2:34" ht="19.5" customHeight="1" x14ac:dyDescent="0.25">
      <c r="B33" s="48" t="str">
        <f>VLOOKUP(tblMatrizTradeOff[[#This Row],[Nodo Orig.\Dest.]],tblNodos[],2,FALSE)</f>
        <v>Coordinación de la red y soporte estratégico</v>
      </c>
      <c r="C33" s="75" t="s">
        <v>83</v>
      </c>
      <c r="D33" s="16">
        <f>IF(MatrizDeAdyacencia!D33=1, SUMIFS(tblRed[TRADE OFF VALOR OPERATIVO/COSTE], tblRed[Nodo Inicial], $C33, tblRed[Nodo Final], D$3, tblRed[Activo], 1), 0)</f>
        <v>0</v>
      </c>
      <c r="E33" s="16">
        <f>IF(MatrizDeAdyacencia!E33=1, SUMIFS(tblRed[TRADE OFF VALOR OPERATIVO/COSTE], tblRed[Nodo Inicial], $C33, tblRed[Nodo Final], E$3, tblRed[Activo], 1), 0)</f>
        <v>0</v>
      </c>
      <c r="F33" s="16">
        <f>IF(MatrizDeAdyacencia!F33=1, SUMIFS(tblRed[TRADE OFF VALOR OPERATIVO/COSTE], tblRed[Nodo Inicial], $C33, tblRed[Nodo Final], F$3, tblRed[Activo], 1), 0)</f>
        <v>0</v>
      </c>
      <c r="G33" s="16">
        <f>IF(MatrizDeAdyacencia!G33=1, SUMIFS(tblRed[TRADE OFF VALOR OPERATIVO/COSTE], tblRed[Nodo Inicial], $C33, tblRed[Nodo Final], G$3, tblRed[Activo], 1), 0)</f>
        <v>0</v>
      </c>
      <c r="H33" s="16">
        <f>IF(MatrizDeAdyacencia!H33=1, SUMIFS(tblRed[TRADE OFF VALOR OPERATIVO/COSTE], tblRed[Nodo Inicial], $C33, tblRed[Nodo Final], H$3, tblRed[Activo], 1), 0)</f>
        <v>0</v>
      </c>
      <c r="I33" s="16">
        <f>IF(MatrizDeAdyacencia!I33=1, SUMIFS(tblRed[TRADE OFF VALOR OPERATIVO/COSTE], tblRed[Nodo Inicial], $C33, tblRed[Nodo Final], I$3, tblRed[Activo], 1), 0)</f>
        <v>0</v>
      </c>
      <c r="J33" s="16">
        <f>IF(MatrizDeAdyacencia!J33=1, SUMIFS(tblRed[TRADE OFF VALOR OPERATIVO/COSTE], tblRed[Nodo Inicial], $C33, tblRed[Nodo Final], J$3, tblRed[Activo], 1), 0)</f>
        <v>0</v>
      </c>
      <c r="K33" s="16">
        <f>IF(MatrizDeAdyacencia!K33=1, SUMIFS(tblRed[TRADE OFF VALOR OPERATIVO/COSTE], tblRed[Nodo Inicial], $C33, tblRed[Nodo Final], K$3, tblRed[Activo], 1), 0)</f>
        <v>0</v>
      </c>
      <c r="L33" s="16">
        <f>IF(MatrizDeAdyacencia!L33=1, SUMIFS(tblRed[TRADE OFF VALOR OPERATIVO/COSTE], tblRed[Nodo Inicial], $C33, tblRed[Nodo Final], L$3, tblRed[Activo], 1), 0)</f>
        <v>0</v>
      </c>
      <c r="M33" s="16">
        <f>IF(MatrizDeAdyacencia!M33=1, SUMIFS(tblRed[TRADE OFF VALOR OPERATIVO/COSTE], tblRed[Nodo Inicial], $C33, tblRed[Nodo Final], M$3, tblRed[Activo], 1), 0)</f>
        <v>0</v>
      </c>
      <c r="N33" s="16">
        <f>IF(MatrizDeAdyacencia!N33=1, SUMIFS(tblRed[TRADE OFF VALOR OPERATIVO/COSTE], tblRed[Nodo Inicial], $C33, tblRed[Nodo Final], N$3, tblRed[Activo], 1), 0)</f>
        <v>0</v>
      </c>
      <c r="O33" s="16">
        <f>IF(MatrizDeAdyacencia!O33=1, SUMIFS(tblRed[TRADE OFF VALOR OPERATIVO/COSTE], tblRed[Nodo Inicial], $C33, tblRed[Nodo Final], O$3, tblRed[Activo], 1), 0)</f>
        <v>0</v>
      </c>
      <c r="P33" s="16">
        <f>IF(MatrizDeAdyacencia!P33=1, SUMIFS(tblRed[TRADE OFF VALOR OPERATIVO/COSTE], tblRed[Nodo Inicial], $C33, tblRed[Nodo Final], P$3, tblRed[Activo], 1), 0)</f>
        <v>0</v>
      </c>
      <c r="Q33" s="16">
        <f>IF(MatrizDeAdyacencia!Q33=1, SUMIFS(tblRed[TRADE OFF VALOR OPERATIVO/COSTE], tblRed[Nodo Inicial], $C33, tblRed[Nodo Final], Q$3, tblRed[Activo], 1), 0)</f>
        <v>0</v>
      </c>
      <c r="R33" s="16">
        <f>IF(MatrizDeAdyacencia!R33=1, SUMIFS(tblRed[TRADE OFF VALOR OPERATIVO/COSTE], tblRed[Nodo Inicial], $C33, tblRed[Nodo Final], R$3, tblRed[Activo], 1), 0)</f>
        <v>0</v>
      </c>
      <c r="S33" s="16">
        <f>IF(MatrizDeAdyacencia!S33=1, SUMIFS(tblRed[TRADE OFF VALOR OPERATIVO/COSTE], tblRed[Nodo Inicial], $C33, tblRed[Nodo Final], S$3, tblRed[Activo], 1), 0)</f>
        <v>0</v>
      </c>
      <c r="T33" s="16">
        <f>IF(MatrizDeAdyacencia!T33=1, SUMIFS(tblRed[TRADE OFF VALOR OPERATIVO/COSTE], tblRed[Nodo Inicial], $C33, tblRed[Nodo Final], T$3, tblRed[Activo], 1), 0)</f>
        <v>0</v>
      </c>
      <c r="U33" s="16">
        <f>IF(MatrizDeAdyacencia!U33=1, SUMIFS(tblRed[TRADE OFF VALOR OPERATIVO/COSTE], tblRed[Nodo Inicial], $C33, tblRed[Nodo Final], U$3, tblRed[Activo], 1), 0)</f>
        <v>0</v>
      </c>
      <c r="V33" s="16">
        <f>IF(MatrizDeAdyacencia!V33=1, SUMIFS(tblRed[TRADE OFF VALOR OPERATIVO/COSTE], tblRed[Nodo Inicial], $C33, tblRed[Nodo Final], V$3, tblRed[Activo], 1), 0)</f>
        <v>0</v>
      </c>
      <c r="W33" s="16">
        <f>IF(MatrizDeAdyacencia!W33=1, SUMIFS(tblRed[TRADE OFF VALOR OPERATIVO/COSTE], tblRed[Nodo Inicial], $C33, tblRed[Nodo Final], W$3, tblRed[Activo], 1), 0)</f>
        <v>0</v>
      </c>
      <c r="X33" s="16">
        <f>IF(MatrizDeAdyacencia!X33=1, SUMIFS(tblRed[TRADE OFF VALOR OPERATIVO/COSTE], tblRed[Nodo Inicial], $C33, tblRed[Nodo Final], X$3, tblRed[Activo], 1), 0)</f>
        <v>0</v>
      </c>
      <c r="Y33" s="16">
        <f>IF(MatrizDeAdyacencia!Y33=1, SUMIFS(tblRed[TRADE OFF VALOR OPERATIVO/COSTE], tblRed[Nodo Inicial], $C33, tblRed[Nodo Final], Y$3, tblRed[Activo], 1), 0)</f>
        <v>0</v>
      </c>
      <c r="Z33" s="16">
        <f>IF(MatrizDeAdyacencia!Z33=1, SUMIFS(tblRed[TRADE OFF VALOR OPERATIVO/COSTE], tblRed[Nodo Inicial], $C33, tblRed[Nodo Final], Z$3, tblRed[Activo], 1), 0)</f>
        <v>0</v>
      </c>
      <c r="AA33" s="16">
        <f>IF(MatrizDeAdyacencia!AA33=1, SUMIFS(tblRed[TRADE OFF VALOR OPERATIVO/COSTE], tblRed[Nodo Inicial], $C33, tblRed[Nodo Final], AA$3, tblRed[Activo], 1), 0)</f>
        <v>0</v>
      </c>
      <c r="AB33" s="16">
        <f>IF(MatrizDeAdyacencia!AB33=1, SUMIFS(tblRed[TRADE OFF VALOR OPERATIVO/COSTE], tblRed[Nodo Inicial], $C33, tblRed[Nodo Final], AB$3, tblRed[Activo], 1), 0)</f>
        <v>0</v>
      </c>
      <c r="AC33" s="16">
        <f>IF(MatrizDeAdyacencia!AC33=1, SUMIFS(tblRed[TRADE OFF VALOR OPERATIVO/COSTE], tblRed[Nodo Inicial], $C33, tblRed[Nodo Final], AC$3, tblRed[Activo], 1), 0)</f>
        <v>0</v>
      </c>
      <c r="AD33" s="16">
        <f>IF(MatrizDeAdyacencia!AD33=1, SUMIFS(tblRed[TRADE OFF VALOR OPERATIVO/COSTE], tblRed[Nodo Inicial], $C33, tblRed[Nodo Final], AD$3, tblRed[Activo], 1), 0)</f>
        <v>0</v>
      </c>
      <c r="AE33" s="16">
        <f>IF(MatrizDeAdyacencia!AE33=1, SUMIFS(tblRed[TRADE OFF VALOR OPERATIVO/COSTE], tblRed[Nodo Inicial], $C33, tblRed[Nodo Final], AE$3, tblRed[Activo], 1), 0)</f>
        <v>0</v>
      </c>
      <c r="AF33" s="16">
        <f>IF(MatrizDeAdyacencia!AF33=1, SUMIFS(tblRed[TRADE OFF VALOR OPERATIVO/COSTE], tblRed[Nodo Inicial], $C33, tblRed[Nodo Final], AF$3, tblRed[Activo], 1), 0)</f>
        <v>0</v>
      </c>
      <c r="AG33" s="16">
        <f>IF(MatrizDeAdyacencia!AG33=1, SUMIFS(tblRed[TRADE OFF VALOR OPERATIVO/COSTE], tblRed[Nodo Inicial], $C33, tblRed[Nodo Final], AG$3, tblRed[Activo], 1), 0)</f>
        <v>0</v>
      </c>
      <c r="AH33" s="16">
        <f>IF(MatrizDeAdyacencia!AH33=1, SUMIFS(tblRed[TRADE OFF VALOR OPERATIVO/COSTE], tblRed[Nodo Inicial], $C33, tblRed[Nodo Final], AH$3, tblRed[Activo], 1), 0)</f>
        <v>1.9948717948717949</v>
      </c>
    </row>
    <row r="34" spans="2:34" ht="19.5" customHeight="1" x14ac:dyDescent="0.25">
      <c r="B34" s="48" t="str">
        <f>VLOOKUP(tblMatrizTradeOff[[#This Row],[Nodo Orig.\Dest.]],tblNodos[],2,FALSE)</f>
        <v>Destino operativo final</v>
      </c>
      <c r="C34" s="75" t="s">
        <v>85</v>
      </c>
      <c r="D34" s="16">
        <f>IF(MatrizDeAdyacencia!D34=1, SUMIFS(tblRed[TRADE OFF VALOR OPERATIVO/COSTE], tblRed[Nodo Inicial], $C34, tblRed[Nodo Final], D$3, tblRed[Activo], 1), 0)</f>
        <v>0</v>
      </c>
      <c r="E34" s="16">
        <f>IF(MatrizDeAdyacencia!E34=1, SUMIFS(tblRed[TRADE OFF VALOR OPERATIVO/COSTE], tblRed[Nodo Inicial], $C34, tblRed[Nodo Final], E$3, tblRed[Activo], 1), 0)</f>
        <v>0</v>
      </c>
      <c r="F34" s="16">
        <f>IF(MatrizDeAdyacencia!F34=1, SUMIFS(tblRed[TRADE OFF VALOR OPERATIVO/COSTE], tblRed[Nodo Inicial], $C34, tblRed[Nodo Final], F$3, tblRed[Activo], 1), 0)</f>
        <v>0</v>
      </c>
      <c r="G34" s="16">
        <f>IF(MatrizDeAdyacencia!G34=1, SUMIFS(tblRed[TRADE OFF VALOR OPERATIVO/COSTE], tblRed[Nodo Inicial], $C34, tblRed[Nodo Final], G$3, tblRed[Activo], 1), 0)</f>
        <v>0</v>
      </c>
      <c r="H34" s="16">
        <f>IF(MatrizDeAdyacencia!H34=1, SUMIFS(tblRed[TRADE OFF VALOR OPERATIVO/COSTE], tblRed[Nodo Inicial], $C34, tblRed[Nodo Final], H$3, tblRed[Activo], 1), 0)</f>
        <v>0</v>
      </c>
      <c r="I34" s="16">
        <f>IF(MatrizDeAdyacencia!I34=1, SUMIFS(tblRed[TRADE OFF VALOR OPERATIVO/COSTE], tblRed[Nodo Inicial], $C34, tblRed[Nodo Final], I$3, tblRed[Activo], 1), 0)</f>
        <v>0</v>
      </c>
      <c r="J34" s="16">
        <f>IF(MatrizDeAdyacencia!J34=1, SUMIFS(tblRed[TRADE OFF VALOR OPERATIVO/COSTE], tblRed[Nodo Inicial], $C34, tblRed[Nodo Final], J$3, tblRed[Activo], 1), 0)</f>
        <v>0</v>
      </c>
      <c r="K34" s="16">
        <f>IF(MatrizDeAdyacencia!K34=1, SUMIFS(tblRed[TRADE OFF VALOR OPERATIVO/COSTE], tblRed[Nodo Inicial], $C34, tblRed[Nodo Final], K$3, tblRed[Activo], 1), 0)</f>
        <v>0</v>
      </c>
      <c r="L34" s="16">
        <f>IF(MatrizDeAdyacencia!L34=1, SUMIFS(tblRed[TRADE OFF VALOR OPERATIVO/COSTE], tblRed[Nodo Inicial], $C34, tblRed[Nodo Final], L$3, tblRed[Activo], 1), 0)</f>
        <v>0</v>
      </c>
      <c r="M34" s="16">
        <f>IF(MatrizDeAdyacencia!M34=1, SUMIFS(tblRed[TRADE OFF VALOR OPERATIVO/COSTE], tblRed[Nodo Inicial], $C34, tblRed[Nodo Final], M$3, tblRed[Activo], 1), 0)</f>
        <v>0</v>
      </c>
      <c r="N34" s="16">
        <f>IF(MatrizDeAdyacencia!N34=1, SUMIFS(tblRed[TRADE OFF VALOR OPERATIVO/COSTE], tblRed[Nodo Inicial], $C34, tblRed[Nodo Final], N$3, tblRed[Activo], 1), 0)</f>
        <v>0</v>
      </c>
      <c r="O34" s="16">
        <f>IF(MatrizDeAdyacencia!O34=1, SUMIFS(tblRed[TRADE OFF VALOR OPERATIVO/COSTE], tblRed[Nodo Inicial], $C34, tblRed[Nodo Final], O$3, tblRed[Activo], 1), 0)</f>
        <v>0</v>
      </c>
      <c r="P34" s="16">
        <f>IF(MatrizDeAdyacencia!P34=1, SUMIFS(tblRed[TRADE OFF VALOR OPERATIVO/COSTE], tblRed[Nodo Inicial], $C34, tblRed[Nodo Final], P$3, tblRed[Activo], 1), 0)</f>
        <v>0</v>
      </c>
      <c r="Q34" s="16">
        <f>IF(MatrizDeAdyacencia!Q34=1, SUMIFS(tblRed[TRADE OFF VALOR OPERATIVO/COSTE], tblRed[Nodo Inicial], $C34, tblRed[Nodo Final], Q$3, tblRed[Activo], 1), 0)</f>
        <v>0</v>
      </c>
      <c r="R34" s="16">
        <f>IF(MatrizDeAdyacencia!R34=1, SUMIFS(tblRed[TRADE OFF VALOR OPERATIVO/COSTE], tblRed[Nodo Inicial], $C34, tblRed[Nodo Final], R$3, tblRed[Activo], 1), 0)</f>
        <v>0</v>
      </c>
      <c r="S34" s="16">
        <f>IF(MatrizDeAdyacencia!S34=1, SUMIFS(tblRed[TRADE OFF VALOR OPERATIVO/COSTE], tblRed[Nodo Inicial], $C34, tblRed[Nodo Final], S$3, tblRed[Activo], 1), 0)</f>
        <v>0</v>
      </c>
      <c r="T34" s="16">
        <f>IF(MatrizDeAdyacencia!T34=1, SUMIFS(tblRed[TRADE OFF VALOR OPERATIVO/COSTE], tblRed[Nodo Inicial], $C34, tblRed[Nodo Final], T$3, tblRed[Activo], 1), 0)</f>
        <v>0</v>
      </c>
      <c r="U34" s="16">
        <f>IF(MatrizDeAdyacencia!U34=1, SUMIFS(tblRed[TRADE OFF VALOR OPERATIVO/COSTE], tblRed[Nodo Inicial], $C34, tblRed[Nodo Final], U$3, tblRed[Activo], 1), 0)</f>
        <v>0</v>
      </c>
      <c r="V34" s="16">
        <f>IF(MatrizDeAdyacencia!V34=1, SUMIFS(tblRed[TRADE OFF VALOR OPERATIVO/COSTE], tblRed[Nodo Inicial], $C34, tblRed[Nodo Final], V$3, tblRed[Activo], 1), 0)</f>
        <v>0</v>
      </c>
      <c r="W34" s="16">
        <f>IF(MatrizDeAdyacencia!W34=1, SUMIFS(tblRed[TRADE OFF VALOR OPERATIVO/COSTE], tblRed[Nodo Inicial], $C34, tblRed[Nodo Final], W$3, tblRed[Activo], 1), 0)</f>
        <v>0</v>
      </c>
      <c r="X34" s="16">
        <f>IF(MatrizDeAdyacencia!X34=1, SUMIFS(tblRed[TRADE OFF VALOR OPERATIVO/COSTE], tblRed[Nodo Inicial], $C34, tblRed[Nodo Final], X$3, tblRed[Activo], 1), 0)</f>
        <v>0</v>
      </c>
      <c r="Y34" s="16">
        <f>IF(MatrizDeAdyacencia!Y34=1, SUMIFS(tblRed[TRADE OFF VALOR OPERATIVO/COSTE], tblRed[Nodo Inicial], $C34, tblRed[Nodo Final], Y$3, tblRed[Activo], 1), 0)</f>
        <v>0</v>
      </c>
      <c r="Z34" s="16">
        <f>IF(MatrizDeAdyacencia!Z34=1, SUMIFS(tblRed[TRADE OFF VALOR OPERATIVO/COSTE], tblRed[Nodo Inicial], $C34, tblRed[Nodo Final], Z$3, tblRed[Activo], 1), 0)</f>
        <v>0</v>
      </c>
      <c r="AA34" s="16">
        <f>IF(MatrizDeAdyacencia!AA34=1, SUMIFS(tblRed[TRADE OFF VALOR OPERATIVO/COSTE], tblRed[Nodo Inicial], $C34, tblRed[Nodo Final], AA$3, tblRed[Activo], 1), 0)</f>
        <v>0</v>
      </c>
      <c r="AB34" s="16">
        <f>IF(MatrizDeAdyacencia!AB34=1, SUMIFS(tblRed[TRADE OFF VALOR OPERATIVO/COSTE], tblRed[Nodo Inicial], $C34, tblRed[Nodo Final], AB$3, tblRed[Activo], 1), 0)</f>
        <v>0</v>
      </c>
      <c r="AC34" s="16">
        <f>IF(MatrizDeAdyacencia!AC34=1, SUMIFS(tblRed[TRADE OFF VALOR OPERATIVO/COSTE], tblRed[Nodo Inicial], $C34, tblRed[Nodo Final], AC$3, tblRed[Activo], 1), 0)</f>
        <v>0</v>
      </c>
      <c r="AD34" s="16">
        <f>IF(MatrizDeAdyacencia!AD34=1, SUMIFS(tblRed[TRADE OFF VALOR OPERATIVO/COSTE], tblRed[Nodo Inicial], $C34, tblRed[Nodo Final], AD$3, tblRed[Activo], 1), 0)</f>
        <v>0</v>
      </c>
      <c r="AE34" s="16">
        <f>IF(MatrizDeAdyacencia!AE34=1, SUMIFS(tblRed[TRADE OFF VALOR OPERATIVO/COSTE], tblRed[Nodo Inicial], $C34, tblRed[Nodo Final], AE$3, tblRed[Activo], 1), 0)</f>
        <v>0</v>
      </c>
      <c r="AF34" s="16">
        <f>IF(MatrizDeAdyacencia!AF34=1, SUMIFS(tblRed[TRADE OFF VALOR OPERATIVO/COSTE], tblRed[Nodo Inicial], $C34, tblRed[Nodo Final], AF$3, tblRed[Activo], 1), 0)</f>
        <v>0</v>
      </c>
      <c r="AG34" s="16">
        <f>IF(MatrizDeAdyacencia!AG34=1, SUMIFS(tblRed[TRADE OFF VALOR OPERATIVO/COSTE], tblRed[Nodo Inicial], $C34, tblRed[Nodo Final], AG$3, tblRed[Activo], 1), 0)</f>
        <v>0</v>
      </c>
      <c r="AH34" s="16">
        <f>IF(MatrizDeAdyacencia!AH34=1, SUMIFS(tblRed[TRADE OFF VALOR OPERATIVO/COSTE], tblRed[Nodo Inicial], $C34, tblRed[Nodo Final], AH$3, tblRed[Activo], 1), 0)</f>
        <v>0</v>
      </c>
    </row>
  </sheetData>
  <mergeCells count="1">
    <mergeCell ref="B2:C2"/>
  </mergeCells>
  <conditionalFormatting sqref="D4:AH34">
    <cfRule type="expression" dxfId="143" priority="1" stopIfTrue="1">
      <formula>COLUMN()-COLUMN($D$4)=ROW()-ROW($D$4)</formula>
    </cfRule>
    <cfRule type="expression" dxfId="142" priority="2" stopIfTrue="1">
      <formula>D4&lt;&gt;0</formula>
    </cfRule>
    <cfRule type="expression" dxfId="141" priority="3">
      <formula>D4=0</formula>
    </cfRule>
  </conditionalFormatting>
  <pageMargins left="0.75" right="0.75" top="1" bottom="1" header="0.5" footer="0.5"/>
  <pageSetup paperSize="9"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D2D3-B8A8-4E9F-9C05-7355E1EE6F07}">
  <sheetPr codeName="Hoja13"/>
  <dimension ref="B2:AH34"/>
  <sheetViews>
    <sheetView showGridLines="0" zoomScale="70" zoomScaleNormal="70" workbookViewId="0">
      <selection activeCell="B3" sqref="B3"/>
    </sheetView>
  </sheetViews>
  <sheetFormatPr baseColWidth="10" defaultColWidth="9.140625" defaultRowHeight="17.25" customHeight="1" x14ac:dyDescent="0.25"/>
  <cols>
    <col min="1" max="1" width="9.140625" style="3" customWidth="1"/>
    <col min="2" max="2" width="34.42578125" style="3" customWidth="1"/>
    <col min="3" max="3" width="11.85546875" style="3" customWidth="1"/>
    <col min="4" max="34" width="7.5703125" style="3" customWidth="1"/>
    <col min="35" max="16384" width="9.140625" style="3"/>
  </cols>
  <sheetData>
    <row r="2" spans="2:34" s="8" customFormat="1" ht="121.5" customHeight="1" x14ac:dyDescent="0.25">
      <c r="B2" s="123" t="s">
        <v>491</v>
      </c>
      <c r="C2" s="124"/>
      <c r="D2" s="13" t="str">
        <f>VLOOKUP(tblMatrizDistanciasDirectas[[#Headers],[O1]],tblNodos[],2,FALSE)</f>
        <v>Recursos personales lícitos</v>
      </c>
      <c r="E2" s="13" t="str">
        <f>VLOOKUP(tblMatrizDistanciasDirectas[[#Headers],[O2]],tblNodos[],2,FALSE)</f>
        <v>Donaciones y apoyo individual / comunitario</v>
      </c>
      <c r="F2" s="13" t="str">
        <f>VLOOKUP(tblMatrizDistanciasDirectas[[#Headers],[O3]],tblNodos[],2,FALSE)</f>
        <v>Actividad comercial y empresarial</v>
      </c>
      <c r="G2" s="13" t="str">
        <f>VLOOKUP(tblMatrizDistanciasDirectas[[#Headers],[O4]],tblNodos[],2,FALSE)</f>
        <v>Financiación mediante coerción y exacción</v>
      </c>
      <c r="H2" s="13" t="str">
        <f>VLOOKUP(tblMatrizDistanciasDirectas[[#Headers],[O5]],tblNodos[],2,FALSE)</f>
        <v>Explotación de personas y movilidad forzada</v>
      </c>
      <c r="I2" s="13" t="str">
        <f>VLOOKUP(tblMatrizDistanciasDirectas[[#Headers],[O6]],tblNodos[],2,FALSE)</f>
        <v>Actividades criminales y mercados ilícitos</v>
      </c>
      <c r="J2" s="13" t="str">
        <f>VLOOKUP(tblMatrizDistanciasDirectas[[#Headers],[O7]],tblNodos[],2,FALSE)</f>
        <v>Explotación de recursos naturales</v>
      </c>
      <c r="K2" s="13" t="str">
        <f>VLOOKUP(tblMatrizDistanciasDirectas[[#Headers],[O8]],tblNodos[],2,FALSE)</f>
        <v>Valor digital</v>
      </c>
      <c r="L2" s="13" t="str">
        <f>VLOOKUP(tblMatrizDistanciasDirectas[[#Headers],[C1]],tblNodos[],2,FALSE)</f>
        <v>Recaudación directa</v>
      </c>
      <c r="M2" s="13" t="str">
        <f>VLOOKUP(tblMatrizDistanciasDirectas[[#Headers],[C2]],tblNodos[],2,FALSE)</f>
        <v>Agregadores de fondos</v>
      </c>
      <c r="N2" s="13" t="str">
        <f>VLOOKUP(tblMatrizDistanciasDirectas[[#Headers],[C3]],tblNodos[],2,FALSE)</f>
        <v>Estructuras organizadas de captación</v>
      </c>
      <c r="O2" s="13" t="str">
        <f>VLOOKUP(tblMatrizDistanciasDirectas[[#Headers],[C4]],tblNodos[],2,FALSE)</f>
        <v>Colectores digitales instrumentales</v>
      </c>
      <c r="P2" s="13" t="str">
        <f>VLOOKUP(tblMatrizDistanciasDirectas[[#Headers],[C5]],tblNodos[],2,FALSE)</f>
        <v>Colectores empresariales y vehiculares</v>
      </c>
      <c r="Q2" s="13" t="str">
        <f>VLOOKUP(tblMatrizDistanciasDirectas[[#Headers],[C6]],tblNodos[],2,FALSE)</f>
        <v>Colectores instrumentales / de ocultación</v>
      </c>
      <c r="R2" s="13" t="str">
        <f>VLOOKUP(tblMatrizDistanciasDirectas[[#Headers],[I1]],tblNodos[],2,FALSE)</f>
        <v>Intermediarios físicos de transporte de valor</v>
      </c>
      <c r="S2" s="13" t="str">
        <f>VLOOKUP(tblMatrizDistanciasDirectas[[#Headers],[I2]],tblNodos[],2,FALSE)</f>
        <v>Intermediarios informales y paralelos</v>
      </c>
      <c r="T2" s="13" t="str">
        <f>VLOOKUP(tblMatrizDistanciasDirectas[[#Headers],[I3]],tblNodos[],2,FALSE)</f>
        <v>Intermediarios MVTS y remesas</v>
      </c>
      <c r="U2" s="13" t="str">
        <f>VLOOKUP(tblMatrizDistanciasDirectas[[#Headers],[I4]],tblNodos[],2,FALSE)</f>
        <v>Intermediarios de dinero móvil</v>
      </c>
      <c r="V2" s="13" t="str">
        <f>VLOOKUP(tblMatrizDistanciasDirectas[[#Headers],[I5]],tblNodos[],2,FALSE)</f>
        <v>Intermediarios bancarios formales</v>
      </c>
      <c r="W2" s="13" t="str">
        <f>VLOOKUP(tblMatrizDistanciasDirectas[[#Headers],[I6]],tblNodos[],2,FALSE)</f>
        <v>Intermediarios de pago digital (PSP /FinTech)</v>
      </c>
      <c r="X2" s="13" t="str">
        <f>VLOOKUP(tblMatrizDistanciasDirectas[[#Headers],[I7]],tblNodos[],2,FALSE)</f>
        <v>Intermediarios de activos virtuales y conversión</v>
      </c>
      <c r="Y2" s="13" t="str">
        <f>VLOOKUP(tblMatrizDistanciasDirectas[[#Headers],[I8]],tblNodos[],2,FALSE)</f>
        <v>Intermediarios comerciales y transaccionales</v>
      </c>
      <c r="Z2" s="13" t="str">
        <f>VLOOKUP(tblMatrizDistanciasDirectas[[#Headers],[I9]],tblNodos[],2,FALSE)</f>
        <v>Intermediarios logísticos del contrabando</v>
      </c>
      <c r="AA2" s="13" t="str">
        <f>VLOOKUP(tblMatrizDistanciasDirectas[[#Headers],[I10]],tblNodos[],2,FALSE)</f>
        <v>Intermediarios financeros especializados</v>
      </c>
      <c r="AB2" s="13" t="str">
        <f>VLOOKUP(tblMatrizDistanciasDirectas[[#Headers],[I11]],tblNodos[],2,FALSE)</f>
        <v>Intermediarios operativos y de cobertura</v>
      </c>
      <c r="AC2" s="13" t="str">
        <f>VLOOKUP(tblMatrizDistanciasDirectas[[#Headers],[I12]],tblNodos[],2,FALSE)</f>
        <v>Intermediarios de negociación y rescate</v>
      </c>
      <c r="AD2" s="13" t="str">
        <f>VLOOKUP(tblMatrizDistanciasDirectas[[#Headers],[G1]],tblNodos[],2,FALSE)</f>
        <v>Dirección financiera</v>
      </c>
      <c r="AE2" s="13" t="str">
        <f>VLOOKUP(tblMatrizDistanciasDirectas[[#Headers],[G2]],tblNodos[],2,FALSE)</f>
        <v>Gestión operativa descentralizada</v>
      </c>
      <c r="AF2" s="13" t="str">
        <f>VLOOKUP(tblMatrizDistanciasDirectas[[#Headers],[G3]],tblNodos[],2,FALSE)</f>
        <v>Custodia y conversión</v>
      </c>
      <c r="AG2" s="13" t="str">
        <f>VLOOKUP(tblMatrizDistanciasDirectas[[#Headers],[G4]],tblNodos[],2,FALSE)</f>
        <v>Coordinación de la red y soporte estratégico</v>
      </c>
      <c r="AH2" s="13" t="str">
        <f>VLOOKUP(tblMatrizDistanciasDirectas[[#Headers],[D1]],tblNodos[],2,FALSE)</f>
        <v>Destino operativo final</v>
      </c>
    </row>
    <row r="3" spans="2:34" ht="33" customHeight="1" x14ac:dyDescent="0.25">
      <c r="B3" s="5" t="s">
        <v>472</v>
      </c>
      <c r="C3" s="23" t="s">
        <v>486</v>
      </c>
      <c r="D3" s="4" t="s">
        <v>25</v>
      </c>
      <c r="E3" s="4" t="s">
        <v>27</v>
      </c>
      <c r="F3" s="4" t="s">
        <v>29</v>
      </c>
      <c r="G3" s="4" t="s">
        <v>31</v>
      </c>
      <c r="H3" s="4" t="s">
        <v>33</v>
      </c>
      <c r="I3" s="4" t="s">
        <v>35</v>
      </c>
      <c r="J3" s="4" t="s">
        <v>37</v>
      </c>
      <c r="K3" s="4" t="s">
        <v>39</v>
      </c>
      <c r="L3" s="4" t="s">
        <v>41</v>
      </c>
      <c r="M3" s="4" t="s">
        <v>43</v>
      </c>
      <c r="N3" s="4" t="s">
        <v>45</v>
      </c>
      <c r="O3" s="4" t="s">
        <v>47</v>
      </c>
      <c r="P3" s="4" t="s">
        <v>49</v>
      </c>
      <c r="Q3" s="4" t="s">
        <v>51</v>
      </c>
      <c r="R3" s="4" t="s">
        <v>53</v>
      </c>
      <c r="S3" s="4" t="s">
        <v>55</v>
      </c>
      <c r="T3" s="4" t="s">
        <v>57</v>
      </c>
      <c r="U3" s="4" t="s">
        <v>59</v>
      </c>
      <c r="V3" s="6" t="s">
        <v>61</v>
      </c>
      <c r="W3" s="21" t="s">
        <v>63</v>
      </c>
      <c r="X3" s="21" t="s">
        <v>65</v>
      </c>
      <c r="Y3" s="21" t="s">
        <v>67</v>
      </c>
      <c r="Z3" s="21" t="s">
        <v>69</v>
      </c>
      <c r="AA3" s="21" t="s">
        <v>71</v>
      </c>
      <c r="AB3" s="21" t="s">
        <v>73</v>
      </c>
      <c r="AC3" s="21" t="s">
        <v>75</v>
      </c>
      <c r="AD3" s="21" t="s">
        <v>77</v>
      </c>
      <c r="AE3" s="21" t="s">
        <v>79</v>
      </c>
      <c r="AF3" s="21" t="s">
        <v>81</v>
      </c>
      <c r="AG3" s="21" t="s">
        <v>83</v>
      </c>
      <c r="AH3" s="21" t="s">
        <v>85</v>
      </c>
    </row>
    <row r="4" spans="2:34" ht="17.25" customHeight="1" x14ac:dyDescent="0.25">
      <c r="B4" s="69" t="str">
        <f>VLOOKUP(tblMatrizDistanciasDirectas[[#This Row],[Nodo Orig.\Dest.]],tblNodos[],2,FALSE)</f>
        <v>Recursos personales lícitos</v>
      </c>
      <c r="C4" s="4" t="s">
        <v>25</v>
      </c>
      <c r="D4" s="98">
        <f>IF($C4=D$3, 0, IF('MatrizTradeOff Valor Op-Coste'!D4=0, 999999, 1/'MatrizTradeOff Valor Op-Coste'!D4))</f>
        <v>0</v>
      </c>
      <c r="E4" s="98">
        <f>IF($C4=E$3, 0, IF('MatrizTradeOff Valor Op-Coste'!E4=0, 999999, 1/'MatrizTradeOff Valor Op-Coste'!E4))</f>
        <v>999999</v>
      </c>
      <c r="F4" s="98">
        <f>IF($C4=F$3, 0, IF('MatrizTradeOff Valor Op-Coste'!F4=0, 999999, 1/'MatrizTradeOff Valor Op-Coste'!F4))</f>
        <v>999999</v>
      </c>
      <c r="G4" s="98">
        <f>IF($C4=G$3, 0, IF('MatrizTradeOff Valor Op-Coste'!G4=0, 999999, 1/'MatrizTradeOff Valor Op-Coste'!G4))</f>
        <v>999999</v>
      </c>
      <c r="H4" s="98">
        <f>IF($C4=H$3, 0, IF('MatrizTradeOff Valor Op-Coste'!H4=0, 999999, 1/'MatrizTradeOff Valor Op-Coste'!H4))</f>
        <v>999999</v>
      </c>
      <c r="I4" s="98">
        <f>IF($C4=I$3, 0, IF('MatrizTradeOff Valor Op-Coste'!I4=0, 999999, 1/'MatrizTradeOff Valor Op-Coste'!I4))</f>
        <v>999999</v>
      </c>
      <c r="J4" s="98">
        <f>IF($C4=J$3, 0, IF('MatrizTradeOff Valor Op-Coste'!J4=0, 999999, 1/'MatrizTradeOff Valor Op-Coste'!J4))</f>
        <v>999999</v>
      </c>
      <c r="K4" s="98">
        <f>IF($C4=K$3, 0, IF('MatrizTradeOff Valor Op-Coste'!K4=0, 999999, 1/'MatrizTradeOff Valor Op-Coste'!K4))</f>
        <v>999999</v>
      </c>
      <c r="L4" s="98">
        <f>IF($C4=L$3, 0, IF('MatrizTradeOff Valor Op-Coste'!L4=0, 999999, 1/'MatrizTradeOff Valor Op-Coste'!L4))</f>
        <v>999999</v>
      </c>
      <c r="M4" s="98">
        <f>IF($C4=M$3, 0, IF('MatrizTradeOff Valor Op-Coste'!M4=0, 999999, 1/'MatrizTradeOff Valor Op-Coste'!M4))</f>
        <v>999999</v>
      </c>
      <c r="N4" s="98">
        <f>IF($C4=N$3, 0, IF('MatrizTradeOff Valor Op-Coste'!N4=0, 999999, 1/'MatrizTradeOff Valor Op-Coste'!N4))</f>
        <v>999999</v>
      </c>
      <c r="O4" s="98">
        <f>IF($C4=O$3, 0, IF('MatrizTradeOff Valor Op-Coste'!O4=0, 999999, 1/'MatrizTradeOff Valor Op-Coste'!O4))</f>
        <v>0.55555555555555558</v>
      </c>
      <c r="P4" s="98">
        <f>IF($C4=P$3, 0, IF('MatrizTradeOff Valor Op-Coste'!P4=0, 999999, 1/'MatrizTradeOff Valor Op-Coste'!P4))</f>
        <v>999999</v>
      </c>
      <c r="Q4" s="98">
        <f>IF($C4=Q$3, 0, IF('MatrizTradeOff Valor Op-Coste'!Q4=0, 999999, 1/'MatrizTradeOff Valor Op-Coste'!Q4))</f>
        <v>999999</v>
      </c>
      <c r="R4" s="98">
        <f>IF($C4=R$3, 0, IF('MatrizTradeOff Valor Op-Coste'!R4=0, 999999, 1/'MatrizTradeOff Valor Op-Coste'!R4))</f>
        <v>999999</v>
      </c>
      <c r="S4" s="98">
        <f>IF($C4=S$3, 0, IF('MatrizTradeOff Valor Op-Coste'!S4=0, 999999, 1/'MatrizTradeOff Valor Op-Coste'!S4))</f>
        <v>999999</v>
      </c>
      <c r="T4" s="98">
        <f>IF($C4=T$3, 0, IF('MatrizTradeOff Valor Op-Coste'!T4=0, 999999, 1/'MatrizTradeOff Valor Op-Coste'!T4))</f>
        <v>999999</v>
      </c>
      <c r="U4" s="98">
        <f>IF($C4=U$3, 0, IF('MatrizTradeOff Valor Op-Coste'!U4=0, 999999, 1/'MatrizTradeOff Valor Op-Coste'!U4))</f>
        <v>999999</v>
      </c>
      <c r="V4" s="98">
        <f>IF($C4=V$3, 0, IF('MatrizTradeOff Valor Op-Coste'!V4=0, 999999, 1/'MatrizTradeOff Valor Op-Coste'!V4))</f>
        <v>0.40476190476190477</v>
      </c>
      <c r="W4" s="99">
        <f>IF($C4=W$3, 0, IF('MatrizTradeOff Valor Op-Coste'!W4=0, 999999, 1/'MatrizTradeOff Valor Op-Coste'!W4))</f>
        <v>999999</v>
      </c>
      <c r="X4" s="99">
        <f>IF($C4=X$3, 0, IF('MatrizTradeOff Valor Op-Coste'!X4=0, 999999, 1/'MatrizTradeOff Valor Op-Coste'!X4))</f>
        <v>999999</v>
      </c>
      <c r="Y4" s="99">
        <f>IF($C4=Y$3, 0, IF('MatrizTradeOff Valor Op-Coste'!Y4=0, 999999, 1/'MatrizTradeOff Valor Op-Coste'!Y4))</f>
        <v>999999</v>
      </c>
      <c r="Z4" s="99">
        <f>IF($C4=Z$3, 0, IF('MatrizTradeOff Valor Op-Coste'!Z4=0, 999999, 1/'MatrizTradeOff Valor Op-Coste'!Z4))</f>
        <v>999999</v>
      </c>
      <c r="AA4" s="99">
        <f>IF($C4=AA$3, 0, IF('MatrizTradeOff Valor Op-Coste'!AA4=0, 999999, 1/'MatrizTradeOff Valor Op-Coste'!AA4))</f>
        <v>999999</v>
      </c>
      <c r="AB4" s="99">
        <f>IF($C4=AB$3, 0, IF('MatrizTradeOff Valor Op-Coste'!AB4=0, 999999, 1/'MatrizTradeOff Valor Op-Coste'!AB4))</f>
        <v>999999</v>
      </c>
      <c r="AC4" s="99">
        <f>IF($C4=AC$3, 0, IF('MatrizTradeOff Valor Op-Coste'!AC4=0, 999999, 1/'MatrizTradeOff Valor Op-Coste'!AC4))</f>
        <v>999999</v>
      </c>
      <c r="AD4" s="99">
        <f>IF($C4=AD$3, 0, IF('MatrizTradeOff Valor Op-Coste'!AD4=0, 999999, 1/'MatrizTradeOff Valor Op-Coste'!AD4))</f>
        <v>999999</v>
      </c>
      <c r="AE4" s="99">
        <f>IF($C4=AE$3, 0, IF('MatrizTradeOff Valor Op-Coste'!AE4=0, 999999, 1/'MatrizTradeOff Valor Op-Coste'!AE4))</f>
        <v>999999</v>
      </c>
      <c r="AF4" s="99">
        <f>IF($C4=AF$3, 0, IF('MatrizTradeOff Valor Op-Coste'!AF4=0, 999999, 1/'MatrizTradeOff Valor Op-Coste'!AF4))</f>
        <v>999999</v>
      </c>
      <c r="AG4" s="99">
        <f>IF($C4=AG$3, 0, IF('MatrizTradeOff Valor Op-Coste'!AG4=0, 999999, 1/'MatrizTradeOff Valor Op-Coste'!AG4))</f>
        <v>999999</v>
      </c>
      <c r="AH4" s="99">
        <f>IF($C4=AH$3, 0, IF('MatrizTradeOff Valor Op-Coste'!AH4=0, 999999, 1/'MatrizTradeOff Valor Op-Coste'!AH4))</f>
        <v>999999</v>
      </c>
    </row>
    <row r="5" spans="2:34" ht="17.25" customHeight="1" x14ac:dyDescent="0.25">
      <c r="B5" s="12" t="str">
        <f>VLOOKUP(tblMatrizDistanciasDirectas[[#This Row],[Nodo Orig.\Dest.]],tblNodos[],2,FALSE)</f>
        <v>Donaciones y apoyo individual / comunitario</v>
      </c>
      <c r="C5" s="4" t="s">
        <v>27</v>
      </c>
      <c r="D5" s="98">
        <f>IF($C5=D$3, 0, IF('MatrizTradeOff Valor Op-Coste'!D5=0, 999999, 1/'MatrizTradeOff Valor Op-Coste'!D5))</f>
        <v>999999</v>
      </c>
      <c r="E5" s="98">
        <f>IF($C5=E$3, 0, IF('MatrizTradeOff Valor Op-Coste'!E5=0, 999999, 1/'MatrizTradeOff Valor Op-Coste'!E5))</f>
        <v>0</v>
      </c>
      <c r="F5" s="98">
        <f>IF($C5=F$3, 0, IF('MatrizTradeOff Valor Op-Coste'!F5=0, 999999, 1/'MatrizTradeOff Valor Op-Coste'!F5))</f>
        <v>999999</v>
      </c>
      <c r="G5" s="98">
        <f>IF($C5=G$3, 0, IF('MatrizTradeOff Valor Op-Coste'!G5=0, 999999, 1/'MatrizTradeOff Valor Op-Coste'!G5))</f>
        <v>999999</v>
      </c>
      <c r="H5" s="98">
        <f>IF($C5=H$3, 0, IF('MatrizTradeOff Valor Op-Coste'!H5=0, 999999, 1/'MatrizTradeOff Valor Op-Coste'!H5))</f>
        <v>999999</v>
      </c>
      <c r="I5" s="98">
        <f>IF($C5=I$3, 0, IF('MatrizTradeOff Valor Op-Coste'!I5=0, 999999, 1/'MatrizTradeOff Valor Op-Coste'!I5))</f>
        <v>999999</v>
      </c>
      <c r="J5" s="98">
        <f>IF($C5=J$3, 0, IF('MatrizTradeOff Valor Op-Coste'!J5=0, 999999, 1/'MatrizTradeOff Valor Op-Coste'!J5))</f>
        <v>999999</v>
      </c>
      <c r="K5" s="98">
        <f>IF($C5=K$3, 0, IF('MatrizTradeOff Valor Op-Coste'!K5=0, 999999, 1/'MatrizTradeOff Valor Op-Coste'!K5))</f>
        <v>999999</v>
      </c>
      <c r="L5" s="16">
        <f>IF($C5=L$3, 0, IF('MatrizTradeOff Valor Op-Coste'!L5=0, 999999, 1/'MatrizTradeOff Valor Op-Coste'!L5))</f>
        <v>0.54639175257731953</v>
      </c>
      <c r="M5" s="98">
        <f>IF($C5=M$3, 0, IF('MatrizTradeOff Valor Op-Coste'!M5=0, 999999, 1/'MatrizTradeOff Valor Op-Coste'!M5))</f>
        <v>999999</v>
      </c>
      <c r="N5" s="98">
        <f>IF($C5=N$3, 0, IF('MatrizTradeOff Valor Op-Coste'!N5=0, 999999, 1/'MatrizTradeOff Valor Op-Coste'!N5))</f>
        <v>0.51648351648351654</v>
      </c>
      <c r="O5" s="98">
        <f>IF($C5=O$3, 0, IF('MatrizTradeOff Valor Op-Coste'!O5=0, 999999, 1/'MatrizTradeOff Valor Op-Coste'!O5))</f>
        <v>0.58823529411764708</v>
      </c>
      <c r="P5" s="98">
        <f>IF($C5=P$3, 0, IF('MatrizTradeOff Valor Op-Coste'!P5=0, 999999, 1/'MatrizTradeOff Valor Op-Coste'!P5))</f>
        <v>999999</v>
      </c>
      <c r="Q5" s="98">
        <f>IF($C5=Q$3, 0, IF('MatrizTradeOff Valor Op-Coste'!Q5=0, 999999, 1/'MatrizTradeOff Valor Op-Coste'!Q5))</f>
        <v>999999</v>
      </c>
      <c r="R5" s="98">
        <f>IF($C5=R$3, 0, IF('MatrizTradeOff Valor Op-Coste'!R5=0, 999999, 1/'MatrizTradeOff Valor Op-Coste'!R5))</f>
        <v>999999</v>
      </c>
      <c r="S5" s="98">
        <f>IF($C5=S$3, 0, IF('MatrizTradeOff Valor Op-Coste'!S5=0, 999999, 1/'MatrizTradeOff Valor Op-Coste'!S5))</f>
        <v>999999</v>
      </c>
      <c r="T5" s="98">
        <f>IF($C5=T$3, 0, IF('MatrizTradeOff Valor Op-Coste'!T5=0, 999999, 1/'MatrizTradeOff Valor Op-Coste'!T5))</f>
        <v>999999</v>
      </c>
      <c r="U5" s="98">
        <f>IF($C5=U$3, 0, IF('MatrizTradeOff Valor Op-Coste'!U5=0, 999999, 1/'MatrizTradeOff Valor Op-Coste'!U5))</f>
        <v>999999</v>
      </c>
      <c r="V5" s="98">
        <f>IF($C5=V$3, 0, IF('MatrizTradeOff Valor Op-Coste'!V5=0, 999999, 1/'MatrizTradeOff Valor Op-Coste'!V5))</f>
        <v>999999</v>
      </c>
      <c r="W5" s="98">
        <f>IF($C5=W$3, 0, IF('MatrizTradeOff Valor Op-Coste'!W5=0, 999999, 1/'MatrizTradeOff Valor Op-Coste'!W5))</f>
        <v>999999</v>
      </c>
      <c r="X5" s="98">
        <f>IF($C5=X$3, 0, IF('MatrizTradeOff Valor Op-Coste'!X5=0, 999999, 1/'MatrizTradeOff Valor Op-Coste'!X5))</f>
        <v>999999</v>
      </c>
      <c r="Y5" s="98">
        <f>IF($C5=Y$3, 0, IF('MatrizTradeOff Valor Op-Coste'!Y5=0, 999999, 1/'MatrizTradeOff Valor Op-Coste'!Y5))</f>
        <v>999999</v>
      </c>
      <c r="Z5" s="98">
        <f>IF($C5=Z$3, 0, IF('MatrizTradeOff Valor Op-Coste'!Z5=0, 999999, 1/'MatrizTradeOff Valor Op-Coste'!Z5))</f>
        <v>999999</v>
      </c>
      <c r="AA5" s="98">
        <f>IF($C5=AA$3, 0, IF('MatrizTradeOff Valor Op-Coste'!AA5=0, 999999, 1/'MatrizTradeOff Valor Op-Coste'!AA5))</f>
        <v>999999</v>
      </c>
      <c r="AB5" s="98">
        <f>IF($C5=AB$3, 0, IF('MatrizTradeOff Valor Op-Coste'!AB5=0, 999999, 1/'MatrizTradeOff Valor Op-Coste'!AB5))</f>
        <v>999999</v>
      </c>
      <c r="AC5" s="98">
        <f>IF($C5=AC$3, 0, IF('MatrizTradeOff Valor Op-Coste'!AC5=0, 999999, 1/'MatrizTradeOff Valor Op-Coste'!AC5))</f>
        <v>0.57894736842105265</v>
      </c>
      <c r="AD5" s="98">
        <f>IF($C5=AD$3, 0, IF('MatrizTradeOff Valor Op-Coste'!AD5=0, 999999, 1/'MatrizTradeOff Valor Op-Coste'!AD5))</f>
        <v>999999</v>
      </c>
      <c r="AE5" s="98">
        <f>IF($C5=AE$3, 0, IF('MatrizTradeOff Valor Op-Coste'!AE5=0, 999999, 1/'MatrizTradeOff Valor Op-Coste'!AE5))</f>
        <v>999999</v>
      </c>
      <c r="AF5" s="98">
        <f>IF($C5=AF$3, 0, IF('MatrizTradeOff Valor Op-Coste'!AF5=0, 999999, 1/'MatrizTradeOff Valor Op-Coste'!AF5))</f>
        <v>999999</v>
      </c>
      <c r="AG5" s="98">
        <f>IF($C5=AG$3, 0, IF('MatrizTradeOff Valor Op-Coste'!AG5=0, 999999, 1/'MatrizTradeOff Valor Op-Coste'!AG5))</f>
        <v>999999</v>
      </c>
      <c r="AH5" s="98">
        <f>IF($C5=AH$3, 0, IF('MatrizTradeOff Valor Op-Coste'!AH5=0, 999999, 1/'MatrizTradeOff Valor Op-Coste'!AH5))</f>
        <v>999999</v>
      </c>
    </row>
    <row r="6" spans="2:34" ht="17.25" customHeight="1" x14ac:dyDescent="0.25">
      <c r="B6" s="12" t="str">
        <f>VLOOKUP(tblMatrizDistanciasDirectas[[#This Row],[Nodo Orig.\Dest.]],tblNodos[],2,FALSE)</f>
        <v>Actividad comercial y empresarial</v>
      </c>
      <c r="C6" s="4" t="s">
        <v>29</v>
      </c>
      <c r="D6" s="98">
        <f>IF($C6=D$3, 0, IF('MatrizTradeOff Valor Op-Coste'!D6=0, 999999, 1/'MatrizTradeOff Valor Op-Coste'!D6))</f>
        <v>999999</v>
      </c>
      <c r="E6" s="98">
        <f>IF($C6=E$3, 0, IF('MatrizTradeOff Valor Op-Coste'!E6=0, 999999, 1/'MatrizTradeOff Valor Op-Coste'!E6))</f>
        <v>999999</v>
      </c>
      <c r="F6" s="98">
        <f>IF($C6=F$3, 0, IF('MatrizTradeOff Valor Op-Coste'!F6=0, 999999, 1/'MatrizTradeOff Valor Op-Coste'!F6))</f>
        <v>0</v>
      </c>
      <c r="G6" s="98">
        <f>IF($C6=G$3, 0, IF('MatrizTradeOff Valor Op-Coste'!G6=0, 999999, 1/'MatrizTradeOff Valor Op-Coste'!G6))</f>
        <v>999999</v>
      </c>
      <c r="H6" s="98">
        <f>IF($C6=H$3, 0, IF('MatrizTradeOff Valor Op-Coste'!H6=0, 999999, 1/'MatrizTradeOff Valor Op-Coste'!H6))</f>
        <v>999999</v>
      </c>
      <c r="I6" s="98">
        <f>IF($C6=I$3, 0, IF('MatrizTradeOff Valor Op-Coste'!I6=0, 999999, 1/'MatrizTradeOff Valor Op-Coste'!I6))</f>
        <v>999999</v>
      </c>
      <c r="J6" s="98">
        <f>IF($C6=J$3, 0, IF('MatrizTradeOff Valor Op-Coste'!J6=0, 999999, 1/'MatrizTradeOff Valor Op-Coste'!J6))</f>
        <v>999999</v>
      </c>
      <c r="K6" s="98">
        <f>IF($C6=K$3, 0, IF('MatrizTradeOff Valor Op-Coste'!K6=0, 999999, 1/'MatrizTradeOff Valor Op-Coste'!K6))</f>
        <v>999999</v>
      </c>
      <c r="L6" s="98">
        <f>IF($C6=L$3, 0, IF('MatrizTradeOff Valor Op-Coste'!L6=0, 999999, 1/'MatrizTradeOff Valor Op-Coste'!L6))</f>
        <v>999999</v>
      </c>
      <c r="M6" s="98">
        <f>IF($C6=M$3, 0, IF('MatrizTradeOff Valor Op-Coste'!M6=0, 999999, 1/'MatrizTradeOff Valor Op-Coste'!M6))</f>
        <v>999999</v>
      </c>
      <c r="N6" s="98">
        <f>IF($C6=N$3, 0, IF('MatrizTradeOff Valor Op-Coste'!N6=0, 999999, 1/'MatrizTradeOff Valor Op-Coste'!N6))</f>
        <v>999999</v>
      </c>
      <c r="O6" s="98">
        <f>IF($C6=O$3, 0, IF('MatrizTradeOff Valor Op-Coste'!O6=0, 999999, 1/'MatrizTradeOff Valor Op-Coste'!O6))</f>
        <v>999999</v>
      </c>
      <c r="P6" s="98">
        <f>IF($C6=P$3, 0, IF('MatrizTradeOff Valor Op-Coste'!P6=0, 999999, 1/'MatrizTradeOff Valor Op-Coste'!P6))</f>
        <v>0.55752212389380518</v>
      </c>
      <c r="Q6" s="98">
        <f>IF($C6=Q$3, 0, IF('MatrizTradeOff Valor Op-Coste'!Q6=0, 999999, 1/'MatrizTradeOff Valor Op-Coste'!Q6))</f>
        <v>999999</v>
      </c>
      <c r="R6" s="98">
        <f>IF($C6=R$3, 0, IF('MatrizTradeOff Valor Op-Coste'!R6=0, 999999, 1/'MatrizTradeOff Valor Op-Coste'!R6))</f>
        <v>999999</v>
      </c>
      <c r="S6" s="98">
        <f>IF($C6=S$3, 0, IF('MatrizTradeOff Valor Op-Coste'!S6=0, 999999, 1/'MatrizTradeOff Valor Op-Coste'!S6))</f>
        <v>999999</v>
      </c>
      <c r="T6" s="98">
        <f>IF($C6=T$3, 0, IF('MatrizTradeOff Valor Op-Coste'!T6=0, 999999, 1/'MatrizTradeOff Valor Op-Coste'!T6))</f>
        <v>999999</v>
      </c>
      <c r="U6" s="98">
        <f>IF($C6=U$3, 0, IF('MatrizTradeOff Valor Op-Coste'!U6=0, 999999, 1/'MatrizTradeOff Valor Op-Coste'!U6))</f>
        <v>999999</v>
      </c>
      <c r="V6" s="98">
        <f>IF($C6=V$3, 0, IF('MatrizTradeOff Valor Op-Coste'!V6=0, 999999, 1/'MatrizTradeOff Valor Op-Coste'!V6))</f>
        <v>999999</v>
      </c>
      <c r="W6" s="98">
        <f>IF($C6=W$3, 0, IF('MatrizTradeOff Valor Op-Coste'!W6=0, 999999, 1/'MatrizTradeOff Valor Op-Coste'!W6))</f>
        <v>999999</v>
      </c>
      <c r="X6" s="98">
        <f>IF($C6=X$3, 0, IF('MatrizTradeOff Valor Op-Coste'!X6=0, 999999, 1/'MatrizTradeOff Valor Op-Coste'!X6))</f>
        <v>999999</v>
      </c>
      <c r="Y6" s="98">
        <f>IF($C6=Y$3, 0, IF('MatrizTradeOff Valor Op-Coste'!Y6=0, 999999, 1/'MatrizTradeOff Valor Op-Coste'!Y6))</f>
        <v>999999</v>
      </c>
      <c r="Z6" s="98">
        <f>IF($C6=Z$3, 0, IF('MatrizTradeOff Valor Op-Coste'!Z6=0, 999999, 1/'MatrizTradeOff Valor Op-Coste'!Z6))</f>
        <v>999999</v>
      </c>
      <c r="AA6" s="98">
        <f>IF($C6=AA$3, 0, IF('MatrizTradeOff Valor Op-Coste'!AA6=0, 999999, 1/'MatrizTradeOff Valor Op-Coste'!AA6))</f>
        <v>999999</v>
      </c>
      <c r="AB6" s="98">
        <f>IF($C6=AB$3, 0, IF('MatrizTradeOff Valor Op-Coste'!AB6=0, 999999, 1/'MatrizTradeOff Valor Op-Coste'!AB6))</f>
        <v>999999</v>
      </c>
      <c r="AC6" s="98">
        <f>IF($C6=AC$3, 0, IF('MatrizTradeOff Valor Op-Coste'!AC6=0, 999999, 1/'MatrizTradeOff Valor Op-Coste'!AC6))</f>
        <v>999999</v>
      </c>
      <c r="AD6" s="98">
        <f>IF($C6=AD$3, 0, IF('MatrizTradeOff Valor Op-Coste'!AD6=0, 999999, 1/'MatrizTradeOff Valor Op-Coste'!AD6))</f>
        <v>999999</v>
      </c>
      <c r="AE6" s="98">
        <f>IF($C6=AE$3, 0, IF('MatrizTradeOff Valor Op-Coste'!AE6=0, 999999, 1/'MatrizTradeOff Valor Op-Coste'!AE6))</f>
        <v>999999</v>
      </c>
      <c r="AF6" s="98">
        <f>IF($C6=AF$3, 0, IF('MatrizTradeOff Valor Op-Coste'!AF6=0, 999999, 1/'MatrizTradeOff Valor Op-Coste'!AF6))</f>
        <v>999999</v>
      </c>
      <c r="AG6" s="98">
        <f>IF($C6=AG$3, 0, IF('MatrizTradeOff Valor Op-Coste'!AG6=0, 999999, 1/'MatrizTradeOff Valor Op-Coste'!AG6))</f>
        <v>999999</v>
      </c>
      <c r="AH6" s="98">
        <f>IF($C6=AH$3, 0, IF('MatrizTradeOff Valor Op-Coste'!AH6=0, 999999, 1/'MatrizTradeOff Valor Op-Coste'!AH6))</f>
        <v>999999</v>
      </c>
    </row>
    <row r="7" spans="2:34" ht="17.25" customHeight="1" x14ac:dyDescent="0.25">
      <c r="B7" s="12" t="str">
        <f>VLOOKUP(tblMatrizDistanciasDirectas[[#This Row],[Nodo Orig.\Dest.]],tblNodos[],2,FALSE)</f>
        <v>Financiación mediante coerción y exacción</v>
      </c>
      <c r="C7" s="4" t="s">
        <v>31</v>
      </c>
      <c r="D7" s="98">
        <f>IF($C7=D$3, 0, IF('MatrizTradeOff Valor Op-Coste'!D7=0, 999999, 1/'MatrizTradeOff Valor Op-Coste'!D7))</f>
        <v>999999</v>
      </c>
      <c r="E7" s="98">
        <f>IF($C7=E$3, 0, IF('MatrizTradeOff Valor Op-Coste'!E7=0, 999999, 1/'MatrizTradeOff Valor Op-Coste'!E7))</f>
        <v>999999</v>
      </c>
      <c r="F7" s="98">
        <f>IF($C7=F$3, 0, IF('MatrizTradeOff Valor Op-Coste'!F7=0, 999999, 1/'MatrizTradeOff Valor Op-Coste'!F7))</f>
        <v>999999</v>
      </c>
      <c r="G7" s="98">
        <f>IF($C7=G$3, 0, IF('MatrizTradeOff Valor Op-Coste'!G7=0, 999999, 1/'MatrizTradeOff Valor Op-Coste'!G7))</f>
        <v>0</v>
      </c>
      <c r="H7" s="98">
        <f>IF($C7=H$3, 0, IF('MatrizTradeOff Valor Op-Coste'!H7=0, 999999, 1/'MatrizTradeOff Valor Op-Coste'!H7))</f>
        <v>999999</v>
      </c>
      <c r="I7" s="98">
        <f>IF($C7=I$3, 0, IF('MatrizTradeOff Valor Op-Coste'!I7=0, 999999, 1/'MatrizTradeOff Valor Op-Coste'!I7))</f>
        <v>999999</v>
      </c>
      <c r="J7" s="98">
        <f>IF($C7=J$3, 0, IF('MatrizTradeOff Valor Op-Coste'!J7=0, 999999, 1/'MatrizTradeOff Valor Op-Coste'!J7))</f>
        <v>999999</v>
      </c>
      <c r="K7" s="98">
        <f>IF($C7=K$3, 0, IF('MatrizTradeOff Valor Op-Coste'!K7=0, 999999, 1/'MatrizTradeOff Valor Op-Coste'!K7))</f>
        <v>999999</v>
      </c>
      <c r="L7" s="98">
        <f>IF($C7=L$3, 0, IF('MatrizTradeOff Valor Op-Coste'!L7=0, 999999, 1/'MatrizTradeOff Valor Op-Coste'!L7))</f>
        <v>0.60747663551401876</v>
      </c>
      <c r="M7" s="98">
        <f>IF($C7=M$3, 0, IF('MatrizTradeOff Valor Op-Coste'!M7=0, 999999, 1/'MatrizTradeOff Valor Op-Coste'!M7))</f>
        <v>999999</v>
      </c>
      <c r="N7" s="98">
        <f>IF($C7=N$3, 0, IF('MatrizTradeOff Valor Op-Coste'!N7=0, 999999, 1/'MatrizTradeOff Valor Op-Coste'!N7))</f>
        <v>999999</v>
      </c>
      <c r="O7" s="98">
        <f>IF($C7=O$3, 0, IF('MatrizTradeOff Valor Op-Coste'!O7=0, 999999, 1/'MatrizTradeOff Valor Op-Coste'!O7))</f>
        <v>999999</v>
      </c>
      <c r="P7" s="98">
        <f>IF($C7=P$3, 0, IF('MatrizTradeOff Valor Op-Coste'!P7=0, 999999, 1/'MatrizTradeOff Valor Op-Coste'!P7))</f>
        <v>999999</v>
      </c>
      <c r="Q7" s="98">
        <f>IF($C7=Q$3, 0, IF('MatrizTradeOff Valor Op-Coste'!Q7=0, 999999, 1/'MatrizTradeOff Valor Op-Coste'!Q7))</f>
        <v>999999</v>
      </c>
      <c r="R7" s="98">
        <f>IF($C7=R$3, 0, IF('MatrizTradeOff Valor Op-Coste'!R7=0, 999999, 1/'MatrizTradeOff Valor Op-Coste'!R7))</f>
        <v>999999</v>
      </c>
      <c r="S7" s="98">
        <f>IF($C7=S$3, 0, IF('MatrizTradeOff Valor Op-Coste'!S7=0, 999999, 1/'MatrizTradeOff Valor Op-Coste'!S7))</f>
        <v>999999</v>
      </c>
      <c r="T7" s="98">
        <f>IF($C7=T$3, 0, IF('MatrizTradeOff Valor Op-Coste'!T7=0, 999999, 1/'MatrizTradeOff Valor Op-Coste'!T7))</f>
        <v>999999</v>
      </c>
      <c r="U7" s="98">
        <f>IF($C7=U$3, 0, IF('MatrizTradeOff Valor Op-Coste'!U7=0, 999999, 1/'MatrizTradeOff Valor Op-Coste'!U7))</f>
        <v>999999</v>
      </c>
      <c r="V7" s="98">
        <f>IF($C7=V$3, 0, IF('MatrizTradeOff Valor Op-Coste'!V7=0, 999999, 1/'MatrizTradeOff Valor Op-Coste'!V7))</f>
        <v>999999</v>
      </c>
      <c r="W7" s="98">
        <f>IF($C7=W$3, 0, IF('MatrizTradeOff Valor Op-Coste'!W7=0, 999999, 1/'MatrizTradeOff Valor Op-Coste'!W7))</f>
        <v>999999</v>
      </c>
      <c r="X7" s="98">
        <f>IF($C7=X$3, 0, IF('MatrizTradeOff Valor Op-Coste'!X7=0, 999999, 1/'MatrizTradeOff Valor Op-Coste'!X7))</f>
        <v>999999</v>
      </c>
      <c r="Y7" s="98">
        <f>IF($C7=Y$3, 0, IF('MatrizTradeOff Valor Op-Coste'!Y7=0, 999999, 1/'MatrizTradeOff Valor Op-Coste'!Y7))</f>
        <v>999999</v>
      </c>
      <c r="Z7" s="98">
        <f>IF($C7=Z$3, 0, IF('MatrizTradeOff Valor Op-Coste'!Z7=0, 999999, 1/'MatrizTradeOff Valor Op-Coste'!Z7))</f>
        <v>999999</v>
      </c>
      <c r="AA7" s="98">
        <f>IF($C7=AA$3, 0, IF('MatrizTradeOff Valor Op-Coste'!AA7=0, 999999, 1/'MatrizTradeOff Valor Op-Coste'!AA7))</f>
        <v>999999</v>
      </c>
      <c r="AB7" s="98">
        <f>IF($C7=AB$3, 0, IF('MatrizTradeOff Valor Op-Coste'!AB7=0, 999999, 1/'MatrizTradeOff Valor Op-Coste'!AB7))</f>
        <v>999999</v>
      </c>
      <c r="AC7" s="98">
        <f>IF($C7=AC$3, 0, IF('MatrizTradeOff Valor Op-Coste'!AC7=0, 999999, 1/'MatrizTradeOff Valor Op-Coste'!AC7))</f>
        <v>999999</v>
      </c>
      <c r="AD7" s="98">
        <f>IF($C7=AD$3, 0, IF('MatrizTradeOff Valor Op-Coste'!AD7=0, 999999, 1/'MatrizTradeOff Valor Op-Coste'!AD7))</f>
        <v>999999</v>
      </c>
      <c r="AE7" s="98">
        <f>IF($C7=AE$3, 0, IF('MatrizTradeOff Valor Op-Coste'!AE7=0, 999999, 1/'MatrizTradeOff Valor Op-Coste'!AE7))</f>
        <v>999999</v>
      </c>
      <c r="AF7" s="98">
        <f>IF($C7=AF$3, 0, IF('MatrizTradeOff Valor Op-Coste'!AF7=0, 999999, 1/'MatrizTradeOff Valor Op-Coste'!AF7))</f>
        <v>999999</v>
      </c>
      <c r="AG7" s="98">
        <f>IF($C7=AG$3, 0, IF('MatrizTradeOff Valor Op-Coste'!AG7=0, 999999, 1/'MatrizTradeOff Valor Op-Coste'!AG7))</f>
        <v>999999</v>
      </c>
      <c r="AH7" s="98">
        <f>IF($C7=AH$3, 0, IF('MatrizTradeOff Valor Op-Coste'!AH7=0, 999999, 1/'MatrizTradeOff Valor Op-Coste'!AH7))</f>
        <v>999999</v>
      </c>
    </row>
    <row r="8" spans="2:34" ht="17.25" customHeight="1" x14ac:dyDescent="0.25">
      <c r="B8" s="12" t="str">
        <f>VLOOKUP(tblMatrizDistanciasDirectas[[#This Row],[Nodo Orig.\Dest.]],tblNodos[],2,FALSE)</f>
        <v>Explotación de personas y movilidad forzada</v>
      </c>
      <c r="C8" s="4" t="s">
        <v>33</v>
      </c>
      <c r="D8" s="98">
        <f>IF($C8=D$3, 0, IF('MatrizTradeOff Valor Op-Coste'!D8=0, 999999, 1/'MatrizTradeOff Valor Op-Coste'!D8))</f>
        <v>999999</v>
      </c>
      <c r="E8" s="98">
        <f>IF($C8=E$3, 0, IF('MatrizTradeOff Valor Op-Coste'!E8=0, 999999, 1/'MatrizTradeOff Valor Op-Coste'!E8))</f>
        <v>999999</v>
      </c>
      <c r="F8" s="98">
        <f>IF($C8=F$3, 0, IF('MatrizTradeOff Valor Op-Coste'!F8=0, 999999, 1/'MatrizTradeOff Valor Op-Coste'!F8))</f>
        <v>999999</v>
      </c>
      <c r="G8" s="98">
        <f>IF($C8=G$3, 0, IF('MatrizTradeOff Valor Op-Coste'!G8=0, 999999, 1/'MatrizTradeOff Valor Op-Coste'!G8))</f>
        <v>999999</v>
      </c>
      <c r="H8" s="98">
        <f>IF($C8=H$3, 0, IF('MatrizTradeOff Valor Op-Coste'!H8=0, 999999, 1/'MatrizTradeOff Valor Op-Coste'!H8))</f>
        <v>0</v>
      </c>
      <c r="I8" s="98">
        <f>IF($C8=I$3, 0, IF('MatrizTradeOff Valor Op-Coste'!I8=0, 999999, 1/'MatrizTradeOff Valor Op-Coste'!I8))</f>
        <v>999999</v>
      </c>
      <c r="J8" s="98">
        <f>IF($C8=J$3, 0, IF('MatrizTradeOff Valor Op-Coste'!J8=0, 999999, 1/'MatrizTradeOff Valor Op-Coste'!J8))</f>
        <v>999999</v>
      </c>
      <c r="K8" s="98">
        <f>IF($C8=K$3, 0, IF('MatrizTradeOff Valor Op-Coste'!K8=0, 999999, 1/'MatrizTradeOff Valor Op-Coste'!K8))</f>
        <v>999999</v>
      </c>
      <c r="L8" s="98">
        <f>IF($C8=L$3, 0, IF('MatrizTradeOff Valor Op-Coste'!L8=0, 999999, 1/'MatrizTradeOff Valor Op-Coste'!L8))</f>
        <v>0.47727272727272724</v>
      </c>
      <c r="M8" s="98">
        <f>IF($C8=M$3, 0, IF('MatrizTradeOff Valor Op-Coste'!M8=0, 999999, 1/'MatrizTradeOff Valor Op-Coste'!M8))</f>
        <v>999999</v>
      </c>
      <c r="N8" s="98">
        <f>IF($C8=N$3, 0, IF('MatrizTradeOff Valor Op-Coste'!N8=0, 999999, 1/'MatrizTradeOff Valor Op-Coste'!N8))</f>
        <v>999999</v>
      </c>
      <c r="O8" s="98">
        <f>IF($C8=O$3, 0, IF('MatrizTradeOff Valor Op-Coste'!O8=0, 999999, 1/'MatrizTradeOff Valor Op-Coste'!O8))</f>
        <v>999999</v>
      </c>
      <c r="P8" s="98">
        <f>IF($C8=P$3, 0, IF('MatrizTradeOff Valor Op-Coste'!P8=0, 999999, 1/'MatrizTradeOff Valor Op-Coste'!P8))</f>
        <v>999999</v>
      </c>
      <c r="Q8" s="98">
        <f>IF($C8=Q$3, 0, IF('MatrizTradeOff Valor Op-Coste'!Q8=0, 999999, 1/'MatrizTradeOff Valor Op-Coste'!Q8))</f>
        <v>999999</v>
      </c>
      <c r="R8" s="98">
        <f>IF($C8=R$3, 0, IF('MatrizTradeOff Valor Op-Coste'!R8=0, 999999, 1/'MatrizTradeOff Valor Op-Coste'!R8))</f>
        <v>999999</v>
      </c>
      <c r="S8" s="98">
        <f>IF($C8=S$3, 0, IF('MatrizTradeOff Valor Op-Coste'!S8=0, 999999, 1/'MatrizTradeOff Valor Op-Coste'!S8))</f>
        <v>999999</v>
      </c>
      <c r="T8" s="98">
        <f>IF($C8=T$3, 0, IF('MatrizTradeOff Valor Op-Coste'!T8=0, 999999, 1/'MatrizTradeOff Valor Op-Coste'!T8))</f>
        <v>999999</v>
      </c>
      <c r="U8" s="98">
        <f>IF($C8=U$3, 0, IF('MatrizTradeOff Valor Op-Coste'!U8=0, 999999, 1/'MatrizTradeOff Valor Op-Coste'!U8))</f>
        <v>999999</v>
      </c>
      <c r="V8" s="98">
        <f>IF($C8=V$3, 0, IF('MatrizTradeOff Valor Op-Coste'!V8=0, 999999, 1/'MatrizTradeOff Valor Op-Coste'!V8))</f>
        <v>999999</v>
      </c>
      <c r="W8" s="98">
        <f>IF($C8=W$3, 0, IF('MatrizTradeOff Valor Op-Coste'!W8=0, 999999, 1/'MatrizTradeOff Valor Op-Coste'!W8))</f>
        <v>999999</v>
      </c>
      <c r="X8" s="98">
        <f>IF($C8=X$3, 0, IF('MatrizTradeOff Valor Op-Coste'!X8=0, 999999, 1/'MatrizTradeOff Valor Op-Coste'!X8))</f>
        <v>999999</v>
      </c>
      <c r="Y8" s="98">
        <f>IF($C8=Y$3, 0, IF('MatrizTradeOff Valor Op-Coste'!Y8=0, 999999, 1/'MatrizTradeOff Valor Op-Coste'!Y8))</f>
        <v>999999</v>
      </c>
      <c r="Z8" s="98">
        <f>IF($C8=Z$3, 0, IF('MatrizTradeOff Valor Op-Coste'!Z8=0, 999999, 1/'MatrizTradeOff Valor Op-Coste'!Z8))</f>
        <v>999999</v>
      </c>
      <c r="AA8" s="98">
        <f>IF($C8=AA$3, 0, IF('MatrizTradeOff Valor Op-Coste'!AA8=0, 999999, 1/'MatrizTradeOff Valor Op-Coste'!AA8))</f>
        <v>999999</v>
      </c>
      <c r="AB8" s="98">
        <f>IF($C8=AB$3, 0, IF('MatrizTradeOff Valor Op-Coste'!AB8=0, 999999, 1/'MatrizTradeOff Valor Op-Coste'!AB8))</f>
        <v>999999</v>
      </c>
      <c r="AC8" s="98">
        <f>IF($C8=AC$3, 0, IF('MatrizTradeOff Valor Op-Coste'!AC8=0, 999999, 1/'MatrizTradeOff Valor Op-Coste'!AC8))</f>
        <v>0.25</v>
      </c>
      <c r="AD8" s="98">
        <f>IF($C8=AD$3, 0, IF('MatrizTradeOff Valor Op-Coste'!AD8=0, 999999, 1/'MatrizTradeOff Valor Op-Coste'!AD8))</f>
        <v>999999</v>
      </c>
      <c r="AE8" s="98">
        <f>IF($C8=AE$3, 0, IF('MatrizTradeOff Valor Op-Coste'!AE8=0, 999999, 1/'MatrizTradeOff Valor Op-Coste'!AE8))</f>
        <v>999999</v>
      </c>
      <c r="AF8" s="98">
        <f>IF($C8=AF$3, 0, IF('MatrizTradeOff Valor Op-Coste'!AF8=0, 999999, 1/'MatrizTradeOff Valor Op-Coste'!AF8))</f>
        <v>999999</v>
      </c>
      <c r="AG8" s="98">
        <f>IF($C8=AG$3, 0, IF('MatrizTradeOff Valor Op-Coste'!AG8=0, 999999, 1/'MatrizTradeOff Valor Op-Coste'!AG8))</f>
        <v>999999</v>
      </c>
      <c r="AH8" s="98">
        <f>IF($C8=AH$3, 0, IF('MatrizTradeOff Valor Op-Coste'!AH8=0, 999999, 1/'MatrizTradeOff Valor Op-Coste'!AH8))</f>
        <v>999999</v>
      </c>
    </row>
    <row r="9" spans="2:34" ht="17.25" customHeight="1" x14ac:dyDescent="0.25">
      <c r="B9" s="12" t="str">
        <f>VLOOKUP(tblMatrizDistanciasDirectas[[#This Row],[Nodo Orig.\Dest.]],tblNodos[],2,FALSE)</f>
        <v>Actividades criminales y mercados ilícitos</v>
      </c>
      <c r="C9" s="4" t="s">
        <v>35</v>
      </c>
      <c r="D9" s="98">
        <f>IF($C9=D$3, 0, IF('MatrizTradeOff Valor Op-Coste'!D9=0, 999999, 1/'MatrizTradeOff Valor Op-Coste'!D9))</f>
        <v>999999</v>
      </c>
      <c r="E9" s="98">
        <f>IF($C9=E$3, 0, IF('MatrizTradeOff Valor Op-Coste'!E9=0, 999999, 1/'MatrizTradeOff Valor Op-Coste'!E9))</f>
        <v>999999</v>
      </c>
      <c r="F9" s="98">
        <f>IF($C9=F$3, 0, IF('MatrizTradeOff Valor Op-Coste'!F9=0, 999999, 1/'MatrizTradeOff Valor Op-Coste'!F9))</f>
        <v>999999</v>
      </c>
      <c r="G9" s="98">
        <f>IF($C9=G$3, 0, IF('MatrizTradeOff Valor Op-Coste'!G9=0, 999999, 1/'MatrizTradeOff Valor Op-Coste'!G9))</f>
        <v>999999</v>
      </c>
      <c r="H9" s="98">
        <f>IF($C9=H$3, 0, IF('MatrizTradeOff Valor Op-Coste'!H9=0, 999999, 1/'MatrizTradeOff Valor Op-Coste'!H9))</f>
        <v>999999</v>
      </c>
      <c r="I9" s="98">
        <f>IF($C9=I$3, 0, IF('MatrizTradeOff Valor Op-Coste'!I9=0, 999999, 1/'MatrizTradeOff Valor Op-Coste'!I9))</f>
        <v>0</v>
      </c>
      <c r="J9" s="98">
        <f>IF($C9=J$3, 0, IF('MatrizTradeOff Valor Op-Coste'!J9=0, 999999, 1/'MatrizTradeOff Valor Op-Coste'!J9))</f>
        <v>999999</v>
      </c>
      <c r="K9" s="98">
        <f>IF($C9=K$3, 0, IF('MatrizTradeOff Valor Op-Coste'!K9=0, 999999, 1/'MatrizTradeOff Valor Op-Coste'!K9))</f>
        <v>999999</v>
      </c>
      <c r="L9" s="98">
        <f>IF($C9=L$3, 0, IF('MatrizTradeOff Valor Op-Coste'!L9=0, 999999, 1/'MatrizTradeOff Valor Op-Coste'!L9))</f>
        <v>999999</v>
      </c>
      <c r="M9" s="98">
        <f>IF($C9=M$3, 0, IF('MatrizTradeOff Valor Op-Coste'!M9=0, 999999, 1/'MatrizTradeOff Valor Op-Coste'!M9))</f>
        <v>999999</v>
      </c>
      <c r="N9" s="98">
        <f>IF($C9=N$3, 0, IF('MatrizTradeOff Valor Op-Coste'!N9=0, 999999, 1/'MatrizTradeOff Valor Op-Coste'!N9))</f>
        <v>999999</v>
      </c>
      <c r="O9" s="98">
        <f>IF($C9=O$3, 0, IF('MatrizTradeOff Valor Op-Coste'!O9=0, 999999, 1/'MatrizTradeOff Valor Op-Coste'!O9))</f>
        <v>999999</v>
      </c>
      <c r="P9" s="98">
        <f>IF($C9=P$3, 0, IF('MatrizTradeOff Valor Op-Coste'!P9=0, 999999, 1/'MatrizTradeOff Valor Op-Coste'!P9))</f>
        <v>999999</v>
      </c>
      <c r="Q9" s="98">
        <f>IF($C9=Q$3, 0, IF('MatrizTradeOff Valor Op-Coste'!Q9=0, 999999, 1/'MatrizTradeOff Valor Op-Coste'!Q9))</f>
        <v>999999</v>
      </c>
      <c r="R9" s="98">
        <f>IF($C9=R$3, 0, IF('MatrizTradeOff Valor Op-Coste'!R9=0, 999999, 1/'MatrizTradeOff Valor Op-Coste'!R9))</f>
        <v>999999</v>
      </c>
      <c r="S9" s="98">
        <f>IF($C9=S$3, 0, IF('MatrizTradeOff Valor Op-Coste'!S9=0, 999999, 1/'MatrizTradeOff Valor Op-Coste'!S9))</f>
        <v>999999</v>
      </c>
      <c r="T9" s="98">
        <f>IF($C9=T$3, 0, IF('MatrizTradeOff Valor Op-Coste'!T9=0, 999999, 1/'MatrizTradeOff Valor Op-Coste'!T9))</f>
        <v>999999</v>
      </c>
      <c r="U9" s="98">
        <f>IF($C9=U$3, 0, IF('MatrizTradeOff Valor Op-Coste'!U9=0, 999999, 1/'MatrizTradeOff Valor Op-Coste'!U9))</f>
        <v>999999</v>
      </c>
      <c r="V9" s="98">
        <f>IF($C9=V$3, 0, IF('MatrizTradeOff Valor Op-Coste'!V9=0, 999999, 1/'MatrizTradeOff Valor Op-Coste'!V9))</f>
        <v>999999</v>
      </c>
      <c r="W9" s="98">
        <f>IF($C9=W$3, 0, IF('MatrizTradeOff Valor Op-Coste'!W9=0, 999999, 1/'MatrizTradeOff Valor Op-Coste'!W9))</f>
        <v>999999</v>
      </c>
      <c r="X9" s="98">
        <f>IF($C9=X$3, 0, IF('MatrizTradeOff Valor Op-Coste'!X9=0, 999999, 1/'MatrizTradeOff Valor Op-Coste'!X9))</f>
        <v>999999</v>
      </c>
      <c r="Y9" s="98">
        <f>IF($C9=Y$3, 0, IF('MatrizTradeOff Valor Op-Coste'!Y9=0, 999999, 1/'MatrizTradeOff Valor Op-Coste'!Y9))</f>
        <v>999999</v>
      </c>
      <c r="Z9" s="98">
        <f>IF($C9=Z$3, 0, IF('MatrizTradeOff Valor Op-Coste'!Z9=0, 999999, 1/'MatrizTradeOff Valor Op-Coste'!Z9))</f>
        <v>0.27731092436974791</v>
      </c>
      <c r="AA9" s="98">
        <f>IF($C9=AA$3, 0, IF('MatrizTradeOff Valor Op-Coste'!AA9=0, 999999, 1/'MatrizTradeOff Valor Op-Coste'!AA9))</f>
        <v>999999</v>
      </c>
      <c r="AB9" s="98">
        <f>IF($C9=AB$3, 0, IF('MatrizTradeOff Valor Op-Coste'!AB9=0, 999999, 1/'MatrizTradeOff Valor Op-Coste'!AB9))</f>
        <v>999999</v>
      </c>
      <c r="AC9" s="98">
        <f>IF($C9=AC$3, 0, IF('MatrizTradeOff Valor Op-Coste'!AC9=0, 999999, 1/'MatrizTradeOff Valor Op-Coste'!AC9))</f>
        <v>999999</v>
      </c>
      <c r="AD9" s="98">
        <f>IF($C9=AD$3, 0, IF('MatrizTradeOff Valor Op-Coste'!AD9=0, 999999, 1/'MatrizTradeOff Valor Op-Coste'!AD9))</f>
        <v>999999</v>
      </c>
      <c r="AE9" s="98">
        <f>IF($C9=AE$3, 0, IF('MatrizTradeOff Valor Op-Coste'!AE9=0, 999999, 1/'MatrizTradeOff Valor Op-Coste'!AE9))</f>
        <v>999999</v>
      </c>
      <c r="AF9" s="98">
        <f>IF($C9=AF$3, 0, IF('MatrizTradeOff Valor Op-Coste'!AF9=0, 999999, 1/'MatrizTradeOff Valor Op-Coste'!AF9))</f>
        <v>999999</v>
      </c>
      <c r="AG9" s="98">
        <f>IF($C9=AG$3, 0, IF('MatrizTradeOff Valor Op-Coste'!AG9=0, 999999, 1/'MatrizTradeOff Valor Op-Coste'!AG9))</f>
        <v>999999</v>
      </c>
      <c r="AH9" s="98">
        <f>IF($C9=AH$3, 0, IF('MatrizTradeOff Valor Op-Coste'!AH9=0, 999999, 1/'MatrizTradeOff Valor Op-Coste'!AH9))</f>
        <v>999999</v>
      </c>
    </row>
    <row r="10" spans="2:34" ht="17.25" customHeight="1" x14ac:dyDescent="0.25">
      <c r="B10" s="12" t="str">
        <f>VLOOKUP(tblMatrizDistanciasDirectas[[#This Row],[Nodo Orig.\Dest.]],tblNodos[],2,FALSE)</f>
        <v>Explotación de recursos naturales</v>
      </c>
      <c r="C10" s="4" t="s">
        <v>37</v>
      </c>
      <c r="D10" s="98">
        <f>IF($C10=D$3, 0, IF('MatrizTradeOff Valor Op-Coste'!D10=0, 999999, 1/'MatrizTradeOff Valor Op-Coste'!D10))</f>
        <v>999999</v>
      </c>
      <c r="E10" s="98">
        <f>IF($C10=E$3, 0, IF('MatrizTradeOff Valor Op-Coste'!E10=0, 999999, 1/'MatrizTradeOff Valor Op-Coste'!E10))</f>
        <v>999999</v>
      </c>
      <c r="F10" s="98">
        <f>IF($C10=F$3, 0, IF('MatrizTradeOff Valor Op-Coste'!F10=0, 999999, 1/'MatrizTradeOff Valor Op-Coste'!F10))</f>
        <v>999999</v>
      </c>
      <c r="G10" s="98">
        <f>IF($C10=G$3, 0, IF('MatrizTradeOff Valor Op-Coste'!G10=0, 999999, 1/'MatrizTradeOff Valor Op-Coste'!G10))</f>
        <v>999999</v>
      </c>
      <c r="H10" s="98">
        <f>IF($C10=H$3, 0, IF('MatrizTradeOff Valor Op-Coste'!H10=0, 999999, 1/'MatrizTradeOff Valor Op-Coste'!H10))</f>
        <v>999999</v>
      </c>
      <c r="I10" s="98">
        <f>IF($C10=I$3, 0, IF('MatrizTradeOff Valor Op-Coste'!I10=0, 999999, 1/'MatrizTradeOff Valor Op-Coste'!I10))</f>
        <v>999999</v>
      </c>
      <c r="J10" s="98">
        <f>IF($C10=J$3, 0, IF('MatrizTradeOff Valor Op-Coste'!J10=0, 999999, 1/'MatrizTradeOff Valor Op-Coste'!J10))</f>
        <v>0</v>
      </c>
      <c r="K10" s="98">
        <f>IF($C10=K$3, 0, IF('MatrizTradeOff Valor Op-Coste'!K10=0, 999999, 1/'MatrizTradeOff Valor Op-Coste'!K10))</f>
        <v>999999</v>
      </c>
      <c r="L10" s="98">
        <f>IF($C10=L$3, 0, IF('MatrizTradeOff Valor Op-Coste'!L10=0, 999999, 1/'MatrizTradeOff Valor Op-Coste'!L10))</f>
        <v>0.7142857142857143</v>
      </c>
      <c r="M10" s="98">
        <f>IF($C10=M$3, 0, IF('MatrizTradeOff Valor Op-Coste'!M10=0, 999999, 1/'MatrizTradeOff Valor Op-Coste'!M10))</f>
        <v>999999</v>
      </c>
      <c r="N10" s="98">
        <f>IF($C10=N$3, 0, IF('MatrizTradeOff Valor Op-Coste'!N10=0, 999999, 1/'MatrizTradeOff Valor Op-Coste'!N10))</f>
        <v>999999</v>
      </c>
      <c r="O10" s="98">
        <f>IF($C10=O$3, 0, IF('MatrizTradeOff Valor Op-Coste'!O10=0, 999999, 1/'MatrizTradeOff Valor Op-Coste'!O10))</f>
        <v>999999</v>
      </c>
      <c r="P10" s="98">
        <f>IF($C10=P$3, 0, IF('MatrizTradeOff Valor Op-Coste'!P10=0, 999999, 1/'MatrizTradeOff Valor Op-Coste'!P10))</f>
        <v>999999</v>
      </c>
      <c r="Q10" s="98">
        <f>IF($C10=Q$3, 0, IF('MatrizTradeOff Valor Op-Coste'!Q10=0, 999999, 1/'MatrizTradeOff Valor Op-Coste'!Q10))</f>
        <v>999999</v>
      </c>
      <c r="R10" s="98">
        <f>IF($C10=R$3, 0, IF('MatrizTradeOff Valor Op-Coste'!R10=0, 999999, 1/'MatrizTradeOff Valor Op-Coste'!R10))</f>
        <v>999999</v>
      </c>
      <c r="S10" s="98">
        <f>IF($C10=S$3, 0, IF('MatrizTradeOff Valor Op-Coste'!S10=0, 999999, 1/'MatrizTradeOff Valor Op-Coste'!S10))</f>
        <v>999999</v>
      </c>
      <c r="T10" s="98">
        <f>IF($C10=T$3, 0, IF('MatrizTradeOff Valor Op-Coste'!T10=0, 999999, 1/'MatrizTradeOff Valor Op-Coste'!T10))</f>
        <v>999999</v>
      </c>
      <c r="U10" s="98">
        <f>IF($C10=U$3, 0, IF('MatrizTradeOff Valor Op-Coste'!U10=0, 999999, 1/'MatrizTradeOff Valor Op-Coste'!U10))</f>
        <v>999999</v>
      </c>
      <c r="V10" s="98">
        <f>IF($C10=V$3, 0, IF('MatrizTradeOff Valor Op-Coste'!V10=0, 999999, 1/'MatrizTradeOff Valor Op-Coste'!V10))</f>
        <v>999999</v>
      </c>
      <c r="W10" s="98">
        <f>IF($C10=W$3, 0, IF('MatrizTradeOff Valor Op-Coste'!W10=0, 999999, 1/'MatrizTradeOff Valor Op-Coste'!W10))</f>
        <v>999999</v>
      </c>
      <c r="X10" s="98">
        <f>IF($C10=X$3, 0, IF('MatrizTradeOff Valor Op-Coste'!X10=0, 999999, 1/'MatrizTradeOff Valor Op-Coste'!X10))</f>
        <v>999999</v>
      </c>
      <c r="Y10" s="98">
        <f>IF($C10=Y$3, 0, IF('MatrizTradeOff Valor Op-Coste'!Y10=0, 999999, 1/'MatrizTradeOff Valor Op-Coste'!Y10))</f>
        <v>999999</v>
      </c>
      <c r="Z10" s="98">
        <f>IF($C10=Z$3, 0, IF('MatrizTradeOff Valor Op-Coste'!Z10=0, 999999, 1/'MatrizTradeOff Valor Op-Coste'!Z10))</f>
        <v>0.26315789473684215</v>
      </c>
      <c r="AA10" s="98">
        <f>IF($C10=AA$3, 0, IF('MatrizTradeOff Valor Op-Coste'!AA10=0, 999999, 1/'MatrizTradeOff Valor Op-Coste'!AA10))</f>
        <v>999999</v>
      </c>
      <c r="AB10" s="98">
        <f>IF($C10=AB$3, 0, IF('MatrizTradeOff Valor Op-Coste'!AB10=0, 999999, 1/'MatrizTradeOff Valor Op-Coste'!AB10))</f>
        <v>999999</v>
      </c>
      <c r="AC10" s="98">
        <f>IF($C10=AC$3, 0, IF('MatrizTradeOff Valor Op-Coste'!AC10=0, 999999, 1/'MatrizTradeOff Valor Op-Coste'!AC10))</f>
        <v>999999</v>
      </c>
      <c r="AD10" s="98">
        <f>IF($C10=AD$3, 0, IF('MatrizTradeOff Valor Op-Coste'!AD10=0, 999999, 1/'MatrizTradeOff Valor Op-Coste'!AD10))</f>
        <v>999999</v>
      </c>
      <c r="AE10" s="98">
        <f>IF($C10=AE$3, 0, IF('MatrizTradeOff Valor Op-Coste'!AE10=0, 999999, 1/'MatrizTradeOff Valor Op-Coste'!AE10))</f>
        <v>999999</v>
      </c>
      <c r="AF10" s="98">
        <f>IF($C10=AF$3, 0, IF('MatrizTradeOff Valor Op-Coste'!AF10=0, 999999, 1/'MatrizTradeOff Valor Op-Coste'!AF10))</f>
        <v>999999</v>
      </c>
      <c r="AG10" s="98">
        <f>IF($C10=AG$3, 0, IF('MatrizTradeOff Valor Op-Coste'!AG10=0, 999999, 1/'MatrizTradeOff Valor Op-Coste'!AG10))</f>
        <v>999999</v>
      </c>
      <c r="AH10" s="98">
        <f>IF($C10=AH$3, 0, IF('MatrizTradeOff Valor Op-Coste'!AH10=0, 999999, 1/'MatrizTradeOff Valor Op-Coste'!AH10))</f>
        <v>999999</v>
      </c>
    </row>
    <row r="11" spans="2:34" ht="17.25" customHeight="1" x14ac:dyDescent="0.25">
      <c r="B11" s="12" t="str">
        <f>VLOOKUP(tblMatrizDistanciasDirectas[[#This Row],[Nodo Orig.\Dest.]],tblNodos[],2,FALSE)</f>
        <v>Valor digital</v>
      </c>
      <c r="C11" s="4" t="s">
        <v>39</v>
      </c>
      <c r="D11" s="98">
        <f>IF($C11=D$3, 0, IF('MatrizTradeOff Valor Op-Coste'!D11=0, 999999, 1/'MatrizTradeOff Valor Op-Coste'!D11))</f>
        <v>999999</v>
      </c>
      <c r="E11" s="98">
        <f>IF($C11=E$3, 0, IF('MatrizTradeOff Valor Op-Coste'!E11=0, 999999, 1/'MatrizTradeOff Valor Op-Coste'!E11))</f>
        <v>999999</v>
      </c>
      <c r="F11" s="98">
        <f>IF($C11=F$3, 0, IF('MatrizTradeOff Valor Op-Coste'!F11=0, 999999, 1/'MatrizTradeOff Valor Op-Coste'!F11))</f>
        <v>999999</v>
      </c>
      <c r="G11" s="98">
        <f>IF($C11=G$3, 0, IF('MatrizTradeOff Valor Op-Coste'!G11=0, 999999, 1/'MatrizTradeOff Valor Op-Coste'!G11))</f>
        <v>999999</v>
      </c>
      <c r="H11" s="98">
        <f>IF($C11=H$3, 0, IF('MatrizTradeOff Valor Op-Coste'!H11=0, 999999, 1/'MatrizTradeOff Valor Op-Coste'!H11))</f>
        <v>999999</v>
      </c>
      <c r="I11" s="98">
        <f>IF($C11=I$3, 0, IF('MatrizTradeOff Valor Op-Coste'!I11=0, 999999, 1/'MatrizTradeOff Valor Op-Coste'!I11))</f>
        <v>999999</v>
      </c>
      <c r="J11" s="98">
        <f>IF($C11=J$3, 0, IF('MatrizTradeOff Valor Op-Coste'!J11=0, 999999, 1/'MatrizTradeOff Valor Op-Coste'!J11))</f>
        <v>999999</v>
      </c>
      <c r="K11" s="98">
        <f>IF($C11=K$3, 0, IF('MatrizTradeOff Valor Op-Coste'!K11=0, 999999, 1/'MatrizTradeOff Valor Op-Coste'!K11))</f>
        <v>0</v>
      </c>
      <c r="L11" s="98">
        <f>IF($C11=L$3, 0, IF('MatrizTradeOff Valor Op-Coste'!L11=0, 999999, 1/'MatrizTradeOff Valor Op-Coste'!L11))</f>
        <v>999999</v>
      </c>
      <c r="M11" s="98">
        <f>IF($C11=M$3, 0, IF('MatrizTradeOff Valor Op-Coste'!M11=0, 999999, 1/'MatrizTradeOff Valor Op-Coste'!M11))</f>
        <v>999999</v>
      </c>
      <c r="N11" s="98">
        <f>IF($C11=N$3, 0, IF('MatrizTradeOff Valor Op-Coste'!N11=0, 999999, 1/'MatrizTradeOff Valor Op-Coste'!N11))</f>
        <v>999999</v>
      </c>
      <c r="O11" s="98">
        <f>IF($C11=O$3, 0, IF('MatrizTradeOff Valor Op-Coste'!O11=0, 999999, 1/'MatrizTradeOff Valor Op-Coste'!O11))</f>
        <v>0.54621848739495804</v>
      </c>
      <c r="P11" s="98">
        <f>IF($C11=P$3, 0, IF('MatrizTradeOff Valor Op-Coste'!P11=0, 999999, 1/'MatrizTradeOff Valor Op-Coste'!P11))</f>
        <v>999999</v>
      </c>
      <c r="Q11" s="98">
        <f>IF($C11=Q$3, 0, IF('MatrizTradeOff Valor Op-Coste'!Q11=0, 999999, 1/'MatrizTradeOff Valor Op-Coste'!Q11))</f>
        <v>999999</v>
      </c>
      <c r="R11" s="98">
        <f>IF($C11=R$3, 0, IF('MatrizTradeOff Valor Op-Coste'!R11=0, 999999, 1/'MatrizTradeOff Valor Op-Coste'!R11))</f>
        <v>999999</v>
      </c>
      <c r="S11" s="98">
        <f>IF($C11=S$3, 0, IF('MatrizTradeOff Valor Op-Coste'!S11=0, 999999, 1/'MatrizTradeOff Valor Op-Coste'!S11))</f>
        <v>999999</v>
      </c>
      <c r="T11" s="98">
        <f>IF($C11=T$3, 0, IF('MatrizTradeOff Valor Op-Coste'!T11=0, 999999, 1/'MatrizTradeOff Valor Op-Coste'!T11))</f>
        <v>999999</v>
      </c>
      <c r="U11" s="98">
        <f>IF($C11=U$3, 0, IF('MatrizTradeOff Valor Op-Coste'!U11=0, 999999, 1/'MatrizTradeOff Valor Op-Coste'!U11))</f>
        <v>999999</v>
      </c>
      <c r="V11" s="98">
        <f>IF($C11=V$3, 0, IF('MatrizTradeOff Valor Op-Coste'!V11=0, 999999, 1/'MatrizTradeOff Valor Op-Coste'!V11))</f>
        <v>999999</v>
      </c>
      <c r="W11" s="98">
        <f>IF($C11=W$3, 0, IF('MatrizTradeOff Valor Op-Coste'!W11=0, 999999, 1/'MatrizTradeOff Valor Op-Coste'!W11))</f>
        <v>999999</v>
      </c>
      <c r="X11" s="98">
        <f>IF($C11=X$3, 0, IF('MatrizTradeOff Valor Op-Coste'!X11=0, 999999, 1/'MatrizTradeOff Valor Op-Coste'!X11))</f>
        <v>0.45454545454545453</v>
      </c>
      <c r="Y11" s="98">
        <f>IF($C11=Y$3, 0, IF('MatrizTradeOff Valor Op-Coste'!Y11=0, 999999, 1/'MatrizTradeOff Valor Op-Coste'!Y11))</f>
        <v>999999</v>
      </c>
      <c r="Z11" s="98">
        <f>IF($C11=Z$3, 0, IF('MatrizTradeOff Valor Op-Coste'!Z11=0, 999999, 1/'MatrizTradeOff Valor Op-Coste'!Z11))</f>
        <v>999999</v>
      </c>
      <c r="AA11" s="98">
        <f>IF($C11=AA$3, 0, IF('MatrizTradeOff Valor Op-Coste'!AA11=0, 999999, 1/'MatrizTradeOff Valor Op-Coste'!AA11))</f>
        <v>999999</v>
      </c>
      <c r="AB11" s="98">
        <f>IF($C11=AB$3, 0, IF('MatrizTradeOff Valor Op-Coste'!AB11=0, 999999, 1/'MatrizTradeOff Valor Op-Coste'!AB11))</f>
        <v>999999</v>
      </c>
      <c r="AC11" s="98">
        <f>IF($C11=AC$3, 0, IF('MatrizTradeOff Valor Op-Coste'!AC11=0, 999999, 1/'MatrizTradeOff Valor Op-Coste'!AC11))</f>
        <v>999999</v>
      </c>
      <c r="AD11" s="98">
        <f>IF($C11=AD$3, 0, IF('MatrizTradeOff Valor Op-Coste'!AD11=0, 999999, 1/'MatrizTradeOff Valor Op-Coste'!AD11))</f>
        <v>999999</v>
      </c>
      <c r="AE11" s="98">
        <f>IF($C11=AE$3, 0, IF('MatrizTradeOff Valor Op-Coste'!AE11=0, 999999, 1/'MatrizTradeOff Valor Op-Coste'!AE11))</f>
        <v>999999</v>
      </c>
      <c r="AF11" s="98">
        <f>IF($C11=AF$3, 0, IF('MatrizTradeOff Valor Op-Coste'!AF11=0, 999999, 1/'MatrizTradeOff Valor Op-Coste'!AF11))</f>
        <v>999999</v>
      </c>
      <c r="AG11" s="98">
        <f>IF($C11=AG$3, 0, IF('MatrizTradeOff Valor Op-Coste'!AG11=0, 999999, 1/'MatrizTradeOff Valor Op-Coste'!AG11))</f>
        <v>999999</v>
      </c>
      <c r="AH11" s="98">
        <f>IF($C11=AH$3, 0, IF('MatrizTradeOff Valor Op-Coste'!AH11=0, 999999, 1/'MatrizTradeOff Valor Op-Coste'!AH11))</f>
        <v>999999</v>
      </c>
    </row>
    <row r="12" spans="2:34" ht="17.25" customHeight="1" x14ac:dyDescent="0.25">
      <c r="B12" s="12" t="str">
        <f>VLOOKUP(tblMatrizDistanciasDirectas[[#This Row],[Nodo Orig.\Dest.]],tblNodos[],2,FALSE)</f>
        <v>Recaudación directa</v>
      </c>
      <c r="C12" s="4" t="s">
        <v>41</v>
      </c>
      <c r="D12" s="98">
        <f>IF($C12=D$3, 0, IF('MatrizTradeOff Valor Op-Coste'!D12=0, 999999, 1/'MatrizTradeOff Valor Op-Coste'!D12))</f>
        <v>999999</v>
      </c>
      <c r="E12" s="98">
        <f>IF($C12=E$3, 0, IF('MatrizTradeOff Valor Op-Coste'!E12=0, 999999, 1/'MatrizTradeOff Valor Op-Coste'!E12))</f>
        <v>999999</v>
      </c>
      <c r="F12" s="98">
        <f>IF($C12=F$3, 0, IF('MatrizTradeOff Valor Op-Coste'!F12=0, 999999, 1/'MatrizTradeOff Valor Op-Coste'!F12))</f>
        <v>999999</v>
      </c>
      <c r="G12" s="98">
        <f>IF($C12=G$3, 0, IF('MatrizTradeOff Valor Op-Coste'!G12=0, 999999, 1/'MatrizTradeOff Valor Op-Coste'!G12))</f>
        <v>999999</v>
      </c>
      <c r="H12" s="98">
        <f>IF($C12=H$3, 0, IF('MatrizTradeOff Valor Op-Coste'!H12=0, 999999, 1/'MatrizTradeOff Valor Op-Coste'!H12))</f>
        <v>999999</v>
      </c>
      <c r="I12" s="98">
        <f>IF($C12=I$3, 0, IF('MatrizTradeOff Valor Op-Coste'!I12=0, 999999, 1/'MatrizTradeOff Valor Op-Coste'!I12))</f>
        <v>999999</v>
      </c>
      <c r="J12" s="98">
        <f>IF($C12=J$3, 0, IF('MatrizTradeOff Valor Op-Coste'!J12=0, 999999, 1/'MatrizTradeOff Valor Op-Coste'!J12))</f>
        <v>999999</v>
      </c>
      <c r="K12" s="98">
        <f>IF($C12=K$3, 0, IF('MatrizTradeOff Valor Op-Coste'!K12=0, 999999, 1/'MatrizTradeOff Valor Op-Coste'!K12))</f>
        <v>999999</v>
      </c>
      <c r="L12" s="98">
        <f>IF($C12=L$3, 0, IF('MatrizTradeOff Valor Op-Coste'!L12=0, 999999, 1/'MatrizTradeOff Valor Op-Coste'!L12))</f>
        <v>0</v>
      </c>
      <c r="M12" s="98">
        <f>IF($C12=M$3, 0, IF('MatrizTradeOff Valor Op-Coste'!M12=0, 999999, 1/'MatrizTradeOff Valor Op-Coste'!M12))</f>
        <v>999999</v>
      </c>
      <c r="N12" s="98">
        <f>IF($C12=N$3, 0, IF('MatrizTradeOff Valor Op-Coste'!N12=0, 999999, 1/'MatrizTradeOff Valor Op-Coste'!N12))</f>
        <v>999999</v>
      </c>
      <c r="O12" s="98">
        <f>IF($C12=O$3, 0, IF('MatrizTradeOff Valor Op-Coste'!O12=0, 999999, 1/'MatrizTradeOff Valor Op-Coste'!O12))</f>
        <v>999999</v>
      </c>
      <c r="P12" s="98">
        <f>IF($C12=P$3, 0, IF('MatrizTradeOff Valor Op-Coste'!P12=0, 999999, 1/'MatrizTradeOff Valor Op-Coste'!P12))</f>
        <v>999999</v>
      </c>
      <c r="Q12" s="98">
        <f>IF($C12=Q$3, 0, IF('MatrizTradeOff Valor Op-Coste'!Q12=0, 999999, 1/'MatrizTradeOff Valor Op-Coste'!Q12))</f>
        <v>999999</v>
      </c>
      <c r="R12" s="98">
        <f>IF($C12=R$3, 0, IF('MatrizTradeOff Valor Op-Coste'!R12=0, 999999, 1/'MatrizTradeOff Valor Op-Coste'!R12))</f>
        <v>0.47572815533980584</v>
      </c>
      <c r="S12" s="98">
        <f>IF($C12=S$3, 0, IF('MatrizTradeOff Valor Op-Coste'!S12=0, 999999, 1/'MatrizTradeOff Valor Op-Coste'!S12))</f>
        <v>999999</v>
      </c>
      <c r="T12" s="98">
        <f>IF($C12=T$3, 0, IF('MatrizTradeOff Valor Op-Coste'!T12=0, 999999, 1/'MatrizTradeOff Valor Op-Coste'!T12))</f>
        <v>999999</v>
      </c>
      <c r="U12" s="98">
        <f>IF($C12=U$3, 0, IF('MatrizTradeOff Valor Op-Coste'!U12=0, 999999, 1/'MatrizTradeOff Valor Op-Coste'!U12))</f>
        <v>999999</v>
      </c>
      <c r="V12" s="98">
        <f>IF($C12=V$3, 0, IF('MatrizTradeOff Valor Op-Coste'!V12=0, 999999, 1/'MatrizTradeOff Valor Op-Coste'!V12))</f>
        <v>999999</v>
      </c>
      <c r="W12" s="98">
        <f>IF($C12=W$3, 0, IF('MatrizTradeOff Valor Op-Coste'!W12=0, 999999, 1/'MatrizTradeOff Valor Op-Coste'!W12))</f>
        <v>999999</v>
      </c>
      <c r="X12" s="98">
        <f>IF($C12=X$3, 0, IF('MatrizTradeOff Valor Op-Coste'!X12=0, 999999, 1/'MatrizTradeOff Valor Op-Coste'!X12))</f>
        <v>999999</v>
      </c>
      <c r="Y12" s="98">
        <f>IF($C12=Y$3, 0, IF('MatrizTradeOff Valor Op-Coste'!Y12=0, 999999, 1/'MatrizTradeOff Valor Op-Coste'!Y12))</f>
        <v>999999</v>
      </c>
      <c r="Z12" s="98">
        <f>IF($C12=Z$3, 0, IF('MatrizTradeOff Valor Op-Coste'!Z12=0, 999999, 1/'MatrizTradeOff Valor Op-Coste'!Z12))</f>
        <v>999999</v>
      </c>
      <c r="AA12" s="98">
        <f>IF($C12=AA$3, 0, IF('MatrizTradeOff Valor Op-Coste'!AA12=0, 999999, 1/'MatrizTradeOff Valor Op-Coste'!AA12))</f>
        <v>999999</v>
      </c>
      <c r="AB12" s="98">
        <f>IF($C12=AB$3, 0, IF('MatrizTradeOff Valor Op-Coste'!AB12=0, 999999, 1/'MatrizTradeOff Valor Op-Coste'!AB12))</f>
        <v>999999</v>
      </c>
      <c r="AC12" s="98">
        <f>IF($C12=AC$3, 0, IF('MatrizTradeOff Valor Op-Coste'!AC12=0, 999999, 1/'MatrizTradeOff Valor Op-Coste'!AC12))</f>
        <v>999999</v>
      </c>
      <c r="AD12" s="98">
        <f>IF($C12=AD$3, 0, IF('MatrizTradeOff Valor Op-Coste'!AD12=0, 999999, 1/'MatrizTradeOff Valor Op-Coste'!AD12))</f>
        <v>0.57251908396946571</v>
      </c>
      <c r="AE12" s="98">
        <f>IF($C12=AE$3, 0, IF('MatrizTradeOff Valor Op-Coste'!AE12=0, 999999, 1/'MatrizTradeOff Valor Op-Coste'!AE12))</f>
        <v>999999</v>
      </c>
      <c r="AF12" s="98">
        <f>IF($C12=AF$3, 0, IF('MatrizTradeOff Valor Op-Coste'!AF12=0, 999999, 1/'MatrizTradeOff Valor Op-Coste'!AF12))</f>
        <v>999999</v>
      </c>
      <c r="AG12" s="98">
        <f>IF($C12=AG$3, 0, IF('MatrizTradeOff Valor Op-Coste'!AG12=0, 999999, 1/'MatrizTradeOff Valor Op-Coste'!AG12))</f>
        <v>999999</v>
      </c>
      <c r="AH12" s="98">
        <f>IF($C12=AH$3, 0, IF('MatrizTradeOff Valor Op-Coste'!AH12=0, 999999, 1/'MatrizTradeOff Valor Op-Coste'!AH12))</f>
        <v>999999</v>
      </c>
    </row>
    <row r="13" spans="2:34" ht="17.25" customHeight="1" x14ac:dyDescent="0.25">
      <c r="B13" s="12" t="str">
        <f>VLOOKUP(tblMatrizDistanciasDirectas[[#This Row],[Nodo Orig.\Dest.]],tblNodos[],2,FALSE)</f>
        <v>Agregadores de fondos</v>
      </c>
      <c r="C13" s="4" t="s">
        <v>43</v>
      </c>
      <c r="D13" s="98">
        <f>IF($C13=D$3, 0, IF('MatrizTradeOff Valor Op-Coste'!D13=0, 999999, 1/'MatrizTradeOff Valor Op-Coste'!D13))</f>
        <v>999999</v>
      </c>
      <c r="E13" s="98">
        <f>IF($C13=E$3, 0, IF('MatrizTradeOff Valor Op-Coste'!E13=0, 999999, 1/'MatrizTradeOff Valor Op-Coste'!E13))</f>
        <v>999999</v>
      </c>
      <c r="F13" s="98">
        <f>IF($C13=F$3, 0, IF('MatrizTradeOff Valor Op-Coste'!F13=0, 999999, 1/'MatrizTradeOff Valor Op-Coste'!F13))</f>
        <v>999999</v>
      </c>
      <c r="G13" s="98">
        <f>IF($C13=G$3, 0, IF('MatrizTradeOff Valor Op-Coste'!G13=0, 999999, 1/'MatrizTradeOff Valor Op-Coste'!G13))</f>
        <v>999999</v>
      </c>
      <c r="H13" s="98">
        <f>IF($C13=H$3, 0, IF('MatrizTradeOff Valor Op-Coste'!H13=0, 999999, 1/'MatrizTradeOff Valor Op-Coste'!H13))</f>
        <v>999999</v>
      </c>
      <c r="I13" s="98">
        <f>IF($C13=I$3, 0, IF('MatrizTradeOff Valor Op-Coste'!I13=0, 999999, 1/'MatrizTradeOff Valor Op-Coste'!I13))</f>
        <v>999999</v>
      </c>
      <c r="J13" s="98">
        <f>IF($C13=J$3, 0, IF('MatrizTradeOff Valor Op-Coste'!J13=0, 999999, 1/'MatrizTradeOff Valor Op-Coste'!J13))</f>
        <v>999999</v>
      </c>
      <c r="K13" s="98">
        <f>IF($C13=K$3, 0, IF('MatrizTradeOff Valor Op-Coste'!K13=0, 999999, 1/'MatrizTradeOff Valor Op-Coste'!K13))</f>
        <v>999999</v>
      </c>
      <c r="L13" s="98">
        <f>IF($C13=L$3, 0, IF('MatrizTradeOff Valor Op-Coste'!L13=0, 999999, 1/'MatrizTradeOff Valor Op-Coste'!L13))</f>
        <v>999999</v>
      </c>
      <c r="M13" s="98">
        <f>IF($C13=M$3, 0, IF('MatrizTradeOff Valor Op-Coste'!M13=0, 999999, 1/'MatrizTradeOff Valor Op-Coste'!M13))</f>
        <v>0</v>
      </c>
      <c r="N13" s="98">
        <f>IF($C13=N$3, 0, IF('MatrizTradeOff Valor Op-Coste'!N13=0, 999999, 1/'MatrizTradeOff Valor Op-Coste'!N13))</f>
        <v>999999</v>
      </c>
      <c r="O13" s="98">
        <f>IF($C13=O$3, 0, IF('MatrizTradeOff Valor Op-Coste'!O13=0, 999999, 1/'MatrizTradeOff Valor Op-Coste'!O13))</f>
        <v>999999</v>
      </c>
      <c r="P13" s="98">
        <f>IF($C13=P$3, 0, IF('MatrizTradeOff Valor Op-Coste'!P13=0, 999999, 1/'MatrizTradeOff Valor Op-Coste'!P13))</f>
        <v>999999</v>
      </c>
      <c r="Q13" s="98">
        <f>IF($C13=Q$3, 0, IF('MatrizTradeOff Valor Op-Coste'!Q13=0, 999999, 1/'MatrizTradeOff Valor Op-Coste'!Q13))</f>
        <v>999999</v>
      </c>
      <c r="R13" s="98">
        <f>IF($C13=R$3, 0, IF('MatrizTradeOff Valor Op-Coste'!R13=0, 999999, 1/'MatrizTradeOff Valor Op-Coste'!R13))</f>
        <v>999999</v>
      </c>
      <c r="S13" s="98">
        <f>IF($C13=S$3, 0, IF('MatrizTradeOff Valor Op-Coste'!S13=0, 999999, 1/'MatrizTradeOff Valor Op-Coste'!S13))</f>
        <v>0.7142857142857143</v>
      </c>
      <c r="T13" s="98">
        <f>IF($C13=T$3, 0, IF('MatrizTradeOff Valor Op-Coste'!T13=0, 999999, 1/'MatrizTradeOff Valor Op-Coste'!T13))</f>
        <v>0.44444444444444442</v>
      </c>
      <c r="U13" s="98">
        <f>IF($C13=U$3, 0, IF('MatrizTradeOff Valor Op-Coste'!U13=0, 999999, 1/'MatrizTradeOff Valor Op-Coste'!U13))</f>
        <v>999999</v>
      </c>
      <c r="V13" s="98">
        <f>IF($C13=V$3, 0, IF('MatrizTradeOff Valor Op-Coste'!V13=0, 999999, 1/'MatrizTradeOff Valor Op-Coste'!V13))</f>
        <v>999999</v>
      </c>
      <c r="W13" s="98">
        <f>IF($C13=W$3, 0, IF('MatrizTradeOff Valor Op-Coste'!W13=0, 999999, 1/'MatrizTradeOff Valor Op-Coste'!W13))</f>
        <v>999999</v>
      </c>
      <c r="X13" s="98">
        <f>IF($C13=X$3, 0, IF('MatrizTradeOff Valor Op-Coste'!X13=0, 999999, 1/'MatrizTradeOff Valor Op-Coste'!X13))</f>
        <v>0.43065693430656926</v>
      </c>
      <c r="Y13" s="98">
        <f>IF($C13=Y$3, 0, IF('MatrizTradeOff Valor Op-Coste'!Y13=0, 999999, 1/'MatrizTradeOff Valor Op-Coste'!Y13))</f>
        <v>999999</v>
      </c>
      <c r="Z13" s="98">
        <f>IF($C13=Z$3, 0, IF('MatrizTradeOff Valor Op-Coste'!Z13=0, 999999, 1/'MatrizTradeOff Valor Op-Coste'!Z13))</f>
        <v>999999</v>
      </c>
      <c r="AA13" s="98">
        <f>IF($C13=AA$3, 0, IF('MatrizTradeOff Valor Op-Coste'!AA13=0, 999999, 1/'MatrizTradeOff Valor Op-Coste'!AA13))</f>
        <v>999999</v>
      </c>
      <c r="AB13" s="98">
        <f>IF($C13=AB$3, 0, IF('MatrizTradeOff Valor Op-Coste'!AB13=0, 999999, 1/'MatrizTradeOff Valor Op-Coste'!AB13))</f>
        <v>0.46341463414634143</v>
      </c>
      <c r="AC13" s="98">
        <f>IF($C13=AC$3, 0, IF('MatrizTradeOff Valor Op-Coste'!AC13=0, 999999, 1/'MatrizTradeOff Valor Op-Coste'!AC13))</f>
        <v>999999</v>
      </c>
      <c r="AD13" s="98">
        <f>IF($C13=AD$3, 0, IF('MatrizTradeOff Valor Op-Coste'!AD13=0, 999999, 1/'MatrizTradeOff Valor Op-Coste'!AD13))</f>
        <v>999999</v>
      </c>
      <c r="AE13" s="98">
        <f>IF($C13=AE$3, 0, IF('MatrizTradeOff Valor Op-Coste'!AE13=0, 999999, 1/'MatrizTradeOff Valor Op-Coste'!AE13))</f>
        <v>999999</v>
      </c>
      <c r="AF13" s="98">
        <f>IF($C13=AF$3, 0, IF('MatrizTradeOff Valor Op-Coste'!AF13=0, 999999, 1/'MatrizTradeOff Valor Op-Coste'!AF13))</f>
        <v>999999</v>
      </c>
      <c r="AG13" s="98">
        <f>IF($C13=AG$3, 0, IF('MatrizTradeOff Valor Op-Coste'!AG13=0, 999999, 1/'MatrizTradeOff Valor Op-Coste'!AG13))</f>
        <v>999999</v>
      </c>
      <c r="AH13" s="98">
        <f>IF($C13=AH$3, 0, IF('MatrizTradeOff Valor Op-Coste'!AH13=0, 999999, 1/'MatrizTradeOff Valor Op-Coste'!AH13))</f>
        <v>999999</v>
      </c>
    </row>
    <row r="14" spans="2:34" ht="17.25" customHeight="1" x14ac:dyDescent="0.25">
      <c r="B14" s="12" t="str">
        <f>VLOOKUP(tblMatrizDistanciasDirectas[[#This Row],[Nodo Orig.\Dest.]],tblNodos[],2,FALSE)</f>
        <v>Estructuras organizadas de captación</v>
      </c>
      <c r="C14" s="4" t="s">
        <v>45</v>
      </c>
      <c r="D14" s="98">
        <f>IF($C14=D$3, 0, IF('MatrizTradeOff Valor Op-Coste'!D14=0, 999999, 1/'MatrizTradeOff Valor Op-Coste'!D14))</f>
        <v>999999</v>
      </c>
      <c r="E14" s="98">
        <f>IF($C14=E$3, 0, IF('MatrizTradeOff Valor Op-Coste'!E14=0, 999999, 1/'MatrizTradeOff Valor Op-Coste'!E14))</f>
        <v>999999</v>
      </c>
      <c r="F14" s="98">
        <f>IF($C14=F$3, 0, IF('MatrizTradeOff Valor Op-Coste'!F14=0, 999999, 1/'MatrizTradeOff Valor Op-Coste'!F14))</f>
        <v>999999</v>
      </c>
      <c r="G14" s="98">
        <f>IF($C14=G$3, 0, IF('MatrizTradeOff Valor Op-Coste'!G14=0, 999999, 1/'MatrizTradeOff Valor Op-Coste'!G14))</f>
        <v>999999</v>
      </c>
      <c r="H14" s="98">
        <f>IF($C14=H$3, 0, IF('MatrizTradeOff Valor Op-Coste'!H14=0, 999999, 1/'MatrizTradeOff Valor Op-Coste'!H14))</f>
        <v>999999</v>
      </c>
      <c r="I14" s="98">
        <f>IF($C14=I$3, 0, IF('MatrizTradeOff Valor Op-Coste'!I14=0, 999999, 1/'MatrizTradeOff Valor Op-Coste'!I14))</f>
        <v>999999</v>
      </c>
      <c r="J14" s="98">
        <f>IF($C14=J$3, 0, IF('MatrizTradeOff Valor Op-Coste'!J14=0, 999999, 1/'MatrizTradeOff Valor Op-Coste'!J14))</f>
        <v>999999</v>
      </c>
      <c r="K14" s="98">
        <f>IF($C14=K$3, 0, IF('MatrizTradeOff Valor Op-Coste'!K14=0, 999999, 1/'MatrizTradeOff Valor Op-Coste'!K14))</f>
        <v>999999</v>
      </c>
      <c r="L14" s="98">
        <f>IF($C14=L$3, 0, IF('MatrizTradeOff Valor Op-Coste'!L14=0, 999999, 1/'MatrizTradeOff Valor Op-Coste'!L14))</f>
        <v>999999</v>
      </c>
      <c r="M14" s="98">
        <f>IF($C14=M$3, 0, IF('MatrizTradeOff Valor Op-Coste'!M14=0, 999999, 1/'MatrizTradeOff Valor Op-Coste'!M14))</f>
        <v>999999</v>
      </c>
      <c r="N14" s="98">
        <f>IF($C14=N$3, 0, IF('MatrizTradeOff Valor Op-Coste'!N14=0, 999999, 1/'MatrizTradeOff Valor Op-Coste'!N14))</f>
        <v>0</v>
      </c>
      <c r="O14" s="98">
        <f>IF($C14=O$3, 0, IF('MatrizTradeOff Valor Op-Coste'!O14=0, 999999, 1/'MatrizTradeOff Valor Op-Coste'!O14))</f>
        <v>999999</v>
      </c>
      <c r="P14" s="98">
        <f>IF($C14=P$3, 0, IF('MatrizTradeOff Valor Op-Coste'!P14=0, 999999, 1/'MatrizTradeOff Valor Op-Coste'!P14))</f>
        <v>999999</v>
      </c>
      <c r="Q14" s="98">
        <f>IF($C14=Q$3, 0, IF('MatrizTradeOff Valor Op-Coste'!Q14=0, 999999, 1/'MatrizTradeOff Valor Op-Coste'!Q14))</f>
        <v>999999</v>
      </c>
      <c r="R14" s="98">
        <f>IF($C14=R$3, 0, IF('MatrizTradeOff Valor Op-Coste'!R14=0, 999999, 1/'MatrizTradeOff Valor Op-Coste'!R14))</f>
        <v>999999</v>
      </c>
      <c r="S14" s="98">
        <f>IF($C14=S$3, 0, IF('MatrizTradeOff Valor Op-Coste'!S14=0, 999999, 1/'MatrizTradeOff Valor Op-Coste'!S14))</f>
        <v>0.7021276595744681</v>
      </c>
      <c r="T14" s="98">
        <f>IF($C14=T$3, 0, IF('MatrizTradeOff Valor Op-Coste'!T14=0, 999999, 1/'MatrizTradeOff Valor Op-Coste'!T14))</f>
        <v>999999</v>
      </c>
      <c r="U14" s="98">
        <f>IF($C14=U$3, 0, IF('MatrizTradeOff Valor Op-Coste'!U14=0, 999999, 1/'MatrizTradeOff Valor Op-Coste'!U14))</f>
        <v>999999</v>
      </c>
      <c r="V14" s="98">
        <f>IF($C14=V$3, 0, IF('MatrizTradeOff Valor Op-Coste'!V14=0, 999999, 1/'MatrizTradeOff Valor Op-Coste'!V14))</f>
        <v>999999</v>
      </c>
      <c r="W14" s="98">
        <f>IF($C14=W$3, 0, IF('MatrizTradeOff Valor Op-Coste'!W14=0, 999999, 1/'MatrizTradeOff Valor Op-Coste'!W14))</f>
        <v>0.56886227544910184</v>
      </c>
      <c r="X14" s="98">
        <f>IF($C14=X$3, 0, IF('MatrizTradeOff Valor Op-Coste'!X14=0, 999999, 1/'MatrizTradeOff Valor Op-Coste'!X14))</f>
        <v>999999</v>
      </c>
      <c r="Y14" s="98">
        <f>IF($C14=Y$3, 0, IF('MatrizTradeOff Valor Op-Coste'!Y14=0, 999999, 1/'MatrizTradeOff Valor Op-Coste'!Y14))</f>
        <v>999999</v>
      </c>
      <c r="Z14" s="98">
        <f>IF($C14=Z$3, 0, IF('MatrizTradeOff Valor Op-Coste'!Z14=0, 999999, 1/'MatrizTradeOff Valor Op-Coste'!Z14))</f>
        <v>999999</v>
      </c>
      <c r="AA14" s="98">
        <f>IF($C14=AA$3, 0, IF('MatrizTradeOff Valor Op-Coste'!AA14=0, 999999, 1/'MatrizTradeOff Valor Op-Coste'!AA14))</f>
        <v>999999</v>
      </c>
      <c r="AB14" s="98">
        <f>IF($C14=AB$3, 0, IF('MatrizTradeOff Valor Op-Coste'!AB14=0, 999999, 1/'MatrizTradeOff Valor Op-Coste'!AB14))</f>
        <v>999999</v>
      </c>
      <c r="AC14" s="98">
        <f>IF($C14=AC$3, 0, IF('MatrizTradeOff Valor Op-Coste'!AC14=0, 999999, 1/'MatrizTradeOff Valor Op-Coste'!AC14))</f>
        <v>999999</v>
      </c>
      <c r="AD14" s="98">
        <f>IF($C14=AD$3, 0, IF('MatrizTradeOff Valor Op-Coste'!AD14=0, 999999, 1/'MatrizTradeOff Valor Op-Coste'!AD14))</f>
        <v>999999</v>
      </c>
      <c r="AE14" s="98">
        <f>IF($C14=AE$3, 0, IF('MatrizTradeOff Valor Op-Coste'!AE14=0, 999999, 1/'MatrizTradeOff Valor Op-Coste'!AE14))</f>
        <v>999999</v>
      </c>
      <c r="AF14" s="98">
        <f>IF($C14=AF$3, 0, IF('MatrizTradeOff Valor Op-Coste'!AF14=0, 999999, 1/'MatrizTradeOff Valor Op-Coste'!AF14))</f>
        <v>999999</v>
      </c>
      <c r="AG14" s="98">
        <f>IF($C14=AG$3, 0, IF('MatrizTradeOff Valor Op-Coste'!AG14=0, 999999, 1/'MatrizTradeOff Valor Op-Coste'!AG14))</f>
        <v>0.55555555555555558</v>
      </c>
      <c r="AH14" s="98">
        <f>IF($C14=AH$3, 0, IF('MatrizTradeOff Valor Op-Coste'!AH14=0, 999999, 1/'MatrizTradeOff Valor Op-Coste'!AH14))</f>
        <v>999999</v>
      </c>
    </row>
    <row r="15" spans="2:34" ht="17.25" customHeight="1" x14ac:dyDescent="0.25">
      <c r="B15" s="12" t="str">
        <f>VLOOKUP(tblMatrizDistanciasDirectas[[#This Row],[Nodo Orig.\Dest.]],tblNodos[],2,FALSE)</f>
        <v>Colectores digitales instrumentales</v>
      </c>
      <c r="C15" s="4" t="s">
        <v>47</v>
      </c>
      <c r="D15" s="98">
        <f>IF($C15=D$3, 0, IF('MatrizTradeOff Valor Op-Coste'!D15=0, 999999, 1/'MatrizTradeOff Valor Op-Coste'!D15))</f>
        <v>999999</v>
      </c>
      <c r="E15" s="98">
        <f>IF($C15=E$3, 0, IF('MatrizTradeOff Valor Op-Coste'!E15=0, 999999, 1/'MatrizTradeOff Valor Op-Coste'!E15))</f>
        <v>999999</v>
      </c>
      <c r="F15" s="98">
        <f>IF($C15=F$3, 0, IF('MatrizTradeOff Valor Op-Coste'!F15=0, 999999, 1/'MatrizTradeOff Valor Op-Coste'!F15))</f>
        <v>999999</v>
      </c>
      <c r="G15" s="98">
        <f>IF($C15=G$3, 0, IF('MatrizTradeOff Valor Op-Coste'!G15=0, 999999, 1/'MatrizTradeOff Valor Op-Coste'!G15))</f>
        <v>999999</v>
      </c>
      <c r="H15" s="98">
        <f>IF($C15=H$3, 0, IF('MatrizTradeOff Valor Op-Coste'!H15=0, 999999, 1/'MatrizTradeOff Valor Op-Coste'!H15))</f>
        <v>999999</v>
      </c>
      <c r="I15" s="98">
        <f>IF($C15=I$3, 0, IF('MatrizTradeOff Valor Op-Coste'!I15=0, 999999, 1/'MatrizTradeOff Valor Op-Coste'!I15))</f>
        <v>999999</v>
      </c>
      <c r="J15" s="98">
        <f>IF($C15=J$3, 0, IF('MatrizTradeOff Valor Op-Coste'!J15=0, 999999, 1/'MatrizTradeOff Valor Op-Coste'!J15))</f>
        <v>999999</v>
      </c>
      <c r="K15" s="98">
        <f>IF($C15=K$3, 0, IF('MatrizTradeOff Valor Op-Coste'!K15=0, 999999, 1/'MatrizTradeOff Valor Op-Coste'!K15))</f>
        <v>999999</v>
      </c>
      <c r="L15" s="98">
        <f>IF($C15=L$3, 0, IF('MatrizTradeOff Valor Op-Coste'!L15=0, 999999, 1/'MatrizTradeOff Valor Op-Coste'!L15))</f>
        <v>999999</v>
      </c>
      <c r="M15" s="98">
        <f>IF($C15=M$3, 0, IF('MatrizTradeOff Valor Op-Coste'!M15=0, 999999, 1/'MatrizTradeOff Valor Op-Coste'!M15))</f>
        <v>999999</v>
      </c>
      <c r="N15" s="98">
        <f>IF($C15=N$3, 0, IF('MatrizTradeOff Valor Op-Coste'!N15=0, 999999, 1/'MatrizTradeOff Valor Op-Coste'!N15))</f>
        <v>999999</v>
      </c>
      <c r="O15" s="98">
        <f>IF($C15=O$3, 0, IF('MatrizTradeOff Valor Op-Coste'!O15=0, 999999, 1/'MatrizTradeOff Valor Op-Coste'!O15))</f>
        <v>0</v>
      </c>
      <c r="P15" s="98">
        <f>IF($C15=P$3, 0, IF('MatrizTradeOff Valor Op-Coste'!P15=0, 999999, 1/'MatrizTradeOff Valor Op-Coste'!P15))</f>
        <v>999999</v>
      </c>
      <c r="Q15" s="98">
        <f>IF($C15=Q$3, 0, IF('MatrizTradeOff Valor Op-Coste'!Q15=0, 999999, 1/'MatrizTradeOff Valor Op-Coste'!Q15))</f>
        <v>999999</v>
      </c>
      <c r="R15" s="98">
        <f>IF($C15=R$3, 0, IF('MatrizTradeOff Valor Op-Coste'!R15=0, 999999, 1/'MatrizTradeOff Valor Op-Coste'!R15))</f>
        <v>999999</v>
      </c>
      <c r="S15" s="98">
        <f>IF($C15=S$3, 0, IF('MatrizTradeOff Valor Op-Coste'!S15=0, 999999, 1/'MatrizTradeOff Valor Op-Coste'!S15))</f>
        <v>999999</v>
      </c>
      <c r="T15" s="98">
        <f>IF($C15=T$3, 0, IF('MatrizTradeOff Valor Op-Coste'!T15=0, 999999, 1/'MatrizTradeOff Valor Op-Coste'!T15))</f>
        <v>999999</v>
      </c>
      <c r="U15" s="98">
        <f>IF($C15=U$3, 0, IF('MatrizTradeOff Valor Op-Coste'!U15=0, 999999, 1/'MatrizTradeOff Valor Op-Coste'!U15))</f>
        <v>999999</v>
      </c>
      <c r="V15" s="98">
        <f>IF($C15=V$3, 0, IF('MatrizTradeOff Valor Op-Coste'!V15=0, 999999, 1/'MatrizTradeOff Valor Op-Coste'!V15))</f>
        <v>999999</v>
      </c>
      <c r="W15" s="98">
        <f>IF($C15=W$3, 0, IF('MatrizTradeOff Valor Op-Coste'!W15=0, 999999, 1/'MatrizTradeOff Valor Op-Coste'!W15))</f>
        <v>0.57788944723618096</v>
      </c>
      <c r="X15" s="98">
        <f>IF($C15=X$3, 0, IF('MatrizTradeOff Valor Op-Coste'!X15=0, 999999, 1/'MatrizTradeOff Valor Op-Coste'!X15))</f>
        <v>0.43478260869565222</v>
      </c>
      <c r="Y15" s="98">
        <f>IF($C15=Y$3, 0, IF('MatrizTradeOff Valor Op-Coste'!Y15=0, 999999, 1/'MatrizTradeOff Valor Op-Coste'!Y15))</f>
        <v>999999</v>
      </c>
      <c r="Z15" s="98">
        <f>IF($C15=Z$3, 0, IF('MatrizTradeOff Valor Op-Coste'!Z15=0, 999999, 1/'MatrizTradeOff Valor Op-Coste'!Z15))</f>
        <v>999999</v>
      </c>
      <c r="AA15" s="98">
        <f>IF($C15=AA$3, 0, IF('MatrizTradeOff Valor Op-Coste'!AA15=0, 999999, 1/'MatrizTradeOff Valor Op-Coste'!AA15))</f>
        <v>999999</v>
      </c>
      <c r="AB15" s="98">
        <f>IF($C15=AB$3, 0, IF('MatrizTradeOff Valor Op-Coste'!AB15=0, 999999, 1/'MatrizTradeOff Valor Op-Coste'!AB15))</f>
        <v>999999</v>
      </c>
      <c r="AC15" s="98">
        <f>IF($C15=AC$3, 0, IF('MatrizTradeOff Valor Op-Coste'!AC15=0, 999999, 1/'MatrizTradeOff Valor Op-Coste'!AC15))</f>
        <v>999999</v>
      </c>
      <c r="AD15" s="98">
        <f>IF($C15=AD$3, 0, IF('MatrizTradeOff Valor Op-Coste'!AD15=0, 999999, 1/'MatrizTradeOff Valor Op-Coste'!AD15))</f>
        <v>999999</v>
      </c>
      <c r="AE15" s="98">
        <f>IF($C15=AE$3, 0, IF('MatrizTradeOff Valor Op-Coste'!AE15=0, 999999, 1/'MatrizTradeOff Valor Op-Coste'!AE15))</f>
        <v>999999</v>
      </c>
      <c r="AF15" s="98">
        <f>IF($C15=AF$3, 0, IF('MatrizTradeOff Valor Op-Coste'!AF15=0, 999999, 1/'MatrizTradeOff Valor Op-Coste'!AF15))</f>
        <v>999999</v>
      </c>
      <c r="AG15" s="98">
        <f>IF($C15=AG$3, 0, IF('MatrizTradeOff Valor Op-Coste'!AG15=0, 999999, 1/'MatrizTradeOff Valor Op-Coste'!AG15))</f>
        <v>0.54621848739495793</v>
      </c>
      <c r="AH15" s="98">
        <f>IF($C15=AH$3, 0, IF('MatrizTradeOff Valor Op-Coste'!AH15=0, 999999, 1/'MatrizTradeOff Valor Op-Coste'!AH15))</f>
        <v>999999</v>
      </c>
    </row>
    <row r="16" spans="2:34" ht="17.25" customHeight="1" x14ac:dyDescent="0.25">
      <c r="B16" s="12" t="str">
        <f>VLOOKUP(tblMatrizDistanciasDirectas[[#This Row],[Nodo Orig.\Dest.]],tblNodos[],2,FALSE)</f>
        <v>Colectores empresariales y vehiculares</v>
      </c>
      <c r="C16" s="4" t="s">
        <v>49</v>
      </c>
      <c r="D16" s="98">
        <f>IF($C16=D$3, 0, IF('MatrizTradeOff Valor Op-Coste'!D16=0, 999999, 1/'MatrizTradeOff Valor Op-Coste'!D16))</f>
        <v>999999</v>
      </c>
      <c r="E16" s="98">
        <f>IF($C16=E$3, 0, IF('MatrizTradeOff Valor Op-Coste'!E16=0, 999999, 1/'MatrizTradeOff Valor Op-Coste'!E16))</f>
        <v>999999</v>
      </c>
      <c r="F16" s="98">
        <f>IF($C16=F$3, 0, IF('MatrizTradeOff Valor Op-Coste'!F16=0, 999999, 1/'MatrizTradeOff Valor Op-Coste'!F16))</f>
        <v>999999</v>
      </c>
      <c r="G16" s="98">
        <f>IF($C16=G$3, 0, IF('MatrizTradeOff Valor Op-Coste'!G16=0, 999999, 1/'MatrizTradeOff Valor Op-Coste'!G16))</f>
        <v>999999</v>
      </c>
      <c r="H16" s="98">
        <f>IF($C16=H$3, 0, IF('MatrizTradeOff Valor Op-Coste'!H16=0, 999999, 1/'MatrizTradeOff Valor Op-Coste'!H16))</f>
        <v>999999</v>
      </c>
      <c r="I16" s="98">
        <f>IF($C16=I$3, 0, IF('MatrizTradeOff Valor Op-Coste'!I16=0, 999999, 1/'MatrizTradeOff Valor Op-Coste'!I16))</f>
        <v>999999</v>
      </c>
      <c r="J16" s="98">
        <f>IF($C16=J$3, 0, IF('MatrizTradeOff Valor Op-Coste'!J16=0, 999999, 1/'MatrizTradeOff Valor Op-Coste'!J16))</f>
        <v>999999</v>
      </c>
      <c r="K16" s="98">
        <f>IF($C16=K$3, 0, IF('MatrizTradeOff Valor Op-Coste'!K16=0, 999999, 1/'MatrizTradeOff Valor Op-Coste'!K16))</f>
        <v>999999</v>
      </c>
      <c r="L16" s="98">
        <f>IF($C16=L$3, 0, IF('MatrizTradeOff Valor Op-Coste'!L16=0, 999999, 1/'MatrizTradeOff Valor Op-Coste'!L16))</f>
        <v>999999</v>
      </c>
      <c r="M16" s="98">
        <f>IF($C16=M$3, 0, IF('MatrizTradeOff Valor Op-Coste'!M16=0, 999999, 1/'MatrizTradeOff Valor Op-Coste'!M16))</f>
        <v>999999</v>
      </c>
      <c r="N16" s="98">
        <f>IF($C16=N$3, 0, IF('MatrizTradeOff Valor Op-Coste'!N16=0, 999999, 1/'MatrizTradeOff Valor Op-Coste'!N16))</f>
        <v>999999</v>
      </c>
      <c r="O16" s="98">
        <f>IF($C16=O$3, 0, IF('MatrizTradeOff Valor Op-Coste'!O16=0, 999999, 1/'MatrizTradeOff Valor Op-Coste'!O16))</f>
        <v>999999</v>
      </c>
      <c r="P16" s="98">
        <f>IF($C16=P$3, 0, IF('MatrizTradeOff Valor Op-Coste'!P16=0, 999999, 1/'MatrizTradeOff Valor Op-Coste'!P16))</f>
        <v>0</v>
      </c>
      <c r="Q16" s="98">
        <f>IF($C16=Q$3, 0, IF('MatrizTradeOff Valor Op-Coste'!Q16=0, 999999, 1/'MatrizTradeOff Valor Op-Coste'!Q16))</f>
        <v>999999</v>
      </c>
      <c r="R16" s="98">
        <f>IF($C16=R$3, 0, IF('MatrizTradeOff Valor Op-Coste'!R16=0, 999999, 1/'MatrizTradeOff Valor Op-Coste'!R16))</f>
        <v>999999</v>
      </c>
      <c r="S16" s="98">
        <f>IF($C16=S$3, 0, IF('MatrizTradeOff Valor Op-Coste'!S16=0, 999999, 1/'MatrizTradeOff Valor Op-Coste'!S16))</f>
        <v>999999</v>
      </c>
      <c r="T16" s="98">
        <f>IF($C16=T$3, 0, IF('MatrizTradeOff Valor Op-Coste'!T16=0, 999999, 1/'MatrizTradeOff Valor Op-Coste'!T16))</f>
        <v>999999</v>
      </c>
      <c r="U16" s="98">
        <f>IF($C16=U$3, 0, IF('MatrizTradeOff Valor Op-Coste'!U16=0, 999999, 1/'MatrizTradeOff Valor Op-Coste'!U16))</f>
        <v>999999</v>
      </c>
      <c r="V16" s="98">
        <f>IF($C16=V$3, 0, IF('MatrizTradeOff Valor Op-Coste'!V16=0, 999999, 1/'MatrizTradeOff Valor Op-Coste'!V16))</f>
        <v>0.39130434782608697</v>
      </c>
      <c r="W16" s="98">
        <f>IF($C16=W$3, 0, IF('MatrizTradeOff Valor Op-Coste'!W16=0, 999999, 1/'MatrizTradeOff Valor Op-Coste'!W16))</f>
        <v>0.5725190839694656</v>
      </c>
      <c r="X16" s="98">
        <f>IF($C16=X$3, 0, IF('MatrizTradeOff Valor Op-Coste'!X16=0, 999999, 1/'MatrizTradeOff Valor Op-Coste'!X16))</f>
        <v>999999</v>
      </c>
      <c r="Y16" s="98">
        <f>IF($C16=Y$3, 0, IF('MatrizTradeOff Valor Op-Coste'!Y16=0, 999999, 1/'MatrizTradeOff Valor Op-Coste'!Y16))</f>
        <v>0.42424242424242414</v>
      </c>
      <c r="Z16" s="98">
        <f>IF($C16=Z$3, 0, IF('MatrizTradeOff Valor Op-Coste'!Z16=0, 999999, 1/'MatrizTradeOff Valor Op-Coste'!Z16))</f>
        <v>999999</v>
      </c>
      <c r="AA16" s="98">
        <f>IF($C16=AA$3, 0, IF('MatrizTradeOff Valor Op-Coste'!AA16=0, 999999, 1/'MatrizTradeOff Valor Op-Coste'!AA16))</f>
        <v>999999</v>
      </c>
      <c r="AB16" s="98">
        <f>IF($C16=AB$3, 0, IF('MatrizTradeOff Valor Op-Coste'!AB16=0, 999999, 1/'MatrizTradeOff Valor Op-Coste'!AB16))</f>
        <v>0.46341463414634143</v>
      </c>
      <c r="AC16" s="98">
        <f>IF($C16=AC$3, 0, IF('MatrizTradeOff Valor Op-Coste'!AC16=0, 999999, 1/'MatrizTradeOff Valor Op-Coste'!AC16))</f>
        <v>999999</v>
      </c>
      <c r="AD16" s="98">
        <f>IF($C16=AD$3, 0, IF('MatrizTradeOff Valor Op-Coste'!AD16=0, 999999, 1/'MatrizTradeOff Valor Op-Coste'!AD16))</f>
        <v>999999</v>
      </c>
      <c r="AE16" s="98">
        <f>IF($C16=AE$3, 0, IF('MatrizTradeOff Valor Op-Coste'!AE16=0, 999999, 1/'MatrizTradeOff Valor Op-Coste'!AE16))</f>
        <v>999999</v>
      </c>
      <c r="AF16" s="98">
        <f>IF($C16=AF$3, 0, IF('MatrizTradeOff Valor Op-Coste'!AF16=0, 999999, 1/'MatrizTradeOff Valor Op-Coste'!AF16))</f>
        <v>999999</v>
      </c>
      <c r="AG16" s="98">
        <f>IF($C16=AG$3, 0, IF('MatrizTradeOff Valor Op-Coste'!AG16=0, 999999, 1/'MatrizTradeOff Valor Op-Coste'!AG16))</f>
        <v>999999</v>
      </c>
      <c r="AH16" s="98">
        <f>IF($C16=AH$3, 0, IF('MatrizTradeOff Valor Op-Coste'!AH16=0, 999999, 1/'MatrizTradeOff Valor Op-Coste'!AH16))</f>
        <v>999999</v>
      </c>
    </row>
    <row r="17" spans="2:34" ht="17.25" customHeight="1" x14ac:dyDescent="0.25">
      <c r="B17" s="12" t="str">
        <f>VLOOKUP(tblMatrizDistanciasDirectas[[#This Row],[Nodo Orig.\Dest.]],tblNodos[],2,FALSE)</f>
        <v>Colectores instrumentales / de ocultación</v>
      </c>
      <c r="C17" s="4" t="s">
        <v>51</v>
      </c>
      <c r="D17" s="98">
        <f>IF($C17=D$3, 0, IF('MatrizTradeOff Valor Op-Coste'!D17=0, 999999, 1/'MatrizTradeOff Valor Op-Coste'!D17))</f>
        <v>999999</v>
      </c>
      <c r="E17" s="98">
        <f>IF($C17=E$3, 0, IF('MatrizTradeOff Valor Op-Coste'!E17=0, 999999, 1/'MatrizTradeOff Valor Op-Coste'!E17))</f>
        <v>999999</v>
      </c>
      <c r="F17" s="98">
        <f>IF($C17=F$3, 0, IF('MatrizTradeOff Valor Op-Coste'!F17=0, 999999, 1/'MatrizTradeOff Valor Op-Coste'!F17))</f>
        <v>999999</v>
      </c>
      <c r="G17" s="98">
        <f>IF($C17=G$3, 0, IF('MatrizTradeOff Valor Op-Coste'!G17=0, 999999, 1/'MatrizTradeOff Valor Op-Coste'!G17))</f>
        <v>999999</v>
      </c>
      <c r="H17" s="98">
        <f>IF($C17=H$3, 0, IF('MatrizTradeOff Valor Op-Coste'!H17=0, 999999, 1/'MatrizTradeOff Valor Op-Coste'!H17))</f>
        <v>999999</v>
      </c>
      <c r="I17" s="98">
        <f>IF($C17=I$3, 0, IF('MatrizTradeOff Valor Op-Coste'!I17=0, 999999, 1/'MatrizTradeOff Valor Op-Coste'!I17))</f>
        <v>999999</v>
      </c>
      <c r="J17" s="98">
        <f>IF($C17=J$3, 0, IF('MatrizTradeOff Valor Op-Coste'!J17=0, 999999, 1/'MatrizTradeOff Valor Op-Coste'!J17))</f>
        <v>999999</v>
      </c>
      <c r="K17" s="98">
        <f>IF($C17=K$3, 0, IF('MatrizTradeOff Valor Op-Coste'!K17=0, 999999, 1/'MatrizTradeOff Valor Op-Coste'!K17))</f>
        <v>999999</v>
      </c>
      <c r="L17" s="98">
        <f>IF($C17=L$3, 0, IF('MatrizTradeOff Valor Op-Coste'!L17=0, 999999, 1/'MatrizTradeOff Valor Op-Coste'!L17))</f>
        <v>999999</v>
      </c>
      <c r="M17" s="98">
        <f>IF($C17=M$3, 0, IF('MatrizTradeOff Valor Op-Coste'!M17=0, 999999, 1/'MatrizTradeOff Valor Op-Coste'!M17))</f>
        <v>999999</v>
      </c>
      <c r="N17" s="98">
        <f>IF($C17=N$3, 0, IF('MatrizTradeOff Valor Op-Coste'!N17=0, 999999, 1/'MatrizTradeOff Valor Op-Coste'!N17))</f>
        <v>999999</v>
      </c>
      <c r="O17" s="98">
        <f>IF($C17=O$3, 0, IF('MatrizTradeOff Valor Op-Coste'!O17=0, 999999, 1/'MatrizTradeOff Valor Op-Coste'!O17))</f>
        <v>999999</v>
      </c>
      <c r="P17" s="98">
        <f>IF($C17=P$3, 0, IF('MatrizTradeOff Valor Op-Coste'!P17=0, 999999, 1/'MatrizTradeOff Valor Op-Coste'!P17))</f>
        <v>999999</v>
      </c>
      <c r="Q17" s="98">
        <f>IF($C17=Q$3, 0, IF('MatrizTradeOff Valor Op-Coste'!Q17=0, 999999, 1/'MatrizTradeOff Valor Op-Coste'!Q17))</f>
        <v>0</v>
      </c>
      <c r="R17" s="98">
        <f>IF($C17=R$3, 0, IF('MatrizTradeOff Valor Op-Coste'!R17=0, 999999, 1/'MatrizTradeOff Valor Op-Coste'!R17))</f>
        <v>999999</v>
      </c>
      <c r="S17" s="98">
        <f>IF($C17=S$3, 0, IF('MatrizTradeOff Valor Op-Coste'!S17=0, 999999, 1/'MatrizTradeOff Valor Op-Coste'!S17))</f>
        <v>999999</v>
      </c>
      <c r="T17" s="98">
        <f>IF($C17=T$3, 0, IF('MatrizTradeOff Valor Op-Coste'!T17=0, 999999, 1/'MatrizTradeOff Valor Op-Coste'!T17))</f>
        <v>0.44444444444444442</v>
      </c>
      <c r="U17" s="98">
        <f>IF($C17=U$3, 0, IF('MatrizTradeOff Valor Op-Coste'!U17=0, 999999, 1/'MatrizTradeOff Valor Op-Coste'!U17))</f>
        <v>999999</v>
      </c>
      <c r="V17" s="98">
        <f>IF($C17=V$3, 0, IF('MatrizTradeOff Valor Op-Coste'!V17=0, 999999, 1/'MatrizTradeOff Valor Op-Coste'!V17))</f>
        <v>0.39130434782608697</v>
      </c>
      <c r="W17" s="98">
        <f>IF($C17=W$3, 0, IF('MatrizTradeOff Valor Op-Coste'!W17=0, 999999, 1/'MatrizTradeOff Valor Op-Coste'!W17))</f>
        <v>0.55555555555555558</v>
      </c>
      <c r="X17" s="98">
        <f>IF($C17=X$3, 0, IF('MatrizTradeOff Valor Op-Coste'!X17=0, 999999, 1/'MatrizTradeOff Valor Op-Coste'!X17))</f>
        <v>999999</v>
      </c>
      <c r="Y17" s="98">
        <f>IF($C17=Y$3, 0, IF('MatrizTradeOff Valor Op-Coste'!Y17=0, 999999, 1/'MatrizTradeOff Valor Op-Coste'!Y17))</f>
        <v>999999</v>
      </c>
      <c r="Z17" s="98">
        <f>IF($C17=Z$3, 0, IF('MatrizTradeOff Valor Op-Coste'!Z17=0, 999999, 1/'MatrizTradeOff Valor Op-Coste'!Z17))</f>
        <v>999999</v>
      </c>
      <c r="AA17" s="98">
        <f>IF($C17=AA$3, 0, IF('MatrizTradeOff Valor Op-Coste'!AA17=0, 999999, 1/'MatrizTradeOff Valor Op-Coste'!AA17))</f>
        <v>0.35</v>
      </c>
      <c r="AB17" s="98">
        <f>IF($C17=AB$3, 0, IF('MatrizTradeOff Valor Op-Coste'!AB17=0, 999999, 1/'MatrizTradeOff Valor Op-Coste'!AB17))</f>
        <v>999999</v>
      </c>
      <c r="AC17" s="98">
        <f>IF($C17=AC$3, 0, IF('MatrizTradeOff Valor Op-Coste'!AC17=0, 999999, 1/'MatrizTradeOff Valor Op-Coste'!AC17))</f>
        <v>999999</v>
      </c>
      <c r="AD17" s="98">
        <f>IF($C17=AD$3, 0, IF('MatrizTradeOff Valor Op-Coste'!AD17=0, 999999, 1/'MatrizTradeOff Valor Op-Coste'!AD17))</f>
        <v>999999</v>
      </c>
      <c r="AE17" s="98">
        <f>IF($C17=AE$3, 0, IF('MatrizTradeOff Valor Op-Coste'!AE17=0, 999999, 1/'MatrizTradeOff Valor Op-Coste'!AE17))</f>
        <v>999999</v>
      </c>
      <c r="AF17" s="98">
        <f>IF($C17=AF$3, 0, IF('MatrizTradeOff Valor Op-Coste'!AF17=0, 999999, 1/'MatrizTradeOff Valor Op-Coste'!AF17))</f>
        <v>999999</v>
      </c>
      <c r="AG17" s="98">
        <f>IF($C17=AG$3, 0, IF('MatrizTradeOff Valor Op-Coste'!AG17=0, 999999, 1/'MatrizTradeOff Valor Op-Coste'!AG17))</f>
        <v>999999</v>
      </c>
      <c r="AH17" s="98">
        <f>IF($C17=AH$3, 0, IF('MatrizTradeOff Valor Op-Coste'!AH17=0, 999999, 1/'MatrizTradeOff Valor Op-Coste'!AH17))</f>
        <v>999999</v>
      </c>
    </row>
    <row r="18" spans="2:34" ht="17.25" customHeight="1" x14ac:dyDescent="0.25">
      <c r="B18" s="12" t="str">
        <f>VLOOKUP(tblMatrizDistanciasDirectas[[#This Row],[Nodo Orig.\Dest.]],tblNodos[],2,FALSE)</f>
        <v>Intermediarios físicos de transporte de valor</v>
      </c>
      <c r="C18" s="4" t="s">
        <v>53</v>
      </c>
      <c r="D18" s="98">
        <f>IF($C18=D$3, 0, IF('MatrizTradeOff Valor Op-Coste'!D18=0, 999999, 1/'MatrizTradeOff Valor Op-Coste'!D18))</f>
        <v>999999</v>
      </c>
      <c r="E18" s="98">
        <f>IF($C18=E$3, 0, IF('MatrizTradeOff Valor Op-Coste'!E18=0, 999999, 1/'MatrizTradeOff Valor Op-Coste'!E18))</f>
        <v>999999</v>
      </c>
      <c r="F18" s="98">
        <f>IF($C18=F$3, 0, IF('MatrizTradeOff Valor Op-Coste'!F18=0, 999999, 1/'MatrizTradeOff Valor Op-Coste'!F18))</f>
        <v>999999</v>
      </c>
      <c r="G18" s="98">
        <f>IF($C18=G$3, 0, IF('MatrizTradeOff Valor Op-Coste'!G18=0, 999999, 1/'MatrizTradeOff Valor Op-Coste'!G18))</f>
        <v>999999</v>
      </c>
      <c r="H18" s="98">
        <f>IF($C18=H$3, 0, IF('MatrizTradeOff Valor Op-Coste'!H18=0, 999999, 1/'MatrizTradeOff Valor Op-Coste'!H18))</f>
        <v>999999</v>
      </c>
      <c r="I18" s="98">
        <f>IF($C18=I$3, 0, IF('MatrizTradeOff Valor Op-Coste'!I18=0, 999999, 1/'MatrizTradeOff Valor Op-Coste'!I18))</f>
        <v>999999</v>
      </c>
      <c r="J18" s="98">
        <f>IF($C18=J$3, 0, IF('MatrizTradeOff Valor Op-Coste'!J18=0, 999999, 1/'MatrizTradeOff Valor Op-Coste'!J18))</f>
        <v>999999</v>
      </c>
      <c r="K18" s="98">
        <f>IF($C18=K$3, 0, IF('MatrizTradeOff Valor Op-Coste'!K18=0, 999999, 1/'MatrizTradeOff Valor Op-Coste'!K18))</f>
        <v>999999</v>
      </c>
      <c r="L18" s="98">
        <f>IF($C18=L$3, 0, IF('MatrizTradeOff Valor Op-Coste'!L18=0, 999999, 1/'MatrizTradeOff Valor Op-Coste'!L18))</f>
        <v>999999</v>
      </c>
      <c r="M18" s="98">
        <f>IF($C18=M$3, 0, IF('MatrizTradeOff Valor Op-Coste'!M18=0, 999999, 1/'MatrizTradeOff Valor Op-Coste'!M18))</f>
        <v>999999</v>
      </c>
      <c r="N18" s="98">
        <f>IF($C18=N$3, 0, IF('MatrizTradeOff Valor Op-Coste'!N18=0, 999999, 1/'MatrizTradeOff Valor Op-Coste'!N18))</f>
        <v>999999</v>
      </c>
      <c r="O18" s="98">
        <f>IF($C18=O$3, 0, IF('MatrizTradeOff Valor Op-Coste'!O18=0, 999999, 1/'MatrizTradeOff Valor Op-Coste'!O18))</f>
        <v>999999</v>
      </c>
      <c r="P18" s="98">
        <f>IF($C18=P$3, 0, IF('MatrizTradeOff Valor Op-Coste'!P18=0, 999999, 1/'MatrizTradeOff Valor Op-Coste'!P18))</f>
        <v>999999</v>
      </c>
      <c r="Q18" s="98">
        <f>IF($C18=Q$3, 0, IF('MatrizTradeOff Valor Op-Coste'!Q18=0, 999999, 1/'MatrizTradeOff Valor Op-Coste'!Q18))</f>
        <v>999999</v>
      </c>
      <c r="R18" s="98">
        <f>IF($C18=R$3, 0, IF('MatrizTradeOff Valor Op-Coste'!R18=0, 999999, 1/'MatrizTradeOff Valor Op-Coste'!R18))</f>
        <v>0</v>
      </c>
      <c r="S18" s="98">
        <f>IF($C18=S$3, 0, IF('MatrizTradeOff Valor Op-Coste'!S18=0, 999999, 1/'MatrizTradeOff Valor Op-Coste'!S18))</f>
        <v>999999</v>
      </c>
      <c r="T18" s="98">
        <f>IF($C18=T$3, 0, IF('MatrizTradeOff Valor Op-Coste'!T18=0, 999999, 1/'MatrizTradeOff Valor Op-Coste'!T18))</f>
        <v>999999</v>
      </c>
      <c r="U18" s="98">
        <f>IF($C18=U$3, 0, IF('MatrizTradeOff Valor Op-Coste'!U18=0, 999999, 1/'MatrizTradeOff Valor Op-Coste'!U18))</f>
        <v>999999</v>
      </c>
      <c r="V18" s="98">
        <f>IF($C18=V$3, 0, IF('MatrizTradeOff Valor Op-Coste'!V18=0, 999999, 1/'MatrizTradeOff Valor Op-Coste'!V18))</f>
        <v>999999</v>
      </c>
      <c r="W18" s="98">
        <f>IF($C18=W$3, 0, IF('MatrizTradeOff Valor Op-Coste'!W18=0, 999999, 1/'MatrizTradeOff Valor Op-Coste'!W18))</f>
        <v>999999</v>
      </c>
      <c r="X18" s="98">
        <f>IF($C18=X$3, 0, IF('MatrizTradeOff Valor Op-Coste'!X18=0, 999999, 1/'MatrizTradeOff Valor Op-Coste'!X18))</f>
        <v>999999</v>
      </c>
      <c r="Y18" s="98">
        <f>IF($C18=Y$3, 0, IF('MatrizTradeOff Valor Op-Coste'!Y18=0, 999999, 1/'MatrizTradeOff Valor Op-Coste'!Y18))</f>
        <v>999999</v>
      </c>
      <c r="Z18" s="98">
        <f>IF($C18=Z$3, 0, IF('MatrizTradeOff Valor Op-Coste'!Z18=0, 999999, 1/'MatrizTradeOff Valor Op-Coste'!Z18))</f>
        <v>999999</v>
      </c>
      <c r="AA18" s="98">
        <f>IF($C18=AA$3, 0, IF('MatrizTradeOff Valor Op-Coste'!AA18=0, 999999, 1/'MatrizTradeOff Valor Op-Coste'!AA18))</f>
        <v>999999</v>
      </c>
      <c r="AB18" s="98">
        <f>IF($C18=AB$3, 0, IF('MatrizTradeOff Valor Op-Coste'!AB18=0, 999999, 1/'MatrizTradeOff Valor Op-Coste'!AB18))</f>
        <v>999999</v>
      </c>
      <c r="AC18" s="98">
        <f>IF($C18=AC$3, 0, IF('MatrizTradeOff Valor Op-Coste'!AC18=0, 999999, 1/'MatrizTradeOff Valor Op-Coste'!AC18))</f>
        <v>999999</v>
      </c>
      <c r="AD18" s="98">
        <f>IF($C18=AD$3, 0, IF('MatrizTradeOff Valor Op-Coste'!AD18=0, 999999, 1/'MatrizTradeOff Valor Op-Coste'!AD18))</f>
        <v>0.41233766233766234</v>
      </c>
      <c r="AE18" s="98">
        <f>IF($C18=AE$3, 0, IF('MatrizTradeOff Valor Op-Coste'!AE18=0, 999999, 1/'MatrizTradeOff Valor Op-Coste'!AE18))</f>
        <v>0.33333333333333331</v>
      </c>
      <c r="AF18" s="98">
        <f>IF($C18=AF$3, 0, IF('MatrizTradeOff Valor Op-Coste'!AF18=0, 999999, 1/'MatrizTradeOff Valor Op-Coste'!AF18))</f>
        <v>999999</v>
      </c>
      <c r="AG18" s="98">
        <f>IF($C18=AG$3, 0, IF('MatrizTradeOff Valor Op-Coste'!AG18=0, 999999, 1/'MatrizTradeOff Valor Op-Coste'!AG18))</f>
        <v>999999</v>
      </c>
      <c r="AH18" s="98">
        <f>IF($C18=AH$3, 0, IF('MatrizTradeOff Valor Op-Coste'!AH18=0, 999999, 1/'MatrizTradeOff Valor Op-Coste'!AH18))</f>
        <v>999999</v>
      </c>
    </row>
    <row r="19" spans="2:34" ht="17.25" customHeight="1" x14ac:dyDescent="0.25">
      <c r="B19" s="12" t="str">
        <f>VLOOKUP(tblMatrizDistanciasDirectas[[#This Row],[Nodo Orig.\Dest.]],tblNodos[],2,FALSE)</f>
        <v>Intermediarios informales y paralelos</v>
      </c>
      <c r="C19" s="4" t="s">
        <v>55</v>
      </c>
      <c r="D19" s="98">
        <f>IF($C19=D$3, 0, IF('MatrizTradeOff Valor Op-Coste'!D19=0, 999999, 1/'MatrizTradeOff Valor Op-Coste'!D19))</f>
        <v>999999</v>
      </c>
      <c r="E19" s="98">
        <f>IF($C19=E$3, 0, IF('MatrizTradeOff Valor Op-Coste'!E19=0, 999999, 1/'MatrizTradeOff Valor Op-Coste'!E19))</f>
        <v>999999</v>
      </c>
      <c r="F19" s="98">
        <f>IF($C19=F$3, 0, IF('MatrizTradeOff Valor Op-Coste'!F19=0, 999999, 1/'MatrizTradeOff Valor Op-Coste'!F19))</f>
        <v>999999</v>
      </c>
      <c r="G19" s="98">
        <f>IF($C19=G$3, 0, IF('MatrizTradeOff Valor Op-Coste'!G19=0, 999999, 1/'MatrizTradeOff Valor Op-Coste'!G19))</f>
        <v>999999</v>
      </c>
      <c r="H19" s="98">
        <f>IF($C19=H$3, 0, IF('MatrizTradeOff Valor Op-Coste'!H19=0, 999999, 1/'MatrizTradeOff Valor Op-Coste'!H19))</f>
        <v>999999</v>
      </c>
      <c r="I19" s="98">
        <f>IF($C19=I$3, 0, IF('MatrizTradeOff Valor Op-Coste'!I19=0, 999999, 1/'MatrizTradeOff Valor Op-Coste'!I19))</f>
        <v>999999</v>
      </c>
      <c r="J19" s="98">
        <f>IF($C19=J$3, 0, IF('MatrizTradeOff Valor Op-Coste'!J19=0, 999999, 1/'MatrizTradeOff Valor Op-Coste'!J19))</f>
        <v>999999</v>
      </c>
      <c r="K19" s="98">
        <f>IF($C19=K$3, 0, IF('MatrizTradeOff Valor Op-Coste'!K19=0, 999999, 1/'MatrizTradeOff Valor Op-Coste'!K19))</f>
        <v>999999</v>
      </c>
      <c r="L19" s="98">
        <f>IF($C19=L$3, 0, IF('MatrizTradeOff Valor Op-Coste'!L19=0, 999999, 1/'MatrizTradeOff Valor Op-Coste'!L19))</f>
        <v>999999</v>
      </c>
      <c r="M19" s="98">
        <f>IF($C19=M$3, 0, IF('MatrizTradeOff Valor Op-Coste'!M19=0, 999999, 1/'MatrizTradeOff Valor Op-Coste'!M19))</f>
        <v>999999</v>
      </c>
      <c r="N19" s="98">
        <f>IF($C19=N$3, 0, IF('MatrizTradeOff Valor Op-Coste'!N19=0, 999999, 1/'MatrizTradeOff Valor Op-Coste'!N19))</f>
        <v>999999</v>
      </c>
      <c r="O19" s="98">
        <f>IF($C19=O$3, 0, IF('MatrizTradeOff Valor Op-Coste'!O19=0, 999999, 1/'MatrizTradeOff Valor Op-Coste'!O19))</f>
        <v>999999</v>
      </c>
      <c r="P19" s="98">
        <f>IF($C19=P$3, 0, IF('MatrizTradeOff Valor Op-Coste'!P19=0, 999999, 1/'MatrizTradeOff Valor Op-Coste'!P19))</f>
        <v>999999</v>
      </c>
      <c r="Q19" s="98">
        <f>IF($C19=Q$3, 0, IF('MatrizTradeOff Valor Op-Coste'!Q19=0, 999999, 1/'MatrizTradeOff Valor Op-Coste'!Q19))</f>
        <v>999999</v>
      </c>
      <c r="R19" s="98">
        <f>IF($C19=R$3, 0, IF('MatrizTradeOff Valor Op-Coste'!R19=0, 999999, 1/'MatrizTradeOff Valor Op-Coste'!R19))</f>
        <v>999999</v>
      </c>
      <c r="S19" s="98">
        <f>IF($C19=S$3, 0, IF('MatrizTradeOff Valor Op-Coste'!S19=0, 999999, 1/'MatrizTradeOff Valor Op-Coste'!S19))</f>
        <v>0</v>
      </c>
      <c r="T19" s="98">
        <f>IF($C19=T$3, 0, IF('MatrizTradeOff Valor Op-Coste'!T19=0, 999999, 1/'MatrizTradeOff Valor Op-Coste'!T19))</f>
        <v>999999</v>
      </c>
      <c r="U19" s="98">
        <f>IF($C19=U$3, 0, IF('MatrizTradeOff Valor Op-Coste'!U19=0, 999999, 1/'MatrizTradeOff Valor Op-Coste'!U19))</f>
        <v>999999</v>
      </c>
      <c r="V19" s="98">
        <f>IF($C19=V$3, 0, IF('MatrizTradeOff Valor Op-Coste'!V19=0, 999999, 1/'MatrizTradeOff Valor Op-Coste'!V19))</f>
        <v>999999</v>
      </c>
      <c r="W19" s="98">
        <f>IF($C19=W$3, 0, IF('MatrizTradeOff Valor Op-Coste'!W19=0, 999999, 1/'MatrizTradeOff Valor Op-Coste'!W19))</f>
        <v>999999</v>
      </c>
      <c r="X19" s="98">
        <f>IF($C19=X$3, 0, IF('MatrizTradeOff Valor Op-Coste'!X19=0, 999999, 1/'MatrizTradeOff Valor Op-Coste'!X19))</f>
        <v>999999</v>
      </c>
      <c r="Y19" s="98">
        <f>IF($C19=Y$3, 0, IF('MatrizTradeOff Valor Op-Coste'!Y19=0, 999999, 1/'MatrizTradeOff Valor Op-Coste'!Y19))</f>
        <v>999999</v>
      </c>
      <c r="Z19" s="98">
        <f>IF($C19=Z$3, 0, IF('MatrizTradeOff Valor Op-Coste'!Z19=0, 999999, 1/'MatrizTradeOff Valor Op-Coste'!Z19))</f>
        <v>999999</v>
      </c>
      <c r="AA19" s="98">
        <f>IF($C19=AA$3, 0, IF('MatrizTradeOff Valor Op-Coste'!AA19=0, 999999, 1/'MatrizTradeOff Valor Op-Coste'!AA19))</f>
        <v>999999</v>
      </c>
      <c r="AB19" s="98">
        <f>IF($C19=AB$3, 0, IF('MatrizTradeOff Valor Op-Coste'!AB19=0, 999999, 1/'MatrizTradeOff Valor Op-Coste'!AB19))</f>
        <v>999999</v>
      </c>
      <c r="AC19" s="98">
        <f>IF($C19=AC$3, 0, IF('MatrizTradeOff Valor Op-Coste'!AC19=0, 999999, 1/'MatrizTradeOff Valor Op-Coste'!AC19))</f>
        <v>999999</v>
      </c>
      <c r="AD19" s="98">
        <f>IF($C19=AD$3, 0, IF('MatrizTradeOff Valor Op-Coste'!AD19=0, 999999, 1/'MatrizTradeOff Valor Op-Coste'!AD19))</f>
        <v>999999</v>
      </c>
      <c r="AE19" s="98">
        <f>IF($C19=AE$3, 0, IF('MatrizTradeOff Valor Op-Coste'!AE19=0, 999999, 1/'MatrizTradeOff Valor Op-Coste'!AE19))</f>
        <v>999999</v>
      </c>
      <c r="AF19" s="98">
        <f>IF($C19=AF$3, 0, IF('MatrizTradeOff Valor Op-Coste'!AF19=0, 999999, 1/'MatrizTradeOff Valor Op-Coste'!AF19))</f>
        <v>0.7021276595744681</v>
      </c>
      <c r="AG19" s="98">
        <f>IF($C19=AG$3, 0, IF('MatrizTradeOff Valor Op-Coste'!AG19=0, 999999, 1/'MatrizTradeOff Valor Op-Coste'!AG19))</f>
        <v>999999</v>
      </c>
      <c r="AH19" s="98">
        <f>IF($C19=AH$3, 0, IF('MatrizTradeOff Valor Op-Coste'!AH19=0, 999999, 1/'MatrizTradeOff Valor Op-Coste'!AH19))</f>
        <v>999999</v>
      </c>
    </row>
    <row r="20" spans="2:34" ht="17.25" customHeight="1" x14ac:dyDescent="0.25">
      <c r="B20" s="12" t="str">
        <f>VLOOKUP(tblMatrizDistanciasDirectas[[#This Row],[Nodo Orig.\Dest.]],tblNodos[],2,FALSE)</f>
        <v>Intermediarios MVTS y remesas</v>
      </c>
      <c r="C20" s="4" t="s">
        <v>57</v>
      </c>
      <c r="D20" s="98">
        <f>IF($C20=D$3, 0, IF('MatrizTradeOff Valor Op-Coste'!D20=0, 999999, 1/'MatrizTradeOff Valor Op-Coste'!D20))</f>
        <v>999999</v>
      </c>
      <c r="E20" s="98">
        <f>IF($C20=E$3, 0, IF('MatrizTradeOff Valor Op-Coste'!E20=0, 999999, 1/'MatrizTradeOff Valor Op-Coste'!E20))</f>
        <v>999999</v>
      </c>
      <c r="F20" s="98">
        <f>IF($C20=F$3, 0, IF('MatrizTradeOff Valor Op-Coste'!F20=0, 999999, 1/'MatrizTradeOff Valor Op-Coste'!F20))</f>
        <v>999999</v>
      </c>
      <c r="G20" s="98">
        <f>IF($C20=G$3, 0, IF('MatrizTradeOff Valor Op-Coste'!G20=0, 999999, 1/'MatrizTradeOff Valor Op-Coste'!G20))</f>
        <v>999999</v>
      </c>
      <c r="H20" s="98">
        <f>IF($C20=H$3, 0, IF('MatrizTradeOff Valor Op-Coste'!H20=0, 999999, 1/'MatrizTradeOff Valor Op-Coste'!H20))</f>
        <v>999999</v>
      </c>
      <c r="I20" s="98">
        <f>IF($C20=I$3, 0, IF('MatrizTradeOff Valor Op-Coste'!I20=0, 999999, 1/'MatrizTradeOff Valor Op-Coste'!I20))</f>
        <v>999999</v>
      </c>
      <c r="J20" s="98">
        <f>IF($C20=J$3, 0, IF('MatrizTradeOff Valor Op-Coste'!J20=0, 999999, 1/'MatrizTradeOff Valor Op-Coste'!J20))</f>
        <v>999999</v>
      </c>
      <c r="K20" s="98">
        <f>IF($C20=K$3, 0, IF('MatrizTradeOff Valor Op-Coste'!K20=0, 999999, 1/'MatrizTradeOff Valor Op-Coste'!K20))</f>
        <v>999999</v>
      </c>
      <c r="L20" s="98">
        <f>IF($C20=L$3, 0, IF('MatrizTradeOff Valor Op-Coste'!L20=0, 999999, 1/'MatrizTradeOff Valor Op-Coste'!L20))</f>
        <v>999999</v>
      </c>
      <c r="M20" s="98">
        <f>IF($C20=M$3, 0, IF('MatrizTradeOff Valor Op-Coste'!M20=0, 999999, 1/'MatrizTradeOff Valor Op-Coste'!M20))</f>
        <v>999999</v>
      </c>
      <c r="N20" s="98">
        <f>IF($C20=N$3, 0, IF('MatrizTradeOff Valor Op-Coste'!N20=0, 999999, 1/'MatrizTradeOff Valor Op-Coste'!N20))</f>
        <v>999999</v>
      </c>
      <c r="O20" s="98">
        <f>IF($C20=O$3, 0, IF('MatrizTradeOff Valor Op-Coste'!O20=0, 999999, 1/'MatrizTradeOff Valor Op-Coste'!O20))</f>
        <v>999999</v>
      </c>
      <c r="P20" s="98">
        <f>IF($C20=P$3, 0, IF('MatrizTradeOff Valor Op-Coste'!P20=0, 999999, 1/'MatrizTradeOff Valor Op-Coste'!P20))</f>
        <v>999999</v>
      </c>
      <c r="Q20" s="98">
        <f>IF($C20=Q$3, 0, IF('MatrizTradeOff Valor Op-Coste'!Q20=0, 999999, 1/'MatrizTradeOff Valor Op-Coste'!Q20))</f>
        <v>999999</v>
      </c>
      <c r="R20" s="98">
        <f>IF($C20=R$3, 0, IF('MatrizTradeOff Valor Op-Coste'!R20=0, 999999, 1/'MatrizTradeOff Valor Op-Coste'!R20))</f>
        <v>999999</v>
      </c>
      <c r="S20" s="98">
        <f>IF($C20=S$3, 0, IF('MatrizTradeOff Valor Op-Coste'!S20=0, 999999, 1/'MatrizTradeOff Valor Op-Coste'!S20))</f>
        <v>999999</v>
      </c>
      <c r="T20" s="98">
        <f>IF($C20=T$3, 0, IF('MatrizTradeOff Valor Op-Coste'!T20=0, 999999, 1/'MatrizTradeOff Valor Op-Coste'!T20))</f>
        <v>0</v>
      </c>
      <c r="U20" s="98">
        <f>IF($C20=U$3, 0, IF('MatrizTradeOff Valor Op-Coste'!U20=0, 999999, 1/'MatrizTradeOff Valor Op-Coste'!U20))</f>
        <v>999999</v>
      </c>
      <c r="V20" s="98">
        <f>IF($C20=V$3, 0, IF('MatrizTradeOff Valor Op-Coste'!V20=0, 999999, 1/'MatrizTradeOff Valor Op-Coste'!V20))</f>
        <v>999999</v>
      </c>
      <c r="W20" s="98">
        <f>IF($C20=W$3, 0, IF('MatrizTradeOff Valor Op-Coste'!W20=0, 999999, 1/'MatrizTradeOff Valor Op-Coste'!W20))</f>
        <v>999999</v>
      </c>
      <c r="X20" s="98">
        <f>IF($C20=X$3, 0, IF('MatrizTradeOff Valor Op-Coste'!X20=0, 999999, 1/'MatrizTradeOff Valor Op-Coste'!X20))</f>
        <v>999999</v>
      </c>
      <c r="Y20" s="98">
        <f>IF($C20=Y$3, 0, IF('MatrizTradeOff Valor Op-Coste'!Y20=0, 999999, 1/'MatrizTradeOff Valor Op-Coste'!Y20))</f>
        <v>999999</v>
      </c>
      <c r="Z20" s="98">
        <f>IF($C20=Z$3, 0, IF('MatrizTradeOff Valor Op-Coste'!Z20=0, 999999, 1/'MatrizTradeOff Valor Op-Coste'!Z20))</f>
        <v>999999</v>
      </c>
      <c r="AA20" s="98">
        <f>IF($C20=AA$3, 0, IF('MatrizTradeOff Valor Op-Coste'!AA20=0, 999999, 1/'MatrizTradeOff Valor Op-Coste'!AA20))</f>
        <v>999999</v>
      </c>
      <c r="AB20" s="98">
        <f>IF($C20=AB$3, 0, IF('MatrizTradeOff Valor Op-Coste'!AB20=0, 999999, 1/'MatrizTradeOff Valor Op-Coste'!AB20))</f>
        <v>999999</v>
      </c>
      <c r="AC20" s="98">
        <f>IF($C20=AC$3, 0, IF('MatrizTradeOff Valor Op-Coste'!AC20=0, 999999, 1/'MatrizTradeOff Valor Op-Coste'!AC20))</f>
        <v>999999</v>
      </c>
      <c r="AD20" s="98">
        <f>IF($C20=AD$3, 0, IF('MatrizTradeOff Valor Op-Coste'!AD20=0, 999999, 1/'MatrizTradeOff Valor Op-Coste'!AD20))</f>
        <v>999999</v>
      </c>
      <c r="AE20" s="98">
        <f>IF($C20=AE$3, 0, IF('MatrizTradeOff Valor Op-Coste'!AE20=0, 999999, 1/'MatrizTradeOff Valor Op-Coste'!AE20))</f>
        <v>999999</v>
      </c>
      <c r="AF20" s="98">
        <f>IF($C20=AF$3, 0, IF('MatrizTradeOff Valor Op-Coste'!AF20=0, 999999, 1/'MatrizTradeOff Valor Op-Coste'!AF20))</f>
        <v>999999</v>
      </c>
      <c r="AG20" s="98">
        <f>IF($C20=AG$3, 0, IF('MatrizTradeOff Valor Op-Coste'!AG20=0, 999999, 1/'MatrizTradeOff Valor Op-Coste'!AG20))</f>
        <v>0.44444444444444442</v>
      </c>
      <c r="AH20" s="98">
        <f>IF($C20=AH$3, 0, IF('MatrizTradeOff Valor Op-Coste'!AH20=0, 999999, 1/'MatrizTradeOff Valor Op-Coste'!AH20))</f>
        <v>999999</v>
      </c>
    </row>
    <row r="21" spans="2:34" ht="17.25" customHeight="1" x14ac:dyDescent="0.25">
      <c r="B21" s="12" t="str">
        <f>VLOOKUP(tblMatrizDistanciasDirectas[[#This Row],[Nodo Orig.\Dest.]],tblNodos[],2,FALSE)</f>
        <v>Intermediarios de dinero móvil</v>
      </c>
      <c r="C21" s="4" t="s">
        <v>59</v>
      </c>
      <c r="D21" s="98">
        <f>IF($C21=D$3, 0, IF('MatrizTradeOff Valor Op-Coste'!D21=0, 999999, 1/'MatrizTradeOff Valor Op-Coste'!D21))</f>
        <v>999999</v>
      </c>
      <c r="E21" s="98">
        <f>IF($C21=E$3, 0, IF('MatrizTradeOff Valor Op-Coste'!E21=0, 999999, 1/'MatrizTradeOff Valor Op-Coste'!E21))</f>
        <v>999999</v>
      </c>
      <c r="F21" s="98">
        <f>IF($C21=F$3, 0, IF('MatrizTradeOff Valor Op-Coste'!F21=0, 999999, 1/'MatrizTradeOff Valor Op-Coste'!F21))</f>
        <v>999999</v>
      </c>
      <c r="G21" s="98">
        <f>IF($C21=G$3, 0, IF('MatrizTradeOff Valor Op-Coste'!G21=0, 999999, 1/'MatrizTradeOff Valor Op-Coste'!G21))</f>
        <v>999999</v>
      </c>
      <c r="H21" s="98">
        <f>IF($C21=H$3, 0, IF('MatrizTradeOff Valor Op-Coste'!H21=0, 999999, 1/'MatrizTradeOff Valor Op-Coste'!H21))</f>
        <v>999999</v>
      </c>
      <c r="I21" s="98">
        <f>IF($C21=I$3, 0, IF('MatrizTradeOff Valor Op-Coste'!I21=0, 999999, 1/'MatrizTradeOff Valor Op-Coste'!I21))</f>
        <v>999999</v>
      </c>
      <c r="J21" s="98">
        <f>IF($C21=J$3, 0, IF('MatrizTradeOff Valor Op-Coste'!J21=0, 999999, 1/'MatrizTradeOff Valor Op-Coste'!J21))</f>
        <v>999999</v>
      </c>
      <c r="K21" s="98">
        <f>IF($C21=K$3, 0, IF('MatrizTradeOff Valor Op-Coste'!K21=0, 999999, 1/'MatrizTradeOff Valor Op-Coste'!K21))</f>
        <v>999999</v>
      </c>
      <c r="L21" s="98">
        <f>IF($C21=L$3, 0, IF('MatrizTradeOff Valor Op-Coste'!L21=0, 999999, 1/'MatrizTradeOff Valor Op-Coste'!L21))</f>
        <v>999999</v>
      </c>
      <c r="M21" s="98">
        <f>IF($C21=M$3, 0, IF('MatrizTradeOff Valor Op-Coste'!M21=0, 999999, 1/'MatrizTradeOff Valor Op-Coste'!M21))</f>
        <v>999999</v>
      </c>
      <c r="N21" s="98">
        <f>IF($C21=N$3, 0, IF('MatrizTradeOff Valor Op-Coste'!N21=0, 999999, 1/'MatrizTradeOff Valor Op-Coste'!N21))</f>
        <v>999999</v>
      </c>
      <c r="O21" s="98">
        <f>IF($C21=O$3, 0, IF('MatrizTradeOff Valor Op-Coste'!O21=0, 999999, 1/'MatrizTradeOff Valor Op-Coste'!O21))</f>
        <v>999999</v>
      </c>
      <c r="P21" s="98">
        <f>IF($C21=P$3, 0, IF('MatrizTradeOff Valor Op-Coste'!P21=0, 999999, 1/'MatrizTradeOff Valor Op-Coste'!P21))</f>
        <v>999999</v>
      </c>
      <c r="Q21" s="98">
        <f>IF($C21=Q$3, 0, IF('MatrizTradeOff Valor Op-Coste'!Q21=0, 999999, 1/'MatrizTradeOff Valor Op-Coste'!Q21))</f>
        <v>999999</v>
      </c>
      <c r="R21" s="98">
        <f>IF($C21=R$3, 0, IF('MatrizTradeOff Valor Op-Coste'!R21=0, 999999, 1/'MatrizTradeOff Valor Op-Coste'!R21))</f>
        <v>999999</v>
      </c>
      <c r="S21" s="98">
        <f>IF($C21=S$3, 0, IF('MatrizTradeOff Valor Op-Coste'!S21=0, 999999, 1/'MatrizTradeOff Valor Op-Coste'!S21))</f>
        <v>999999</v>
      </c>
      <c r="T21" s="98">
        <f>IF($C21=T$3, 0, IF('MatrizTradeOff Valor Op-Coste'!T21=0, 999999, 1/'MatrizTradeOff Valor Op-Coste'!T21))</f>
        <v>999999</v>
      </c>
      <c r="U21" s="98">
        <f>IF($C21=U$3, 0, IF('MatrizTradeOff Valor Op-Coste'!U21=0, 999999, 1/'MatrizTradeOff Valor Op-Coste'!U21))</f>
        <v>0</v>
      </c>
      <c r="V21" s="98">
        <f>IF($C21=V$3, 0, IF('MatrizTradeOff Valor Op-Coste'!V21=0, 999999, 1/'MatrizTradeOff Valor Op-Coste'!V21))</f>
        <v>999999</v>
      </c>
      <c r="W21" s="98">
        <f>IF($C21=W$3, 0, IF('MatrizTradeOff Valor Op-Coste'!W21=0, 999999, 1/'MatrizTradeOff Valor Op-Coste'!W21))</f>
        <v>999999</v>
      </c>
      <c r="X21" s="98">
        <f>IF($C21=X$3, 0, IF('MatrizTradeOff Valor Op-Coste'!X21=0, 999999, 1/'MatrizTradeOff Valor Op-Coste'!X21))</f>
        <v>999999</v>
      </c>
      <c r="Y21" s="98">
        <f>IF($C21=Y$3, 0, IF('MatrizTradeOff Valor Op-Coste'!Y21=0, 999999, 1/'MatrizTradeOff Valor Op-Coste'!Y21))</f>
        <v>999999</v>
      </c>
      <c r="Z21" s="98">
        <f>IF($C21=Z$3, 0, IF('MatrizTradeOff Valor Op-Coste'!Z21=0, 999999, 1/'MatrizTradeOff Valor Op-Coste'!Z21))</f>
        <v>999999</v>
      </c>
      <c r="AA21" s="98">
        <f>IF($C21=AA$3, 0, IF('MatrizTradeOff Valor Op-Coste'!AA21=0, 999999, 1/'MatrizTradeOff Valor Op-Coste'!AA21))</f>
        <v>999999</v>
      </c>
      <c r="AB21" s="98">
        <f>IF($C21=AB$3, 0, IF('MatrizTradeOff Valor Op-Coste'!AB21=0, 999999, 1/'MatrizTradeOff Valor Op-Coste'!AB21))</f>
        <v>999999</v>
      </c>
      <c r="AC21" s="98">
        <f>IF($C21=AC$3, 0, IF('MatrizTradeOff Valor Op-Coste'!AC21=0, 999999, 1/'MatrizTradeOff Valor Op-Coste'!AC21))</f>
        <v>999999</v>
      </c>
      <c r="AD21" s="98">
        <f>IF($C21=AD$3, 0, IF('MatrizTradeOff Valor Op-Coste'!AD21=0, 999999, 1/'MatrizTradeOff Valor Op-Coste'!AD21))</f>
        <v>999999</v>
      </c>
      <c r="AE21" s="98">
        <f>IF($C21=AE$3, 0, IF('MatrizTradeOff Valor Op-Coste'!AE21=0, 999999, 1/'MatrizTradeOff Valor Op-Coste'!AE21))</f>
        <v>0.55555555555555558</v>
      </c>
      <c r="AF21" s="98">
        <f>IF($C21=AF$3, 0, IF('MatrizTradeOff Valor Op-Coste'!AF21=0, 999999, 1/'MatrizTradeOff Valor Op-Coste'!AF21))</f>
        <v>999999</v>
      </c>
      <c r="AG21" s="98">
        <f>IF($C21=AG$3, 0, IF('MatrizTradeOff Valor Op-Coste'!AG21=0, 999999, 1/'MatrizTradeOff Valor Op-Coste'!AG21))</f>
        <v>999999</v>
      </c>
      <c r="AH21" s="98">
        <f>IF($C21=AH$3, 0, IF('MatrizTradeOff Valor Op-Coste'!AH21=0, 999999, 1/'MatrizTradeOff Valor Op-Coste'!AH21))</f>
        <v>999999</v>
      </c>
    </row>
    <row r="22" spans="2:34" ht="17.25" customHeight="1" x14ac:dyDescent="0.25">
      <c r="B22" s="70" t="str">
        <f>VLOOKUP(tblMatrizDistanciasDirectas[[#This Row],[Nodo Orig.\Dest.]],tblNodos[],2,FALSE)</f>
        <v>Intermediarios bancarios formales</v>
      </c>
      <c r="C22" s="6" t="s">
        <v>61</v>
      </c>
      <c r="D22" s="100">
        <f>IF($C22=D$3, 0, IF('MatrizTradeOff Valor Op-Coste'!D22=0, 999999, 1/'MatrizTradeOff Valor Op-Coste'!D22))</f>
        <v>999999</v>
      </c>
      <c r="E22" s="100">
        <f>IF($C22=E$3, 0, IF('MatrizTradeOff Valor Op-Coste'!E22=0, 999999, 1/'MatrizTradeOff Valor Op-Coste'!E22))</f>
        <v>999999</v>
      </c>
      <c r="F22" s="100">
        <f>IF($C22=F$3, 0, IF('MatrizTradeOff Valor Op-Coste'!F22=0, 999999, 1/'MatrizTradeOff Valor Op-Coste'!F22))</f>
        <v>999999</v>
      </c>
      <c r="G22" s="100">
        <f>IF($C22=G$3, 0, IF('MatrizTradeOff Valor Op-Coste'!G22=0, 999999, 1/'MatrizTradeOff Valor Op-Coste'!G22))</f>
        <v>999999</v>
      </c>
      <c r="H22" s="100">
        <f>IF($C22=H$3, 0, IF('MatrizTradeOff Valor Op-Coste'!H22=0, 999999, 1/'MatrizTradeOff Valor Op-Coste'!H22))</f>
        <v>999999</v>
      </c>
      <c r="I22" s="100">
        <f>IF($C22=I$3, 0, IF('MatrizTradeOff Valor Op-Coste'!I22=0, 999999, 1/'MatrizTradeOff Valor Op-Coste'!I22))</f>
        <v>999999</v>
      </c>
      <c r="J22" s="100">
        <f>IF($C22=J$3, 0, IF('MatrizTradeOff Valor Op-Coste'!J22=0, 999999, 1/'MatrizTradeOff Valor Op-Coste'!J22))</f>
        <v>999999</v>
      </c>
      <c r="K22" s="100">
        <f>IF($C22=K$3, 0, IF('MatrizTradeOff Valor Op-Coste'!K22=0, 999999, 1/'MatrizTradeOff Valor Op-Coste'!K22))</f>
        <v>999999</v>
      </c>
      <c r="L22" s="100">
        <f>IF($C22=L$3, 0, IF('MatrizTradeOff Valor Op-Coste'!L22=0, 999999, 1/'MatrizTradeOff Valor Op-Coste'!L22))</f>
        <v>999999</v>
      </c>
      <c r="M22" s="100">
        <f>IF($C22=M$3, 0, IF('MatrizTradeOff Valor Op-Coste'!M22=0, 999999, 1/'MatrizTradeOff Valor Op-Coste'!M22))</f>
        <v>999999</v>
      </c>
      <c r="N22" s="100">
        <f>IF($C22=N$3, 0, IF('MatrizTradeOff Valor Op-Coste'!N22=0, 999999, 1/'MatrizTradeOff Valor Op-Coste'!N22))</f>
        <v>999999</v>
      </c>
      <c r="O22" s="100">
        <f>IF($C22=O$3, 0, IF('MatrizTradeOff Valor Op-Coste'!O22=0, 999999, 1/'MatrizTradeOff Valor Op-Coste'!O22))</f>
        <v>999999</v>
      </c>
      <c r="P22" s="100">
        <f>IF($C22=P$3, 0, IF('MatrizTradeOff Valor Op-Coste'!P22=0, 999999, 1/'MatrizTradeOff Valor Op-Coste'!P22))</f>
        <v>999999</v>
      </c>
      <c r="Q22" s="100">
        <f>IF($C22=Q$3, 0, IF('MatrizTradeOff Valor Op-Coste'!Q22=0, 999999, 1/'MatrizTradeOff Valor Op-Coste'!Q22))</f>
        <v>999999</v>
      </c>
      <c r="R22" s="100">
        <f>IF($C22=R$3, 0, IF('MatrizTradeOff Valor Op-Coste'!R22=0, 999999, 1/'MatrizTradeOff Valor Op-Coste'!R22))</f>
        <v>999999</v>
      </c>
      <c r="S22" s="100">
        <f>IF($C22=S$3, 0, IF('MatrizTradeOff Valor Op-Coste'!S22=0, 999999, 1/'MatrizTradeOff Valor Op-Coste'!S22))</f>
        <v>999999</v>
      </c>
      <c r="T22" s="100">
        <f>IF($C22=T$3, 0, IF('MatrizTradeOff Valor Op-Coste'!T22=0, 999999, 1/'MatrizTradeOff Valor Op-Coste'!T22))</f>
        <v>999999</v>
      </c>
      <c r="U22" s="100">
        <f>IF($C22=U$3, 0, IF('MatrizTradeOff Valor Op-Coste'!U22=0, 999999, 1/'MatrizTradeOff Valor Op-Coste'!U22))</f>
        <v>999999</v>
      </c>
      <c r="V22" s="100">
        <f>IF($C22=V$3, 0, IF('MatrizTradeOff Valor Op-Coste'!V22=0, 999999, 1/'MatrizTradeOff Valor Op-Coste'!V22))</f>
        <v>0</v>
      </c>
      <c r="W22" s="98">
        <f>IF($C22=W$3, 0, IF('MatrizTradeOff Valor Op-Coste'!W22=0, 999999, 1/'MatrizTradeOff Valor Op-Coste'!W22))</f>
        <v>999999</v>
      </c>
      <c r="X22" s="98">
        <f>IF($C22=X$3, 0, IF('MatrizTradeOff Valor Op-Coste'!X22=0, 999999, 1/'MatrizTradeOff Valor Op-Coste'!X22))</f>
        <v>999999</v>
      </c>
      <c r="Y22" s="98">
        <f>IF($C22=Y$3, 0, IF('MatrizTradeOff Valor Op-Coste'!Y22=0, 999999, 1/'MatrizTradeOff Valor Op-Coste'!Y22))</f>
        <v>999999</v>
      </c>
      <c r="Z22" s="98">
        <f>IF($C22=Z$3, 0, IF('MatrizTradeOff Valor Op-Coste'!Z22=0, 999999, 1/'MatrizTradeOff Valor Op-Coste'!Z22))</f>
        <v>999999</v>
      </c>
      <c r="AA22" s="98">
        <f>IF($C22=AA$3, 0, IF('MatrizTradeOff Valor Op-Coste'!AA22=0, 999999, 1/'MatrizTradeOff Valor Op-Coste'!AA22))</f>
        <v>999999</v>
      </c>
      <c r="AB22" s="98">
        <f>IF($C22=AB$3, 0, IF('MatrizTradeOff Valor Op-Coste'!AB22=0, 999999, 1/'MatrizTradeOff Valor Op-Coste'!AB22))</f>
        <v>999999</v>
      </c>
      <c r="AC22" s="98">
        <f>IF($C22=AC$3, 0, IF('MatrizTradeOff Valor Op-Coste'!AC22=0, 999999, 1/'MatrizTradeOff Valor Op-Coste'!AC22))</f>
        <v>999999</v>
      </c>
      <c r="AD22" s="98">
        <f>IF($C22=AD$3, 0, IF('MatrizTradeOff Valor Op-Coste'!AD22=0, 999999, 1/'MatrizTradeOff Valor Op-Coste'!AD22))</f>
        <v>999999</v>
      </c>
      <c r="AE22" s="98">
        <f>IF($C22=AE$3, 0, IF('MatrizTradeOff Valor Op-Coste'!AE22=0, 999999, 1/'MatrizTradeOff Valor Op-Coste'!AE22))</f>
        <v>0.40476190476190477</v>
      </c>
      <c r="AF22" s="98">
        <f>IF($C22=AF$3, 0, IF('MatrizTradeOff Valor Op-Coste'!AF22=0, 999999, 1/'MatrizTradeOff Valor Op-Coste'!AF22))</f>
        <v>999999</v>
      </c>
      <c r="AG22" s="98">
        <f>IF($C22=AG$3, 0, IF('MatrizTradeOff Valor Op-Coste'!AG22=0, 999999, 1/'MatrizTradeOff Valor Op-Coste'!AG22))</f>
        <v>0.39130434782608697</v>
      </c>
      <c r="AH22" s="98">
        <f>IF($C22=AH$3, 0, IF('MatrizTradeOff Valor Op-Coste'!AH22=0, 999999, 1/'MatrizTradeOff Valor Op-Coste'!AH22))</f>
        <v>999999</v>
      </c>
    </row>
    <row r="23" spans="2:34" ht="17.25" customHeight="1" x14ac:dyDescent="0.25">
      <c r="B23" s="48" t="str">
        <f>VLOOKUP(tblMatrizDistanciasDirectas[[#This Row],[Nodo Orig.\Dest.]],tblNodos[],2,FALSE)</f>
        <v>Intermediarios de pago digital (PSP /FinTech)</v>
      </c>
      <c r="C23" s="75" t="s">
        <v>63</v>
      </c>
      <c r="D23" s="98">
        <f>IF($C23=D$3, 0, IF('MatrizTradeOff Valor Op-Coste'!D23=0, 999999, 1/'MatrizTradeOff Valor Op-Coste'!D23))</f>
        <v>999999</v>
      </c>
      <c r="E23" s="98">
        <f>IF($C23=E$3, 0, IF('MatrizTradeOff Valor Op-Coste'!E23=0, 999999, 1/'MatrizTradeOff Valor Op-Coste'!E23))</f>
        <v>999999</v>
      </c>
      <c r="F23" s="98">
        <f>IF($C23=F$3, 0, IF('MatrizTradeOff Valor Op-Coste'!F23=0, 999999, 1/'MatrizTradeOff Valor Op-Coste'!F23))</f>
        <v>999999</v>
      </c>
      <c r="G23" s="98">
        <f>IF($C23=G$3, 0, IF('MatrizTradeOff Valor Op-Coste'!G23=0, 999999, 1/'MatrizTradeOff Valor Op-Coste'!G23))</f>
        <v>999999</v>
      </c>
      <c r="H23" s="98">
        <f>IF($C23=H$3, 0, IF('MatrizTradeOff Valor Op-Coste'!H23=0, 999999, 1/'MatrizTradeOff Valor Op-Coste'!H23))</f>
        <v>999999</v>
      </c>
      <c r="I23" s="98">
        <f>IF($C23=I$3, 0, IF('MatrizTradeOff Valor Op-Coste'!I23=0, 999999, 1/'MatrizTradeOff Valor Op-Coste'!I23))</f>
        <v>999999</v>
      </c>
      <c r="J23" s="98">
        <f>IF($C23=J$3, 0, IF('MatrizTradeOff Valor Op-Coste'!J23=0, 999999, 1/'MatrizTradeOff Valor Op-Coste'!J23))</f>
        <v>999999</v>
      </c>
      <c r="K23" s="98">
        <f>IF($C23=K$3, 0, IF('MatrizTradeOff Valor Op-Coste'!K23=0, 999999, 1/'MatrizTradeOff Valor Op-Coste'!K23))</f>
        <v>999999</v>
      </c>
      <c r="L23" s="98">
        <f>IF($C23=L$3, 0, IF('MatrizTradeOff Valor Op-Coste'!L23=0, 999999, 1/'MatrizTradeOff Valor Op-Coste'!L23))</f>
        <v>999999</v>
      </c>
      <c r="M23" s="98">
        <f>IF($C23=M$3, 0, IF('MatrizTradeOff Valor Op-Coste'!M23=0, 999999, 1/'MatrizTradeOff Valor Op-Coste'!M23))</f>
        <v>999999</v>
      </c>
      <c r="N23" s="98">
        <f>IF($C23=N$3, 0, IF('MatrizTradeOff Valor Op-Coste'!N23=0, 999999, 1/'MatrizTradeOff Valor Op-Coste'!N23))</f>
        <v>999999</v>
      </c>
      <c r="O23" s="98">
        <f>IF($C23=O$3, 0, IF('MatrizTradeOff Valor Op-Coste'!O23=0, 999999, 1/'MatrizTradeOff Valor Op-Coste'!O23))</f>
        <v>999999</v>
      </c>
      <c r="P23" s="98">
        <f>IF($C23=P$3, 0, IF('MatrizTradeOff Valor Op-Coste'!P23=0, 999999, 1/'MatrizTradeOff Valor Op-Coste'!P23))</f>
        <v>999999</v>
      </c>
      <c r="Q23" s="98">
        <f>IF($C23=Q$3, 0, IF('MatrizTradeOff Valor Op-Coste'!Q23=0, 999999, 1/'MatrizTradeOff Valor Op-Coste'!Q23))</f>
        <v>999999</v>
      </c>
      <c r="R23" s="98">
        <f>IF($C23=R$3, 0, IF('MatrizTradeOff Valor Op-Coste'!R23=0, 999999, 1/'MatrizTradeOff Valor Op-Coste'!R23))</f>
        <v>999999</v>
      </c>
      <c r="S23" s="98">
        <f>IF($C23=S$3, 0, IF('MatrizTradeOff Valor Op-Coste'!S23=0, 999999, 1/'MatrizTradeOff Valor Op-Coste'!S23))</f>
        <v>999999</v>
      </c>
      <c r="T23" s="98">
        <f>IF($C23=T$3, 0, IF('MatrizTradeOff Valor Op-Coste'!T23=0, 999999, 1/'MatrizTradeOff Valor Op-Coste'!T23))</f>
        <v>999999</v>
      </c>
      <c r="U23" s="98">
        <f>IF($C23=U$3, 0, IF('MatrizTradeOff Valor Op-Coste'!U23=0, 999999, 1/'MatrizTradeOff Valor Op-Coste'!U23))</f>
        <v>999999</v>
      </c>
      <c r="V23" s="101">
        <f>IF($C23=V$3, 0, IF('MatrizTradeOff Valor Op-Coste'!V23=0, 999999, 1/'MatrizTradeOff Valor Op-Coste'!V23))</f>
        <v>999999</v>
      </c>
      <c r="W23" s="98">
        <f>IF($C23=W$3, 0, IF('MatrizTradeOff Valor Op-Coste'!W23=0, 999999, 1/'MatrizTradeOff Valor Op-Coste'!W23))</f>
        <v>0</v>
      </c>
      <c r="X23" s="98">
        <f>IF($C23=X$3, 0, IF('MatrizTradeOff Valor Op-Coste'!X23=0, 999999, 1/'MatrizTradeOff Valor Op-Coste'!X23))</f>
        <v>999999</v>
      </c>
      <c r="Y23" s="98">
        <f>IF($C23=Y$3, 0, IF('MatrizTradeOff Valor Op-Coste'!Y23=0, 999999, 1/'MatrizTradeOff Valor Op-Coste'!Y23))</f>
        <v>999999</v>
      </c>
      <c r="Z23" s="98">
        <f>IF($C23=Z$3, 0, IF('MatrizTradeOff Valor Op-Coste'!Z23=0, 999999, 1/'MatrizTradeOff Valor Op-Coste'!Z23))</f>
        <v>999999</v>
      </c>
      <c r="AA23" s="98">
        <f>IF($C23=AA$3, 0, IF('MatrizTradeOff Valor Op-Coste'!AA23=0, 999999, 1/'MatrizTradeOff Valor Op-Coste'!AA23))</f>
        <v>999999</v>
      </c>
      <c r="AB23" s="98">
        <f>IF($C23=AB$3, 0, IF('MatrizTradeOff Valor Op-Coste'!AB23=0, 999999, 1/'MatrizTradeOff Valor Op-Coste'!AB23))</f>
        <v>999999</v>
      </c>
      <c r="AC23" s="98">
        <f>IF($C23=AC$3, 0, IF('MatrizTradeOff Valor Op-Coste'!AC23=0, 999999, 1/'MatrizTradeOff Valor Op-Coste'!AC23))</f>
        <v>999999</v>
      </c>
      <c r="AD23" s="98">
        <f>IF($C23=AD$3, 0, IF('MatrizTradeOff Valor Op-Coste'!AD23=0, 999999, 1/'MatrizTradeOff Valor Op-Coste'!AD23))</f>
        <v>999999</v>
      </c>
      <c r="AE23" s="98">
        <f>IF($C23=AE$3, 0, IF('MatrizTradeOff Valor Op-Coste'!AE23=0, 999999, 1/'MatrizTradeOff Valor Op-Coste'!AE23))</f>
        <v>999999</v>
      </c>
      <c r="AF23" s="98">
        <f>IF($C23=AF$3, 0, IF('MatrizTradeOff Valor Op-Coste'!AF23=0, 999999, 1/'MatrizTradeOff Valor Op-Coste'!AF23))</f>
        <v>999999</v>
      </c>
      <c r="AG23" s="98">
        <f>IF($C23=AG$3, 0, IF('MatrizTradeOff Valor Op-Coste'!AG23=0, 999999, 1/'MatrizTradeOff Valor Op-Coste'!AG23))</f>
        <v>0.56420233463035008</v>
      </c>
      <c r="AH23" s="98">
        <f>IF($C23=AH$3, 0, IF('MatrizTradeOff Valor Op-Coste'!AH23=0, 999999, 1/'MatrizTradeOff Valor Op-Coste'!AH23))</f>
        <v>999999</v>
      </c>
    </row>
    <row r="24" spans="2:34" ht="17.25" customHeight="1" x14ac:dyDescent="0.25">
      <c r="B24" s="48" t="str">
        <f>VLOOKUP(tblMatrizDistanciasDirectas[[#This Row],[Nodo Orig.\Dest.]],tblNodos[],2,FALSE)</f>
        <v>Intermediarios de activos virtuales y conversión</v>
      </c>
      <c r="C24" s="75" t="s">
        <v>65</v>
      </c>
      <c r="D24" s="98">
        <f>IF($C24=D$3, 0, IF('MatrizTradeOff Valor Op-Coste'!D24=0, 999999, 1/'MatrizTradeOff Valor Op-Coste'!D24))</f>
        <v>999999</v>
      </c>
      <c r="E24" s="98">
        <f>IF($C24=E$3, 0, IF('MatrizTradeOff Valor Op-Coste'!E24=0, 999999, 1/'MatrizTradeOff Valor Op-Coste'!E24))</f>
        <v>999999</v>
      </c>
      <c r="F24" s="98">
        <f>IF($C24=F$3, 0, IF('MatrizTradeOff Valor Op-Coste'!F24=0, 999999, 1/'MatrizTradeOff Valor Op-Coste'!F24))</f>
        <v>999999</v>
      </c>
      <c r="G24" s="98">
        <f>IF($C24=G$3, 0, IF('MatrizTradeOff Valor Op-Coste'!G24=0, 999999, 1/'MatrizTradeOff Valor Op-Coste'!G24))</f>
        <v>999999</v>
      </c>
      <c r="H24" s="98">
        <f>IF($C24=H$3, 0, IF('MatrizTradeOff Valor Op-Coste'!H24=0, 999999, 1/'MatrizTradeOff Valor Op-Coste'!H24))</f>
        <v>999999</v>
      </c>
      <c r="I24" s="98">
        <f>IF($C24=I$3, 0, IF('MatrizTradeOff Valor Op-Coste'!I24=0, 999999, 1/'MatrizTradeOff Valor Op-Coste'!I24))</f>
        <v>999999</v>
      </c>
      <c r="J24" s="98">
        <f>IF($C24=J$3, 0, IF('MatrizTradeOff Valor Op-Coste'!J24=0, 999999, 1/'MatrizTradeOff Valor Op-Coste'!J24))</f>
        <v>999999</v>
      </c>
      <c r="K24" s="98">
        <f>IF($C24=K$3, 0, IF('MatrizTradeOff Valor Op-Coste'!K24=0, 999999, 1/'MatrizTradeOff Valor Op-Coste'!K24))</f>
        <v>999999</v>
      </c>
      <c r="L24" s="98">
        <f>IF($C24=L$3, 0, IF('MatrizTradeOff Valor Op-Coste'!L24=0, 999999, 1/'MatrizTradeOff Valor Op-Coste'!L24))</f>
        <v>999999</v>
      </c>
      <c r="M24" s="98">
        <f>IF($C24=M$3, 0, IF('MatrizTradeOff Valor Op-Coste'!M24=0, 999999, 1/'MatrizTradeOff Valor Op-Coste'!M24))</f>
        <v>999999</v>
      </c>
      <c r="N24" s="98">
        <f>IF($C24=N$3, 0, IF('MatrizTradeOff Valor Op-Coste'!N24=0, 999999, 1/'MatrizTradeOff Valor Op-Coste'!N24))</f>
        <v>999999</v>
      </c>
      <c r="O24" s="98">
        <f>IF($C24=O$3, 0, IF('MatrizTradeOff Valor Op-Coste'!O24=0, 999999, 1/'MatrizTradeOff Valor Op-Coste'!O24))</f>
        <v>999999</v>
      </c>
      <c r="P24" s="98">
        <f>IF($C24=P$3, 0, IF('MatrizTradeOff Valor Op-Coste'!P24=0, 999999, 1/'MatrizTradeOff Valor Op-Coste'!P24))</f>
        <v>999999</v>
      </c>
      <c r="Q24" s="98">
        <f>IF($C24=Q$3, 0, IF('MatrizTradeOff Valor Op-Coste'!Q24=0, 999999, 1/'MatrizTradeOff Valor Op-Coste'!Q24))</f>
        <v>999999</v>
      </c>
      <c r="R24" s="98">
        <f>IF($C24=R$3, 0, IF('MatrizTradeOff Valor Op-Coste'!R24=0, 999999, 1/'MatrizTradeOff Valor Op-Coste'!R24))</f>
        <v>999999</v>
      </c>
      <c r="S24" s="98">
        <f>IF($C24=S$3, 0, IF('MatrizTradeOff Valor Op-Coste'!S24=0, 999999, 1/'MatrizTradeOff Valor Op-Coste'!S24))</f>
        <v>999999</v>
      </c>
      <c r="T24" s="98">
        <f>IF($C24=T$3, 0, IF('MatrizTradeOff Valor Op-Coste'!T24=0, 999999, 1/'MatrizTradeOff Valor Op-Coste'!T24))</f>
        <v>999999</v>
      </c>
      <c r="U24" s="98">
        <f>IF($C24=U$3, 0, IF('MatrizTradeOff Valor Op-Coste'!U24=0, 999999, 1/'MatrizTradeOff Valor Op-Coste'!U24))</f>
        <v>999999</v>
      </c>
      <c r="V24" s="101">
        <f>IF($C24=V$3, 0, IF('MatrizTradeOff Valor Op-Coste'!V24=0, 999999, 1/'MatrizTradeOff Valor Op-Coste'!V24))</f>
        <v>999999</v>
      </c>
      <c r="W24" s="98">
        <f>IF($C24=W$3, 0, IF('MatrizTradeOff Valor Op-Coste'!W24=0, 999999, 1/'MatrizTradeOff Valor Op-Coste'!W24))</f>
        <v>999999</v>
      </c>
      <c r="X24" s="98">
        <f>IF($C24=X$3, 0, IF('MatrizTradeOff Valor Op-Coste'!X24=0, 999999, 1/'MatrizTradeOff Valor Op-Coste'!X24))</f>
        <v>0</v>
      </c>
      <c r="Y24" s="98">
        <f>IF($C24=Y$3, 0, IF('MatrizTradeOff Valor Op-Coste'!Y24=0, 999999, 1/'MatrizTradeOff Valor Op-Coste'!Y24))</f>
        <v>999999</v>
      </c>
      <c r="Z24" s="98">
        <f>IF($C24=Z$3, 0, IF('MatrizTradeOff Valor Op-Coste'!Z24=0, 999999, 1/'MatrizTradeOff Valor Op-Coste'!Z24))</f>
        <v>999999</v>
      </c>
      <c r="AA24" s="98">
        <f>IF($C24=AA$3, 0, IF('MatrizTradeOff Valor Op-Coste'!AA24=0, 999999, 1/'MatrizTradeOff Valor Op-Coste'!AA24))</f>
        <v>999999</v>
      </c>
      <c r="AB24" s="98">
        <f>IF($C24=AB$3, 0, IF('MatrizTradeOff Valor Op-Coste'!AB24=0, 999999, 1/'MatrizTradeOff Valor Op-Coste'!AB24))</f>
        <v>999999</v>
      </c>
      <c r="AC24" s="98">
        <f>IF($C24=AC$3, 0, IF('MatrizTradeOff Valor Op-Coste'!AC24=0, 999999, 1/'MatrizTradeOff Valor Op-Coste'!AC24))</f>
        <v>999999</v>
      </c>
      <c r="AD24" s="98">
        <f>IF($C24=AD$3, 0, IF('MatrizTradeOff Valor Op-Coste'!AD24=0, 999999, 1/'MatrizTradeOff Valor Op-Coste'!AD24))</f>
        <v>999999</v>
      </c>
      <c r="AE24" s="98">
        <f>IF($C24=AE$3, 0, IF('MatrizTradeOff Valor Op-Coste'!AE24=0, 999999, 1/'MatrizTradeOff Valor Op-Coste'!AE24))</f>
        <v>999999</v>
      </c>
      <c r="AF24" s="98">
        <f>IF($C24=AF$3, 0, IF('MatrizTradeOff Valor Op-Coste'!AF24=0, 999999, 1/'MatrizTradeOff Valor Op-Coste'!AF24))</f>
        <v>0.42748091603053434</v>
      </c>
      <c r="AG24" s="98">
        <f>IF($C24=AG$3, 0, IF('MatrizTradeOff Valor Op-Coste'!AG24=0, 999999, 1/'MatrizTradeOff Valor Op-Coste'!AG24))</f>
        <v>0.50574712643678177</v>
      </c>
      <c r="AH24" s="98">
        <f>IF($C24=AH$3, 0, IF('MatrizTradeOff Valor Op-Coste'!AH24=0, 999999, 1/'MatrizTradeOff Valor Op-Coste'!AH24))</f>
        <v>999999</v>
      </c>
    </row>
    <row r="25" spans="2:34" ht="17.25" customHeight="1" x14ac:dyDescent="0.25">
      <c r="B25" s="48" t="str">
        <f>VLOOKUP(tblMatrizDistanciasDirectas[[#This Row],[Nodo Orig.\Dest.]],tblNodos[],2,FALSE)</f>
        <v>Intermediarios comerciales y transaccionales</v>
      </c>
      <c r="C25" s="75" t="s">
        <v>67</v>
      </c>
      <c r="D25" s="98">
        <f>IF($C25=D$3, 0, IF('MatrizTradeOff Valor Op-Coste'!D25=0, 999999, 1/'MatrizTradeOff Valor Op-Coste'!D25))</f>
        <v>999999</v>
      </c>
      <c r="E25" s="98">
        <f>IF($C25=E$3, 0, IF('MatrizTradeOff Valor Op-Coste'!E25=0, 999999, 1/'MatrizTradeOff Valor Op-Coste'!E25))</f>
        <v>999999</v>
      </c>
      <c r="F25" s="98">
        <f>IF($C25=F$3, 0, IF('MatrizTradeOff Valor Op-Coste'!F25=0, 999999, 1/'MatrizTradeOff Valor Op-Coste'!F25))</f>
        <v>999999</v>
      </c>
      <c r="G25" s="98">
        <f>IF($C25=G$3, 0, IF('MatrizTradeOff Valor Op-Coste'!G25=0, 999999, 1/'MatrizTradeOff Valor Op-Coste'!G25))</f>
        <v>999999</v>
      </c>
      <c r="H25" s="98">
        <f>IF($C25=H$3, 0, IF('MatrizTradeOff Valor Op-Coste'!H25=0, 999999, 1/'MatrizTradeOff Valor Op-Coste'!H25))</f>
        <v>999999</v>
      </c>
      <c r="I25" s="98">
        <f>IF($C25=I$3, 0, IF('MatrizTradeOff Valor Op-Coste'!I25=0, 999999, 1/'MatrizTradeOff Valor Op-Coste'!I25))</f>
        <v>999999</v>
      </c>
      <c r="J25" s="98">
        <f>IF($C25=J$3, 0, IF('MatrizTradeOff Valor Op-Coste'!J25=0, 999999, 1/'MatrizTradeOff Valor Op-Coste'!J25))</f>
        <v>999999</v>
      </c>
      <c r="K25" s="98">
        <f>IF($C25=K$3, 0, IF('MatrizTradeOff Valor Op-Coste'!K25=0, 999999, 1/'MatrizTradeOff Valor Op-Coste'!K25))</f>
        <v>999999</v>
      </c>
      <c r="L25" s="98">
        <f>IF($C25=L$3, 0, IF('MatrizTradeOff Valor Op-Coste'!L25=0, 999999, 1/'MatrizTradeOff Valor Op-Coste'!L25))</f>
        <v>999999</v>
      </c>
      <c r="M25" s="98">
        <f>IF($C25=M$3, 0, IF('MatrizTradeOff Valor Op-Coste'!M25=0, 999999, 1/'MatrizTradeOff Valor Op-Coste'!M25))</f>
        <v>999999</v>
      </c>
      <c r="N25" s="98">
        <f>IF($C25=N$3, 0, IF('MatrizTradeOff Valor Op-Coste'!N25=0, 999999, 1/'MatrizTradeOff Valor Op-Coste'!N25))</f>
        <v>999999</v>
      </c>
      <c r="O25" s="98">
        <f>IF($C25=O$3, 0, IF('MatrizTradeOff Valor Op-Coste'!O25=0, 999999, 1/'MatrizTradeOff Valor Op-Coste'!O25))</f>
        <v>999999</v>
      </c>
      <c r="P25" s="98">
        <f>IF($C25=P$3, 0, IF('MatrizTradeOff Valor Op-Coste'!P25=0, 999999, 1/'MatrizTradeOff Valor Op-Coste'!P25))</f>
        <v>999999</v>
      </c>
      <c r="Q25" s="98">
        <f>IF($C25=Q$3, 0, IF('MatrizTradeOff Valor Op-Coste'!Q25=0, 999999, 1/'MatrizTradeOff Valor Op-Coste'!Q25))</f>
        <v>999999</v>
      </c>
      <c r="R25" s="98">
        <f>IF($C25=R$3, 0, IF('MatrizTradeOff Valor Op-Coste'!R25=0, 999999, 1/'MatrizTradeOff Valor Op-Coste'!R25))</f>
        <v>999999</v>
      </c>
      <c r="S25" s="98">
        <f>IF($C25=S$3, 0, IF('MatrizTradeOff Valor Op-Coste'!S25=0, 999999, 1/'MatrizTradeOff Valor Op-Coste'!S25))</f>
        <v>999999</v>
      </c>
      <c r="T25" s="98">
        <f>IF($C25=T$3, 0, IF('MatrizTradeOff Valor Op-Coste'!T25=0, 999999, 1/'MatrizTradeOff Valor Op-Coste'!T25))</f>
        <v>999999</v>
      </c>
      <c r="U25" s="98">
        <f>IF($C25=U$3, 0, IF('MatrizTradeOff Valor Op-Coste'!U25=0, 999999, 1/'MatrizTradeOff Valor Op-Coste'!U25))</f>
        <v>999999</v>
      </c>
      <c r="V25" s="101">
        <f>IF($C25=V$3, 0, IF('MatrizTradeOff Valor Op-Coste'!V25=0, 999999, 1/'MatrizTradeOff Valor Op-Coste'!V25))</f>
        <v>999999</v>
      </c>
      <c r="W25" s="98">
        <f>IF($C25=W$3, 0, IF('MatrizTradeOff Valor Op-Coste'!W25=0, 999999, 1/'MatrizTradeOff Valor Op-Coste'!W25))</f>
        <v>999999</v>
      </c>
      <c r="X25" s="98">
        <f>IF($C25=X$3, 0, IF('MatrizTradeOff Valor Op-Coste'!X25=0, 999999, 1/'MatrizTradeOff Valor Op-Coste'!X25))</f>
        <v>999999</v>
      </c>
      <c r="Y25" s="98">
        <f>IF($C25=Y$3, 0, IF('MatrizTradeOff Valor Op-Coste'!Y25=0, 999999, 1/'MatrizTradeOff Valor Op-Coste'!Y25))</f>
        <v>0</v>
      </c>
      <c r="Z25" s="98">
        <f>IF($C25=Z$3, 0, IF('MatrizTradeOff Valor Op-Coste'!Z25=0, 999999, 1/'MatrizTradeOff Valor Op-Coste'!Z25))</f>
        <v>999999</v>
      </c>
      <c r="AA25" s="98">
        <f>IF($C25=AA$3, 0, IF('MatrizTradeOff Valor Op-Coste'!AA25=0, 999999, 1/'MatrizTradeOff Valor Op-Coste'!AA25))</f>
        <v>999999</v>
      </c>
      <c r="AB25" s="98">
        <f>IF($C25=AB$3, 0, IF('MatrizTradeOff Valor Op-Coste'!AB25=0, 999999, 1/'MatrizTradeOff Valor Op-Coste'!AB25))</f>
        <v>999999</v>
      </c>
      <c r="AC25" s="98">
        <f>IF($C25=AC$3, 0, IF('MatrizTradeOff Valor Op-Coste'!AC25=0, 999999, 1/'MatrizTradeOff Valor Op-Coste'!AC25))</f>
        <v>999999</v>
      </c>
      <c r="AD25" s="98">
        <f>IF($C25=AD$3, 0, IF('MatrizTradeOff Valor Op-Coste'!AD25=0, 999999, 1/'MatrizTradeOff Valor Op-Coste'!AD25))</f>
        <v>0.37974683544303789</v>
      </c>
      <c r="AE25" s="98">
        <f>IF($C25=AE$3, 0, IF('MatrizTradeOff Valor Op-Coste'!AE25=0, 999999, 1/'MatrizTradeOff Valor Op-Coste'!AE25))</f>
        <v>0.3529411764705882</v>
      </c>
      <c r="AF25" s="98">
        <f>IF($C25=AF$3, 0, IF('MatrizTradeOff Valor Op-Coste'!AF25=0, 999999, 1/'MatrizTradeOff Valor Op-Coste'!AF25))</f>
        <v>0.39285714285714285</v>
      </c>
      <c r="AG25" s="98">
        <f>IF($C25=AG$3, 0, IF('MatrizTradeOff Valor Op-Coste'!AG25=0, 999999, 1/'MatrizTradeOff Valor Op-Coste'!AG25))</f>
        <v>999999</v>
      </c>
      <c r="AH25" s="98">
        <f>IF($C25=AH$3, 0, IF('MatrizTradeOff Valor Op-Coste'!AH25=0, 999999, 1/'MatrizTradeOff Valor Op-Coste'!AH25))</f>
        <v>999999</v>
      </c>
    </row>
    <row r="26" spans="2:34" ht="17.25" customHeight="1" x14ac:dyDescent="0.25">
      <c r="B26" s="48" t="str">
        <f>VLOOKUP(tblMatrizDistanciasDirectas[[#This Row],[Nodo Orig.\Dest.]],tblNodos[],2,FALSE)</f>
        <v>Intermediarios logísticos del contrabando</v>
      </c>
      <c r="C26" s="75" t="s">
        <v>69</v>
      </c>
      <c r="D26" s="98">
        <f>IF($C26=D$3, 0, IF('MatrizTradeOff Valor Op-Coste'!D26=0, 999999, 1/'MatrizTradeOff Valor Op-Coste'!D26))</f>
        <v>999999</v>
      </c>
      <c r="E26" s="98">
        <f>IF($C26=E$3, 0, IF('MatrizTradeOff Valor Op-Coste'!E26=0, 999999, 1/'MatrizTradeOff Valor Op-Coste'!E26))</f>
        <v>999999</v>
      </c>
      <c r="F26" s="98">
        <f>IF($C26=F$3, 0, IF('MatrizTradeOff Valor Op-Coste'!F26=0, 999999, 1/'MatrizTradeOff Valor Op-Coste'!F26))</f>
        <v>999999</v>
      </c>
      <c r="G26" s="98">
        <f>IF($C26=G$3, 0, IF('MatrizTradeOff Valor Op-Coste'!G26=0, 999999, 1/'MatrizTradeOff Valor Op-Coste'!G26))</f>
        <v>999999</v>
      </c>
      <c r="H26" s="98">
        <f>IF($C26=H$3, 0, IF('MatrizTradeOff Valor Op-Coste'!H26=0, 999999, 1/'MatrizTradeOff Valor Op-Coste'!H26))</f>
        <v>999999</v>
      </c>
      <c r="I26" s="98">
        <f>IF($C26=I$3, 0, IF('MatrizTradeOff Valor Op-Coste'!I26=0, 999999, 1/'MatrizTradeOff Valor Op-Coste'!I26))</f>
        <v>999999</v>
      </c>
      <c r="J26" s="98">
        <f>IF($C26=J$3, 0, IF('MatrizTradeOff Valor Op-Coste'!J26=0, 999999, 1/'MatrizTradeOff Valor Op-Coste'!J26))</f>
        <v>999999</v>
      </c>
      <c r="K26" s="98">
        <f>IF($C26=K$3, 0, IF('MatrizTradeOff Valor Op-Coste'!K26=0, 999999, 1/'MatrizTradeOff Valor Op-Coste'!K26))</f>
        <v>999999</v>
      </c>
      <c r="L26" s="98">
        <f>IF($C26=L$3, 0, IF('MatrizTradeOff Valor Op-Coste'!L26=0, 999999, 1/'MatrizTradeOff Valor Op-Coste'!L26))</f>
        <v>999999</v>
      </c>
      <c r="M26" s="98">
        <f>IF($C26=M$3, 0, IF('MatrizTradeOff Valor Op-Coste'!M26=0, 999999, 1/'MatrizTradeOff Valor Op-Coste'!M26))</f>
        <v>999999</v>
      </c>
      <c r="N26" s="98">
        <f>IF($C26=N$3, 0, IF('MatrizTradeOff Valor Op-Coste'!N26=0, 999999, 1/'MatrizTradeOff Valor Op-Coste'!N26))</f>
        <v>999999</v>
      </c>
      <c r="O26" s="98">
        <f>IF($C26=O$3, 0, IF('MatrizTradeOff Valor Op-Coste'!O26=0, 999999, 1/'MatrizTradeOff Valor Op-Coste'!O26))</f>
        <v>999999</v>
      </c>
      <c r="P26" s="98">
        <f>IF($C26=P$3, 0, IF('MatrizTradeOff Valor Op-Coste'!P26=0, 999999, 1/'MatrizTradeOff Valor Op-Coste'!P26))</f>
        <v>999999</v>
      </c>
      <c r="Q26" s="98">
        <f>IF($C26=Q$3, 0, IF('MatrizTradeOff Valor Op-Coste'!Q26=0, 999999, 1/'MatrizTradeOff Valor Op-Coste'!Q26))</f>
        <v>999999</v>
      </c>
      <c r="R26" s="98">
        <f>IF($C26=R$3, 0, IF('MatrizTradeOff Valor Op-Coste'!R26=0, 999999, 1/'MatrizTradeOff Valor Op-Coste'!R26))</f>
        <v>999999</v>
      </c>
      <c r="S26" s="98">
        <f>IF($C26=S$3, 0, IF('MatrizTradeOff Valor Op-Coste'!S26=0, 999999, 1/'MatrizTradeOff Valor Op-Coste'!S26))</f>
        <v>999999</v>
      </c>
      <c r="T26" s="98">
        <f>IF($C26=T$3, 0, IF('MatrizTradeOff Valor Op-Coste'!T26=0, 999999, 1/'MatrizTradeOff Valor Op-Coste'!T26))</f>
        <v>999999</v>
      </c>
      <c r="U26" s="98">
        <f>IF($C26=U$3, 0, IF('MatrizTradeOff Valor Op-Coste'!U26=0, 999999, 1/'MatrizTradeOff Valor Op-Coste'!U26))</f>
        <v>999999</v>
      </c>
      <c r="V26" s="101">
        <f>IF($C26=V$3, 0, IF('MatrizTradeOff Valor Op-Coste'!V26=0, 999999, 1/'MatrizTradeOff Valor Op-Coste'!V26))</f>
        <v>999999</v>
      </c>
      <c r="W26" s="98">
        <f>IF($C26=W$3, 0, IF('MatrizTradeOff Valor Op-Coste'!W26=0, 999999, 1/'MatrizTradeOff Valor Op-Coste'!W26))</f>
        <v>999999</v>
      </c>
      <c r="X26" s="98">
        <f>IF($C26=X$3, 0, IF('MatrizTradeOff Valor Op-Coste'!X26=0, 999999, 1/'MatrizTradeOff Valor Op-Coste'!X26))</f>
        <v>999999</v>
      </c>
      <c r="Y26" s="98">
        <f>IF($C26=Y$3, 0, IF('MatrizTradeOff Valor Op-Coste'!Y26=0, 999999, 1/'MatrizTradeOff Valor Op-Coste'!Y26))</f>
        <v>999999</v>
      </c>
      <c r="Z26" s="98">
        <f>IF($C26=Z$3, 0, IF('MatrizTradeOff Valor Op-Coste'!Z26=0, 999999, 1/'MatrizTradeOff Valor Op-Coste'!Z26))</f>
        <v>0</v>
      </c>
      <c r="AA26" s="98">
        <f>IF($C26=AA$3, 0, IF('MatrizTradeOff Valor Op-Coste'!AA26=0, 999999, 1/'MatrizTradeOff Valor Op-Coste'!AA26))</f>
        <v>999999</v>
      </c>
      <c r="AB26" s="98">
        <f>IF($C26=AB$3, 0, IF('MatrizTradeOff Valor Op-Coste'!AB26=0, 999999, 1/'MatrizTradeOff Valor Op-Coste'!AB26))</f>
        <v>999999</v>
      </c>
      <c r="AC26" s="98">
        <f>IF($C26=AC$3, 0, IF('MatrizTradeOff Valor Op-Coste'!AC26=0, 999999, 1/'MatrizTradeOff Valor Op-Coste'!AC26))</f>
        <v>999999</v>
      </c>
      <c r="AD26" s="98">
        <f>IF($C26=AD$3, 0, IF('MatrizTradeOff Valor Op-Coste'!AD26=0, 999999, 1/'MatrizTradeOff Valor Op-Coste'!AD26))</f>
        <v>0.37974683544303789</v>
      </c>
      <c r="AE26" s="98">
        <f>IF($C26=AE$3, 0, IF('MatrizTradeOff Valor Op-Coste'!AE26=0, 999999, 1/'MatrizTradeOff Valor Op-Coste'!AE26))</f>
        <v>999999</v>
      </c>
      <c r="AF26" s="98">
        <f>IF($C26=AF$3, 0, IF('MatrizTradeOff Valor Op-Coste'!AF26=0, 999999, 1/'MatrizTradeOff Valor Op-Coste'!AF26))</f>
        <v>999999</v>
      </c>
      <c r="AG26" s="98">
        <f>IF($C26=AG$3, 0, IF('MatrizTradeOff Valor Op-Coste'!AG26=0, 999999, 1/'MatrizTradeOff Valor Op-Coste'!AG26))</f>
        <v>0.27272727272727276</v>
      </c>
      <c r="AH26" s="98">
        <f>IF($C26=AH$3, 0, IF('MatrizTradeOff Valor Op-Coste'!AH26=0, 999999, 1/'MatrizTradeOff Valor Op-Coste'!AH26))</f>
        <v>999999</v>
      </c>
    </row>
    <row r="27" spans="2:34" ht="17.25" customHeight="1" x14ac:dyDescent="0.25">
      <c r="B27" s="48" t="str">
        <f>VLOOKUP(tblMatrizDistanciasDirectas[[#This Row],[Nodo Orig.\Dest.]],tblNodos[],2,FALSE)</f>
        <v>Intermediarios financeros especializados</v>
      </c>
      <c r="C27" s="75" t="s">
        <v>71</v>
      </c>
      <c r="D27" s="98">
        <f>IF($C27=D$3, 0, IF('MatrizTradeOff Valor Op-Coste'!D27=0, 999999, 1/'MatrizTradeOff Valor Op-Coste'!D27))</f>
        <v>999999</v>
      </c>
      <c r="E27" s="98">
        <f>IF($C27=E$3, 0, IF('MatrizTradeOff Valor Op-Coste'!E27=0, 999999, 1/'MatrizTradeOff Valor Op-Coste'!E27))</f>
        <v>999999</v>
      </c>
      <c r="F27" s="98">
        <f>IF($C27=F$3, 0, IF('MatrizTradeOff Valor Op-Coste'!F27=0, 999999, 1/'MatrizTradeOff Valor Op-Coste'!F27))</f>
        <v>999999</v>
      </c>
      <c r="G27" s="98">
        <f>IF($C27=G$3, 0, IF('MatrizTradeOff Valor Op-Coste'!G27=0, 999999, 1/'MatrizTradeOff Valor Op-Coste'!G27))</f>
        <v>999999</v>
      </c>
      <c r="H27" s="98">
        <f>IF($C27=H$3, 0, IF('MatrizTradeOff Valor Op-Coste'!H27=0, 999999, 1/'MatrizTradeOff Valor Op-Coste'!H27))</f>
        <v>999999</v>
      </c>
      <c r="I27" s="98">
        <f>IF($C27=I$3, 0, IF('MatrizTradeOff Valor Op-Coste'!I27=0, 999999, 1/'MatrizTradeOff Valor Op-Coste'!I27))</f>
        <v>999999</v>
      </c>
      <c r="J27" s="98">
        <f>IF($C27=J$3, 0, IF('MatrizTradeOff Valor Op-Coste'!J27=0, 999999, 1/'MatrizTradeOff Valor Op-Coste'!J27))</f>
        <v>999999</v>
      </c>
      <c r="K27" s="98">
        <f>IF($C27=K$3, 0, IF('MatrizTradeOff Valor Op-Coste'!K27=0, 999999, 1/'MatrizTradeOff Valor Op-Coste'!K27))</f>
        <v>999999</v>
      </c>
      <c r="L27" s="98">
        <f>IF($C27=L$3, 0, IF('MatrizTradeOff Valor Op-Coste'!L27=0, 999999, 1/'MatrizTradeOff Valor Op-Coste'!L27))</f>
        <v>999999</v>
      </c>
      <c r="M27" s="98">
        <f>IF($C27=M$3, 0, IF('MatrizTradeOff Valor Op-Coste'!M27=0, 999999, 1/'MatrizTradeOff Valor Op-Coste'!M27))</f>
        <v>999999</v>
      </c>
      <c r="N27" s="98">
        <f>IF($C27=N$3, 0, IF('MatrizTradeOff Valor Op-Coste'!N27=0, 999999, 1/'MatrizTradeOff Valor Op-Coste'!N27))</f>
        <v>999999</v>
      </c>
      <c r="O27" s="98">
        <f>IF($C27=O$3, 0, IF('MatrizTradeOff Valor Op-Coste'!O27=0, 999999, 1/'MatrizTradeOff Valor Op-Coste'!O27))</f>
        <v>999999</v>
      </c>
      <c r="P27" s="98">
        <f>IF($C27=P$3, 0, IF('MatrizTradeOff Valor Op-Coste'!P27=0, 999999, 1/'MatrizTradeOff Valor Op-Coste'!P27))</f>
        <v>999999</v>
      </c>
      <c r="Q27" s="98">
        <f>IF($C27=Q$3, 0, IF('MatrizTradeOff Valor Op-Coste'!Q27=0, 999999, 1/'MatrizTradeOff Valor Op-Coste'!Q27))</f>
        <v>999999</v>
      </c>
      <c r="R27" s="98">
        <f>IF($C27=R$3, 0, IF('MatrizTradeOff Valor Op-Coste'!R27=0, 999999, 1/'MatrizTradeOff Valor Op-Coste'!R27))</f>
        <v>999999</v>
      </c>
      <c r="S27" s="98">
        <f>IF($C27=S$3, 0, IF('MatrizTradeOff Valor Op-Coste'!S27=0, 999999, 1/'MatrizTradeOff Valor Op-Coste'!S27))</f>
        <v>999999</v>
      </c>
      <c r="T27" s="98">
        <f>IF($C27=T$3, 0, IF('MatrizTradeOff Valor Op-Coste'!T27=0, 999999, 1/'MatrizTradeOff Valor Op-Coste'!T27))</f>
        <v>999999</v>
      </c>
      <c r="U27" s="98">
        <f>IF($C27=U$3, 0, IF('MatrizTradeOff Valor Op-Coste'!U27=0, 999999, 1/'MatrizTradeOff Valor Op-Coste'!U27))</f>
        <v>999999</v>
      </c>
      <c r="V27" s="101">
        <f>IF($C27=V$3, 0, IF('MatrizTradeOff Valor Op-Coste'!V27=0, 999999, 1/'MatrizTradeOff Valor Op-Coste'!V27))</f>
        <v>999999</v>
      </c>
      <c r="W27" s="98">
        <f>IF($C27=W$3, 0, IF('MatrizTradeOff Valor Op-Coste'!W27=0, 999999, 1/'MatrizTradeOff Valor Op-Coste'!W27))</f>
        <v>999999</v>
      </c>
      <c r="X27" s="98">
        <f>IF($C27=X$3, 0, IF('MatrizTradeOff Valor Op-Coste'!X27=0, 999999, 1/'MatrizTradeOff Valor Op-Coste'!X27))</f>
        <v>999999</v>
      </c>
      <c r="Y27" s="98">
        <f>IF($C27=Y$3, 0, IF('MatrizTradeOff Valor Op-Coste'!Y27=0, 999999, 1/'MatrizTradeOff Valor Op-Coste'!Y27))</f>
        <v>999999</v>
      </c>
      <c r="Z27" s="98">
        <f>IF($C27=Z$3, 0, IF('MatrizTradeOff Valor Op-Coste'!Z27=0, 999999, 1/'MatrizTradeOff Valor Op-Coste'!Z27))</f>
        <v>999999</v>
      </c>
      <c r="AA27" s="98">
        <f>IF($C27=AA$3, 0, IF('MatrizTradeOff Valor Op-Coste'!AA27=0, 999999, 1/'MatrizTradeOff Valor Op-Coste'!AA27))</f>
        <v>0</v>
      </c>
      <c r="AB27" s="98">
        <f>IF($C27=AB$3, 0, IF('MatrizTradeOff Valor Op-Coste'!AB27=0, 999999, 1/'MatrizTradeOff Valor Op-Coste'!AB27))</f>
        <v>999999</v>
      </c>
      <c r="AC27" s="98">
        <f>IF($C27=AC$3, 0, IF('MatrizTradeOff Valor Op-Coste'!AC27=0, 999999, 1/'MatrizTradeOff Valor Op-Coste'!AC27))</f>
        <v>999999</v>
      </c>
      <c r="AD27" s="98">
        <f>IF($C27=AD$3, 0, IF('MatrizTradeOff Valor Op-Coste'!AD27=0, 999999, 1/'MatrizTradeOff Valor Op-Coste'!AD27))</f>
        <v>0.28301886792452829</v>
      </c>
      <c r="AE27" s="98">
        <f>IF($C27=AE$3, 0, IF('MatrizTradeOff Valor Op-Coste'!AE27=0, 999999, 1/'MatrizTradeOff Valor Op-Coste'!AE27))</f>
        <v>0.30769230769230771</v>
      </c>
      <c r="AF27" s="98">
        <f>IF($C27=AF$3, 0, IF('MatrizTradeOff Valor Op-Coste'!AF27=0, 999999, 1/'MatrizTradeOff Valor Op-Coste'!AF27))</f>
        <v>999999</v>
      </c>
      <c r="AG27" s="98">
        <f>IF($C27=AG$3, 0, IF('MatrizTradeOff Valor Op-Coste'!AG27=0, 999999, 1/'MatrizTradeOff Valor Op-Coste'!AG27))</f>
        <v>999999</v>
      </c>
      <c r="AH27" s="98">
        <f>IF($C27=AH$3, 0, IF('MatrizTradeOff Valor Op-Coste'!AH27=0, 999999, 1/'MatrizTradeOff Valor Op-Coste'!AH27))</f>
        <v>999999</v>
      </c>
    </row>
    <row r="28" spans="2:34" ht="17.25" customHeight="1" x14ac:dyDescent="0.25">
      <c r="B28" s="48" t="str">
        <f>VLOOKUP(tblMatrizDistanciasDirectas[[#This Row],[Nodo Orig.\Dest.]],tblNodos[],2,FALSE)</f>
        <v>Intermediarios operativos y de cobertura</v>
      </c>
      <c r="C28" s="75" t="s">
        <v>73</v>
      </c>
      <c r="D28" s="98">
        <f>IF($C28=D$3, 0, IF('MatrizTradeOff Valor Op-Coste'!D28=0, 999999, 1/'MatrizTradeOff Valor Op-Coste'!D28))</f>
        <v>999999</v>
      </c>
      <c r="E28" s="98">
        <f>IF($C28=E$3, 0, IF('MatrizTradeOff Valor Op-Coste'!E28=0, 999999, 1/'MatrizTradeOff Valor Op-Coste'!E28))</f>
        <v>999999</v>
      </c>
      <c r="F28" s="98">
        <f>IF($C28=F$3, 0, IF('MatrizTradeOff Valor Op-Coste'!F28=0, 999999, 1/'MatrizTradeOff Valor Op-Coste'!F28))</f>
        <v>999999</v>
      </c>
      <c r="G28" s="98">
        <f>IF($C28=G$3, 0, IF('MatrizTradeOff Valor Op-Coste'!G28=0, 999999, 1/'MatrizTradeOff Valor Op-Coste'!G28))</f>
        <v>999999</v>
      </c>
      <c r="H28" s="98">
        <f>IF($C28=H$3, 0, IF('MatrizTradeOff Valor Op-Coste'!H28=0, 999999, 1/'MatrizTradeOff Valor Op-Coste'!H28))</f>
        <v>999999</v>
      </c>
      <c r="I28" s="98">
        <f>IF($C28=I$3, 0, IF('MatrizTradeOff Valor Op-Coste'!I28=0, 999999, 1/'MatrizTradeOff Valor Op-Coste'!I28))</f>
        <v>999999</v>
      </c>
      <c r="J28" s="98">
        <f>IF($C28=J$3, 0, IF('MatrizTradeOff Valor Op-Coste'!J28=0, 999999, 1/'MatrizTradeOff Valor Op-Coste'!J28))</f>
        <v>999999</v>
      </c>
      <c r="K28" s="98">
        <f>IF($C28=K$3, 0, IF('MatrizTradeOff Valor Op-Coste'!K28=0, 999999, 1/'MatrizTradeOff Valor Op-Coste'!K28))</f>
        <v>999999</v>
      </c>
      <c r="L28" s="98">
        <f>IF($C28=L$3, 0, IF('MatrizTradeOff Valor Op-Coste'!L28=0, 999999, 1/'MatrizTradeOff Valor Op-Coste'!L28))</f>
        <v>999999</v>
      </c>
      <c r="M28" s="98">
        <f>IF($C28=M$3, 0, IF('MatrizTradeOff Valor Op-Coste'!M28=0, 999999, 1/'MatrizTradeOff Valor Op-Coste'!M28))</f>
        <v>999999</v>
      </c>
      <c r="N28" s="98">
        <f>IF($C28=N$3, 0, IF('MatrizTradeOff Valor Op-Coste'!N28=0, 999999, 1/'MatrizTradeOff Valor Op-Coste'!N28))</f>
        <v>999999</v>
      </c>
      <c r="O28" s="98">
        <f>IF($C28=O$3, 0, IF('MatrizTradeOff Valor Op-Coste'!O28=0, 999999, 1/'MatrizTradeOff Valor Op-Coste'!O28))</f>
        <v>999999</v>
      </c>
      <c r="P28" s="98">
        <f>IF($C28=P$3, 0, IF('MatrizTradeOff Valor Op-Coste'!P28=0, 999999, 1/'MatrizTradeOff Valor Op-Coste'!P28))</f>
        <v>999999</v>
      </c>
      <c r="Q28" s="98">
        <f>IF($C28=Q$3, 0, IF('MatrizTradeOff Valor Op-Coste'!Q28=0, 999999, 1/'MatrizTradeOff Valor Op-Coste'!Q28))</f>
        <v>999999</v>
      </c>
      <c r="R28" s="98">
        <f>IF($C28=R$3, 0, IF('MatrizTradeOff Valor Op-Coste'!R28=0, 999999, 1/'MatrizTradeOff Valor Op-Coste'!R28))</f>
        <v>999999</v>
      </c>
      <c r="S28" s="98">
        <f>IF($C28=S$3, 0, IF('MatrizTradeOff Valor Op-Coste'!S28=0, 999999, 1/'MatrizTradeOff Valor Op-Coste'!S28))</f>
        <v>999999</v>
      </c>
      <c r="T28" s="98">
        <f>IF($C28=T$3, 0, IF('MatrizTradeOff Valor Op-Coste'!T28=0, 999999, 1/'MatrizTradeOff Valor Op-Coste'!T28))</f>
        <v>999999</v>
      </c>
      <c r="U28" s="98">
        <f>IF($C28=U$3, 0, IF('MatrizTradeOff Valor Op-Coste'!U28=0, 999999, 1/'MatrizTradeOff Valor Op-Coste'!U28))</f>
        <v>999999</v>
      </c>
      <c r="V28" s="101">
        <f>IF($C28=V$3, 0, IF('MatrizTradeOff Valor Op-Coste'!V28=0, 999999, 1/'MatrizTradeOff Valor Op-Coste'!V28))</f>
        <v>999999</v>
      </c>
      <c r="W28" s="98">
        <f>IF($C28=W$3, 0, IF('MatrizTradeOff Valor Op-Coste'!W28=0, 999999, 1/'MatrizTradeOff Valor Op-Coste'!W28))</f>
        <v>999999</v>
      </c>
      <c r="X28" s="98">
        <f>IF($C28=X$3, 0, IF('MatrizTradeOff Valor Op-Coste'!X28=0, 999999, 1/'MatrizTradeOff Valor Op-Coste'!X28))</f>
        <v>999999</v>
      </c>
      <c r="Y28" s="98">
        <f>IF($C28=Y$3, 0, IF('MatrizTradeOff Valor Op-Coste'!Y28=0, 999999, 1/'MatrizTradeOff Valor Op-Coste'!Y28))</f>
        <v>999999</v>
      </c>
      <c r="Z28" s="98">
        <f>IF($C28=Z$3, 0, IF('MatrizTradeOff Valor Op-Coste'!Z28=0, 999999, 1/'MatrizTradeOff Valor Op-Coste'!Z28))</f>
        <v>999999</v>
      </c>
      <c r="AA28" s="98">
        <f>IF($C28=AA$3, 0, IF('MatrizTradeOff Valor Op-Coste'!AA28=0, 999999, 1/'MatrizTradeOff Valor Op-Coste'!AA28))</f>
        <v>999999</v>
      </c>
      <c r="AB28" s="98">
        <f>IF($C28=AB$3, 0, IF('MatrizTradeOff Valor Op-Coste'!AB28=0, 999999, 1/'MatrizTradeOff Valor Op-Coste'!AB28))</f>
        <v>0</v>
      </c>
      <c r="AC28" s="98">
        <f>IF($C28=AC$3, 0, IF('MatrizTradeOff Valor Op-Coste'!AC28=0, 999999, 1/'MatrizTradeOff Valor Op-Coste'!AC28))</f>
        <v>999999</v>
      </c>
      <c r="AD28" s="98">
        <f>IF($C28=AD$3, 0, IF('MatrizTradeOff Valor Op-Coste'!AD28=0, 999999, 1/'MatrizTradeOff Valor Op-Coste'!AD28))</f>
        <v>0.36363636363636365</v>
      </c>
      <c r="AE28" s="98">
        <f>IF($C28=AE$3, 0, IF('MatrizTradeOff Valor Op-Coste'!AE28=0, 999999, 1/'MatrizTradeOff Valor Op-Coste'!AE28))</f>
        <v>999999</v>
      </c>
      <c r="AF28" s="98">
        <f>IF($C28=AF$3, 0, IF('MatrizTradeOff Valor Op-Coste'!AF28=0, 999999, 1/'MatrizTradeOff Valor Op-Coste'!AF28))</f>
        <v>999999</v>
      </c>
      <c r="AG28" s="98">
        <f>IF($C28=AG$3, 0, IF('MatrizTradeOff Valor Op-Coste'!AG28=0, 999999, 1/'MatrizTradeOff Valor Op-Coste'!AG28))</f>
        <v>999999</v>
      </c>
      <c r="AH28" s="98">
        <f>IF($C28=AH$3, 0, IF('MatrizTradeOff Valor Op-Coste'!AH28=0, 999999, 1/'MatrizTradeOff Valor Op-Coste'!AH28))</f>
        <v>999999</v>
      </c>
    </row>
    <row r="29" spans="2:34" ht="17.25" customHeight="1" x14ac:dyDescent="0.25">
      <c r="B29" s="48" t="str">
        <f>VLOOKUP(tblMatrizDistanciasDirectas[[#This Row],[Nodo Orig.\Dest.]],tblNodos[],2,FALSE)</f>
        <v>Intermediarios de negociación y rescate</v>
      </c>
      <c r="C29" s="75" t="s">
        <v>75</v>
      </c>
      <c r="D29" s="98">
        <f>IF($C29=D$3, 0, IF('MatrizTradeOff Valor Op-Coste'!D29=0, 999999, 1/'MatrizTradeOff Valor Op-Coste'!D29))</f>
        <v>999999</v>
      </c>
      <c r="E29" s="98">
        <f>IF($C29=E$3, 0, IF('MatrizTradeOff Valor Op-Coste'!E29=0, 999999, 1/'MatrizTradeOff Valor Op-Coste'!E29))</f>
        <v>999999</v>
      </c>
      <c r="F29" s="98">
        <f>IF($C29=F$3, 0, IF('MatrizTradeOff Valor Op-Coste'!F29=0, 999999, 1/'MatrizTradeOff Valor Op-Coste'!F29))</f>
        <v>999999</v>
      </c>
      <c r="G29" s="98">
        <f>IF($C29=G$3, 0, IF('MatrizTradeOff Valor Op-Coste'!G29=0, 999999, 1/'MatrizTradeOff Valor Op-Coste'!G29))</f>
        <v>999999</v>
      </c>
      <c r="H29" s="98">
        <f>IF($C29=H$3, 0, IF('MatrizTradeOff Valor Op-Coste'!H29=0, 999999, 1/'MatrizTradeOff Valor Op-Coste'!H29))</f>
        <v>999999</v>
      </c>
      <c r="I29" s="98">
        <f>IF($C29=I$3, 0, IF('MatrizTradeOff Valor Op-Coste'!I29=0, 999999, 1/'MatrizTradeOff Valor Op-Coste'!I29))</f>
        <v>999999</v>
      </c>
      <c r="J29" s="98">
        <f>IF($C29=J$3, 0, IF('MatrizTradeOff Valor Op-Coste'!J29=0, 999999, 1/'MatrizTradeOff Valor Op-Coste'!J29))</f>
        <v>999999</v>
      </c>
      <c r="K29" s="98">
        <f>IF($C29=K$3, 0, IF('MatrizTradeOff Valor Op-Coste'!K29=0, 999999, 1/'MatrizTradeOff Valor Op-Coste'!K29))</f>
        <v>999999</v>
      </c>
      <c r="L29" s="98">
        <f>IF($C29=L$3, 0, IF('MatrizTradeOff Valor Op-Coste'!L29=0, 999999, 1/'MatrizTradeOff Valor Op-Coste'!L29))</f>
        <v>999999</v>
      </c>
      <c r="M29" s="98">
        <f>IF($C29=M$3, 0, IF('MatrizTradeOff Valor Op-Coste'!M29=0, 999999, 1/'MatrizTradeOff Valor Op-Coste'!M29))</f>
        <v>999999</v>
      </c>
      <c r="N29" s="98">
        <f>IF($C29=N$3, 0, IF('MatrizTradeOff Valor Op-Coste'!N29=0, 999999, 1/'MatrizTradeOff Valor Op-Coste'!N29))</f>
        <v>999999</v>
      </c>
      <c r="O29" s="98">
        <f>IF($C29=O$3, 0, IF('MatrizTradeOff Valor Op-Coste'!O29=0, 999999, 1/'MatrizTradeOff Valor Op-Coste'!O29))</f>
        <v>999999</v>
      </c>
      <c r="P29" s="98">
        <f>IF($C29=P$3, 0, IF('MatrizTradeOff Valor Op-Coste'!P29=0, 999999, 1/'MatrizTradeOff Valor Op-Coste'!P29))</f>
        <v>999999</v>
      </c>
      <c r="Q29" s="98">
        <f>IF($C29=Q$3, 0, IF('MatrizTradeOff Valor Op-Coste'!Q29=0, 999999, 1/'MatrizTradeOff Valor Op-Coste'!Q29))</f>
        <v>999999</v>
      </c>
      <c r="R29" s="98">
        <f>IF($C29=R$3, 0, IF('MatrizTradeOff Valor Op-Coste'!R29=0, 999999, 1/'MatrizTradeOff Valor Op-Coste'!R29))</f>
        <v>999999</v>
      </c>
      <c r="S29" s="98">
        <f>IF($C29=S$3, 0, IF('MatrizTradeOff Valor Op-Coste'!S29=0, 999999, 1/'MatrizTradeOff Valor Op-Coste'!S29))</f>
        <v>999999</v>
      </c>
      <c r="T29" s="98">
        <f>IF($C29=T$3, 0, IF('MatrizTradeOff Valor Op-Coste'!T29=0, 999999, 1/'MatrizTradeOff Valor Op-Coste'!T29))</f>
        <v>999999</v>
      </c>
      <c r="U29" s="98">
        <f>IF($C29=U$3, 0, IF('MatrizTradeOff Valor Op-Coste'!U29=0, 999999, 1/'MatrizTradeOff Valor Op-Coste'!U29))</f>
        <v>999999</v>
      </c>
      <c r="V29" s="101">
        <f>IF($C29=V$3, 0, IF('MatrizTradeOff Valor Op-Coste'!V29=0, 999999, 1/'MatrizTradeOff Valor Op-Coste'!V29))</f>
        <v>999999</v>
      </c>
      <c r="W29" s="98">
        <f>IF($C29=W$3, 0, IF('MatrizTradeOff Valor Op-Coste'!W29=0, 999999, 1/'MatrizTradeOff Valor Op-Coste'!W29))</f>
        <v>999999</v>
      </c>
      <c r="X29" s="98">
        <f>IF($C29=X$3, 0, IF('MatrizTradeOff Valor Op-Coste'!X29=0, 999999, 1/'MatrizTradeOff Valor Op-Coste'!X29))</f>
        <v>999999</v>
      </c>
      <c r="Y29" s="98">
        <f>IF($C29=Y$3, 0, IF('MatrizTradeOff Valor Op-Coste'!Y29=0, 999999, 1/'MatrizTradeOff Valor Op-Coste'!Y29))</f>
        <v>999999</v>
      </c>
      <c r="Z29" s="98">
        <f>IF($C29=Z$3, 0, IF('MatrizTradeOff Valor Op-Coste'!Z29=0, 999999, 1/'MatrizTradeOff Valor Op-Coste'!Z29))</f>
        <v>999999</v>
      </c>
      <c r="AA29" s="98">
        <f>IF($C29=AA$3, 0, IF('MatrizTradeOff Valor Op-Coste'!AA29=0, 999999, 1/'MatrizTradeOff Valor Op-Coste'!AA29))</f>
        <v>999999</v>
      </c>
      <c r="AB29" s="98">
        <f>IF($C29=AB$3, 0, IF('MatrizTradeOff Valor Op-Coste'!AB29=0, 999999, 1/'MatrizTradeOff Valor Op-Coste'!AB29))</f>
        <v>999999</v>
      </c>
      <c r="AC29" s="98">
        <f>IF($C29=AC$3, 0, IF('MatrizTradeOff Valor Op-Coste'!AC29=0, 999999, 1/'MatrizTradeOff Valor Op-Coste'!AC29))</f>
        <v>0</v>
      </c>
      <c r="AD29" s="98">
        <f>IF($C29=AD$3, 0, IF('MatrizTradeOff Valor Op-Coste'!AD29=0, 999999, 1/'MatrizTradeOff Valor Op-Coste'!AD29))</f>
        <v>999999</v>
      </c>
      <c r="AE29" s="98">
        <f>IF($C29=AE$3, 0, IF('MatrizTradeOff Valor Op-Coste'!AE29=0, 999999, 1/'MatrizTradeOff Valor Op-Coste'!AE29))</f>
        <v>999999</v>
      </c>
      <c r="AF29" s="98">
        <f>IF($C29=AF$3, 0, IF('MatrizTradeOff Valor Op-Coste'!AF29=0, 999999, 1/'MatrizTradeOff Valor Op-Coste'!AF29))</f>
        <v>999999</v>
      </c>
      <c r="AG29" s="98">
        <f>IF($C29=AG$3, 0, IF('MatrizTradeOff Valor Op-Coste'!AG29=0, 999999, 1/'MatrizTradeOff Valor Op-Coste'!AG29))</f>
        <v>0.25</v>
      </c>
      <c r="AH29" s="98">
        <f>IF($C29=AH$3, 0, IF('MatrizTradeOff Valor Op-Coste'!AH29=0, 999999, 1/'MatrizTradeOff Valor Op-Coste'!AH29))</f>
        <v>999999</v>
      </c>
    </row>
    <row r="30" spans="2:34" ht="17.25" customHeight="1" x14ac:dyDescent="0.25">
      <c r="B30" s="48" t="str">
        <f>VLOOKUP(tblMatrizDistanciasDirectas[[#This Row],[Nodo Orig.\Dest.]],tblNodos[],2,FALSE)</f>
        <v>Dirección financiera</v>
      </c>
      <c r="C30" s="75" t="s">
        <v>77</v>
      </c>
      <c r="D30" s="98">
        <f>IF($C30=D$3, 0, IF('MatrizTradeOff Valor Op-Coste'!D30=0, 999999, 1/'MatrizTradeOff Valor Op-Coste'!D30))</f>
        <v>999999</v>
      </c>
      <c r="E30" s="98">
        <f>IF($C30=E$3, 0, IF('MatrizTradeOff Valor Op-Coste'!E30=0, 999999, 1/'MatrizTradeOff Valor Op-Coste'!E30))</f>
        <v>999999</v>
      </c>
      <c r="F30" s="98">
        <f>IF($C30=F$3, 0, IF('MatrizTradeOff Valor Op-Coste'!F30=0, 999999, 1/'MatrizTradeOff Valor Op-Coste'!F30))</f>
        <v>999999</v>
      </c>
      <c r="G30" s="98">
        <f>IF($C30=G$3, 0, IF('MatrizTradeOff Valor Op-Coste'!G30=0, 999999, 1/'MatrizTradeOff Valor Op-Coste'!G30))</f>
        <v>999999</v>
      </c>
      <c r="H30" s="98">
        <f>IF($C30=H$3, 0, IF('MatrizTradeOff Valor Op-Coste'!H30=0, 999999, 1/'MatrizTradeOff Valor Op-Coste'!H30))</f>
        <v>999999</v>
      </c>
      <c r="I30" s="98">
        <f>IF($C30=I$3, 0, IF('MatrizTradeOff Valor Op-Coste'!I30=0, 999999, 1/'MatrizTradeOff Valor Op-Coste'!I30))</f>
        <v>999999</v>
      </c>
      <c r="J30" s="98">
        <f>IF($C30=J$3, 0, IF('MatrizTradeOff Valor Op-Coste'!J30=0, 999999, 1/'MatrizTradeOff Valor Op-Coste'!J30))</f>
        <v>999999</v>
      </c>
      <c r="K30" s="98">
        <f>IF($C30=K$3, 0, IF('MatrizTradeOff Valor Op-Coste'!K30=0, 999999, 1/'MatrizTradeOff Valor Op-Coste'!K30))</f>
        <v>999999</v>
      </c>
      <c r="L30" s="98">
        <f>IF($C30=L$3, 0, IF('MatrizTradeOff Valor Op-Coste'!L30=0, 999999, 1/'MatrizTradeOff Valor Op-Coste'!L30))</f>
        <v>999999</v>
      </c>
      <c r="M30" s="98">
        <f>IF($C30=M$3, 0, IF('MatrizTradeOff Valor Op-Coste'!M30=0, 999999, 1/'MatrizTradeOff Valor Op-Coste'!M30))</f>
        <v>999999</v>
      </c>
      <c r="N30" s="98">
        <f>IF($C30=N$3, 0, IF('MatrizTradeOff Valor Op-Coste'!N30=0, 999999, 1/'MatrizTradeOff Valor Op-Coste'!N30))</f>
        <v>999999</v>
      </c>
      <c r="O30" s="98">
        <f>IF($C30=O$3, 0, IF('MatrizTradeOff Valor Op-Coste'!O30=0, 999999, 1/'MatrizTradeOff Valor Op-Coste'!O30))</f>
        <v>999999</v>
      </c>
      <c r="P30" s="98">
        <f>IF($C30=P$3, 0, IF('MatrizTradeOff Valor Op-Coste'!P30=0, 999999, 1/'MatrizTradeOff Valor Op-Coste'!P30))</f>
        <v>999999</v>
      </c>
      <c r="Q30" s="98">
        <f>IF($C30=Q$3, 0, IF('MatrizTradeOff Valor Op-Coste'!Q30=0, 999999, 1/'MatrizTradeOff Valor Op-Coste'!Q30))</f>
        <v>999999</v>
      </c>
      <c r="R30" s="98">
        <f>IF($C30=R$3, 0, IF('MatrizTradeOff Valor Op-Coste'!R30=0, 999999, 1/'MatrizTradeOff Valor Op-Coste'!R30))</f>
        <v>999999</v>
      </c>
      <c r="S30" s="98">
        <f>IF($C30=S$3, 0, IF('MatrizTradeOff Valor Op-Coste'!S30=0, 999999, 1/'MatrizTradeOff Valor Op-Coste'!S30))</f>
        <v>999999</v>
      </c>
      <c r="T30" s="98">
        <f>IF($C30=T$3, 0, IF('MatrizTradeOff Valor Op-Coste'!T30=0, 999999, 1/'MatrizTradeOff Valor Op-Coste'!T30))</f>
        <v>999999</v>
      </c>
      <c r="U30" s="98">
        <f>IF($C30=U$3, 0, IF('MatrizTradeOff Valor Op-Coste'!U30=0, 999999, 1/'MatrizTradeOff Valor Op-Coste'!U30))</f>
        <v>999999</v>
      </c>
      <c r="V30" s="101">
        <f>IF($C30=V$3, 0, IF('MatrizTradeOff Valor Op-Coste'!V30=0, 999999, 1/'MatrizTradeOff Valor Op-Coste'!V30))</f>
        <v>999999</v>
      </c>
      <c r="W30" s="98">
        <f>IF($C30=W$3, 0, IF('MatrizTradeOff Valor Op-Coste'!W30=0, 999999, 1/'MatrizTradeOff Valor Op-Coste'!W30))</f>
        <v>999999</v>
      </c>
      <c r="X30" s="98">
        <f>IF($C30=X$3, 0, IF('MatrizTradeOff Valor Op-Coste'!X30=0, 999999, 1/'MatrizTradeOff Valor Op-Coste'!X30))</f>
        <v>999999</v>
      </c>
      <c r="Y30" s="98">
        <f>IF($C30=Y$3, 0, IF('MatrizTradeOff Valor Op-Coste'!Y30=0, 999999, 1/'MatrizTradeOff Valor Op-Coste'!Y30))</f>
        <v>999999</v>
      </c>
      <c r="Z30" s="98">
        <f>IF($C30=Z$3, 0, IF('MatrizTradeOff Valor Op-Coste'!Z30=0, 999999, 1/'MatrizTradeOff Valor Op-Coste'!Z30))</f>
        <v>999999</v>
      </c>
      <c r="AA30" s="98">
        <f>IF($C30=AA$3, 0, IF('MatrizTradeOff Valor Op-Coste'!AA30=0, 999999, 1/'MatrizTradeOff Valor Op-Coste'!AA30))</f>
        <v>999999</v>
      </c>
      <c r="AB30" s="98">
        <f>IF($C30=AB$3, 0, IF('MatrizTradeOff Valor Op-Coste'!AB30=0, 999999, 1/'MatrizTradeOff Valor Op-Coste'!AB30))</f>
        <v>999999</v>
      </c>
      <c r="AC30" s="98">
        <f>IF($C30=AC$3, 0, IF('MatrizTradeOff Valor Op-Coste'!AC30=0, 999999, 1/'MatrizTradeOff Valor Op-Coste'!AC30))</f>
        <v>999999</v>
      </c>
      <c r="AD30" s="98">
        <f>IF($C30=AD$3, 0, IF('MatrizTradeOff Valor Op-Coste'!AD30=0, 999999, 1/'MatrizTradeOff Valor Op-Coste'!AD30))</f>
        <v>0</v>
      </c>
      <c r="AE30" s="98">
        <f>IF($C30=AE$3, 0, IF('MatrizTradeOff Valor Op-Coste'!AE30=0, 999999, 1/'MatrizTradeOff Valor Op-Coste'!AE30))</f>
        <v>999999</v>
      </c>
      <c r="AF30" s="98">
        <f>IF($C30=AF$3, 0, IF('MatrizTradeOff Valor Op-Coste'!AF30=0, 999999, 1/'MatrizTradeOff Valor Op-Coste'!AF30))</f>
        <v>999999</v>
      </c>
      <c r="AG30" s="98">
        <f>IF($C30=AG$3, 0, IF('MatrizTradeOff Valor Op-Coste'!AG30=0, 999999, 1/'MatrizTradeOff Valor Op-Coste'!AG30))</f>
        <v>999999</v>
      </c>
      <c r="AH30" s="98">
        <f>IF($C30=AH$3, 0, IF('MatrizTradeOff Valor Op-Coste'!AH30=0, 999999, 1/'MatrizTradeOff Valor Op-Coste'!AH30))</f>
        <v>0.46511627906976744</v>
      </c>
    </row>
    <row r="31" spans="2:34" ht="17.25" customHeight="1" x14ac:dyDescent="0.25">
      <c r="B31" s="48" t="str">
        <f>VLOOKUP(tblMatrizDistanciasDirectas[[#This Row],[Nodo Orig.\Dest.]],tblNodos[],2,FALSE)</f>
        <v>Gestión operativa descentralizada</v>
      </c>
      <c r="C31" s="75" t="s">
        <v>79</v>
      </c>
      <c r="D31" s="98">
        <f>IF($C31=D$3, 0, IF('MatrizTradeOff Valor Op-Coste'!D31=0, 999999, 1/'MatrizTradeOff Valor Op-Coste'!D31))</f>
        <v>999999</v>
      </c>
      <c r="E31" s="98">
        <f>IF($C31=E$3, 0, IF('MatrizTradeOff Valor Op-Coste'!E31=0, 999999, 1/'MatrizTradeOff Valor Op-Coste'!E31))</f>
        <v>999999</v>
      </c>
      <c r="F31" s="98">
        <f>IF($C31=F$3, 0, IF('MatrizTradeOff Valor Op-Coste'!F31=0, 999999, 1/'MatrizTradeOff Valor Op-Coste'!F31))</f>
        <v>999999</v>
      </c>
      <c r="G31" s="98">
        <f>IF($C31=G$3, 0, IF('MatrizTradeOff Valor Op-Coste'!G31=0, 999999, 1/'MatrizTradeOff Valor Op-Coste'!G31))</f>
        <v>999999</v>
      </c>
      <c r="H31" s="98">
        <f>IF($C31=H$3, 0, IF('MatrizTradeOff Valor Op-Coste'!H31=0, 999999, 1/'MatrizTradeOff Valor Op-Coste'!H31))</f>
        <v>999999</v>
      </c>
      <c r="I31" s="98">
        <f>IF($C31=I$3, 0, IF('MatrizTradeOff Valor Op-Coste'!I31=0, 999999, 1/'MatrizTradeOff Valor Op-Coste'!I31))</f>
        <v>999999</v>
      </c>
      <c r="J31" s="98">
        <f>IF($C31=J$3, 0, IF('MatrizTradeOff Valor Op-Coste'!J31=0, 999999, 1/'MatrizTradeOff Valor Op-Coste'!J31))</f>
        <v>999999</v>
      </c>
      <c r="K31" s="98">
        <f>IF($C31=K$3, 0, IF('MatrizTradeOff Valor Op-Coste'!K31=0, 999999, 1/'MatrizTradeOff Valor Op-Coste'!K31))</f>
        <v>999999</v>
      </c>
      <c r="L31" s="98">
        <f>IF($C31=L$3, 0, IF('MatrizTradeOff Valor Op-Coste'!L31=0, 999999, 1/'MatrizTradeOff Valor Op-Coste'!L31))</f>
        <v>999999</v>
      </c>
      <c r="M31" s="98">
        <f>IF($C31=M$3, 0, IF('MatrizTradeOff Valor Op-Coste'!M31=0, 999999, 1/'MatrizTradeOff Valor Op-Coste'!M31))</f>
        <v>999999</v>
      </c>
      <c r="N31" s="98">
        <f>IF($C31=N$3, 0, IF('MatrizTradeOff Valor Op-Coste'!N31=0, 999999, 1/'MatrizTradeOff Valor Op-Coste'!N31))</f>
        <v>999999</v>
      </c>
      <c r="O31" s="98">
        <f>IF($C31=O$3, 0, IF('MatrizTradeOff Valor Op-Coste'!O31=0, 999999, 1/'MatrizTradeOff Valor Op-Coste'!O31))</f>
        <v>999999</v>
      </c>
      <c r="P31" s="98">
        <f>IF($C31=P$3, 0, IF('MatrizTradeOff Valor Op-Coste'!P31=0, 999999, 1/'MatrizTradeOff Valor Op-Coste'!P31))</f>
        <v>999999</v>
      </c>
      <c r="Q31" s="98">
        <f>IF($C31=Q$3, 0, IF('MatrizTradeOff Valor Op-Coste'!Q31=0, 999999, 1/'MatrizTradeOff Valor Op-Coste'!Q31))</f>
        <v>999999</v>
      </c>
      <c r="R31" s="98">
        <f>IF($C31=R$3, 0, IF('MatrizTradeOff Valor Op-Coste'!R31=0, 999999, 1/'MatrizTradeOff Valor Op-Coste'!R31))</f>
        <v>999999</v>
      </c>
      <c r="S31" s="98">
        <f>IF($C31=S$3, 0, IF('MatrizTradeOff Valor Op-Coste'!S31=0, 999999, 1/'MatrizTradeOff Valor Op-Coste'!S31))</f>
        <v>999999</v>
      </c>
      <c r="T31" s="98">
        <f>IF($C31=T$3, 0, IF('MatrizTradeOff Valor Op-Coste'!T31=0, 999999, 1/'MatrizTradeOff Valor Op-Coste'!T31))</f>
        <v>999999</v>
      </c>
      <c r="U31" s="98">
        <f>IF($C31=U$3, 0, IF('MatrizTradeOff Valor Op-Coste'!U31=0, 999999, 1/'MatrizTradeOff Valor Op-Coste'!U31))</f>
        <v>999999</v>
      </c>
      <c r="V31" s="101">
        <f>IF($C31=V$3, 0, IF('MatrizTradeOff Valor Op-Coste'!V31=0, 999999, 1/'MatrizTradeOff Valor Op-Coste'!V31))</f>
        <v>999999</v>
      </c>
      <c r="W31" s="98">
        <f>IF($C31=W$3, 0, IF('MatrizTradeOff Valor Op-Coste'!W31=0, 999999, 1/'MatrizTradeOff Valor Op-Coste'!W31))</f>
        <v>999999</v>
      </c>
      <c r="X31" s="98">
        <f>IF($C31=X$3, 0, IF('MatrizTradeOff Valor Op-Coste'!X31=0, 999999, 1/'MatrizTradeOff Valor Op-Coste'!X31))</f>
        <v>999999</v>
      </c>
      <c r="Y31" s="98">
        <f>IF($C31=Y$3, 0, IF('MatrizTradeOff Valor Op-Coste'!Y31=0, 999999, 1/'MatrizTradeOff Valor Op-Coste'!Y31))</f>
        <v>999999</v>
      </c>
      <c r="Z31" s="98">
        <f>IF($C31=Z$3, 0, IF('MatrizTradeOff Valor Op-Coste'!Z31=0, 999999, 1/'MatrizTradeOff Valor Op-Coste'!Z31))</f>
        <v>999999</v>
      </c>
      <c r="AA31" s="98">
        <f>IF($C31=AA$3, 0, IF('MatrizTradeOff Valor Op-Coste'!AA31=0, 999999, 1/'MatrizTradeOff Valor Op-Coste'!AA31))</f>
        <v>999999</v>
      </c>
      <c r="AB31" s="98">
        <f>IF($C31=AB$3, 0, IF('MatrizTradeOff Valor Op-Coste'!AB31=0, 999999, 1/'MatrizTradeOff Valor Op-Coste'!AB31))</f>
        <v>999999</v>
      </c>
      <c r="AC31" s="98">
        <f>IF($C31=AC$3, 0, IF('MatrizTradeOff Valor Op-Coste'!AC31=0, 999999, 1/'MatrizTradeOff Valor Op-Coste'!AC31))</f>
        <v>999999</v>
      </c>
      <c r="AD31" s="98">
        <f>IF($C31=AD$3, 0, IF('MatrizTradeOff Valor Op-Coste'!AD31=0, 999999, 1/'MatrizTradeOff Valor Op-Coste'!AD31))</f>
        <v>999999</v>
      </c>
      <c r="AE31" s="98">
        <f>IF($C31=AE$3, 0, IF('MatrizTradeOff Valor Op-Coste'!AE31=0, 999999, 1/'MatrizTradeOff Valor Op-Coste'!AE31))</f>
        <v>0</v>
      </c>
      <c r="AF31" s="98">
        <f>IF($C31=AF$3, 0, IF('MatrizTradeOff Valor Op-Coste'!AF31=0, 999999, 1/'MatrizTradeOff Valor Op-Coste'!AF31))</f>
        <v>999999</v>
      </c>
      <c r="AG31" s="98">
        <f>IF($C31=AG$3, 0, IF('MatrizTradeOff Valor Op-Coste'!AG31=0, 999999, 1/'MatrizTradeOff Valor Op-Coste'!AG31))</f>
        <v>999999</v>
      </c>
      <c r="AH31" s="98">
        <f>IF($C31=AH$3, 0, IF('MatrizTradeOff Valor Op-Coste'!AH31=0, 999999, 1/'MatrizTradeOff Valor Op-Coste'!AH31))</f>
        <v>0.65853658536585358</v>
      </c>
    </row>
    <row r="32" spans="2:34" ht="17.25" customHeight="1" x14ac:dyDescent="0.25">
      <c r="B32" s="48" t="str">
        <f>VLOOKUP(tblMatrizDistanciasDirectas[[#This Row],[Nodo Orig.\Dest.]],tblNodos[],2,FALSE)</f>
        <v>Custodia y conversión</v>
      </c>
      <c r="C32" s="75" t="s">
        <v>81</v>
      </c>
      <c r="D32" s="98">
        <f>IF($C32=D$3, 0, IF('MatrizTradeOff Valor Op-Coste'!D32=0, 999999, 1/'MatrizTradeOff Valor Op-Coste'!D32))</f>
        <v>999999</v>
      </c>
      <c r="E32" s="98">
        <f>IF($C32=E$3, 0, IF('MatrizTradeOff Valor Op-Coste'!E32=0, 999999, 1/'MatrizTradeOff Valor Op-Coste'!E32))</f>
        <v>999999</v>
      </c>
      <c r="F32" s="98">
        <f>IF($C32=F$3, 0, IF('MatrizTradeOff Valor Op-Coste'!F32=0, 999999, 1/'MatrizTradeOff Valor Op-Coste'!F32))</f>
        <v>999999</v>
      </c>
      <c r="G32" s="98">
        <f>IF($C32=G$3, 0, IF('MatrizTradeOff Valor Op-Coste'!G32=0, 999999, 1/'MatrizTradeOff Valor Op-Coste'!G32))</f>
        <v>999999</v>
      </c>
      <c r="H32" s="98">
        <f>IF($C32=H$3, 0, IF('MatrizTradeOff Valor Op-Coste'!H32=0, 999999, 1/'MatrizTradeOff Valor Op-Coste'!H32))</f>
        <v>999999</v>
      </c>
      <c r="I32" s="98">
        <f>IF($C32=I$3, 0, IF('MatrizTradeOff Valor Op-Coste'!I32=0, 999999, 1/'MatrizTradeOff Valor Op-Coste'!I32))</f>
        <v>999999</v>
      </c>
      <c r="J32" s="98">
        <f>IF($C32=J$3, 0, IF('MatrizTradeOff Valor Op-Coste'!J32=0, 999999, 1/'MatrizTradeOff Valor Op-Coste'!J32))</f>
        <v>999999</v>
      </c>
      <c r="K32" s="98">
        <f>IF($C32=K$3, 0, IF('MatrizTradeOff Valor Op-Coste'!K32=0, 999999, 1/'MatrizTradeOff Valor Op-Coste'!K32))</f>
        <v>999999</v>
      </c>
      <c r="L32" s="98">
        <f>IF($C32=L$3, 0, IF('MatrizTradeOff Valor Op-Coste'!L32=0, 999999, 1/'MatrizTradeOff Valor Op-Coste'!L32))</f>
        <v>999999</v>
      </c>
      <c r="M32" s="98">
        <f>IF($C32=M$3, 0, IF('MatrizTradeOff Valor Op-Coste'!M32=0, 999999, 1/'MatrizTradeOff Valor Op-Coste'!M32))</f>
        <v>999999</v>
      </c>
      <c r="N32" s="98">
        <f>IF($C32=N$3, 0, IF('MatrizTradeOff Valor Op-Coste'!N32=0, 999999, 1/'MatrizTradeOff Valor Op-Coste'!N32))</f>
        <v>999999</v>
      </c>
      <c r="O32" s="98">
        <f>IF($C32=O$3, 0, IF('MatrizTradeOff Valor Op-Coste'!O32=0, 999999, 1/'MatrizTradeOff Valor Op-Coste'!O32))</f>
        <v>999999</v>
      </c>
      <c r="P32" s="98">
        <f>IF($C32=P$3, 0, IF('MatrizTradeOff Valor Op-Coste'!P32=0, 999999, 1/'MatrizTradeOff Valor Op-Coste'!P32))</f>
        <v>999999</v>
      </c>
      <c r="Q32" s="98">
        <f>IF($C32=Q$3, 0, IF('MatrizTradeOff Valor Op-Coste'!Q32=0, 999999, 1/'MatrizTradeOff Valor Op-Coste'!Q32))</f>
        <v>999999</v>
      </c>
      <c r="R32" s="98">
        <f>IF($C32=R$3, 0, IF('MatrizTradeOff Valor Op-Coste'!R32=0, 999999, 1/'MatrizTradeOff Valor Op-Coste'!R32))</f>
        <v>999999</v>
      </c>
      <c r="S32" s="98">
        <f>IF($C32=S$3, 0, IF('MatrizTradeOff Valor Op-Coste'!S32=0, 999999, 1/'MatrizTradeOff Valor Op-Coste'!S32))</f>
        <v>999999</v>
      </c>
      <c r="T32" s="98">
        <f>IF($C32=T$3, 0, IF('MatrizTradeOff Valor Op-Coste'!T32=0, 999999, 1/'MatrizTradeOff Valor Op-Coste'!T32))</f>
        <v>999999</v>
      </c>
      <c r="U32" s="98">
        <f>IF($C32=U$3, 0, IF('MatrizTradeOff Valor Op-Coste'!U32=0, 999999, 1/'MatrizTradeOff Valor Op-Coste'!U32))</f>
        <v>999999</v>
      </c>
      <c r="V32" s="101">
        <f>IF($C32=V$3, 0, IF('MatrizTradeOff Valor Op-Coste'!V32=0, 999999, 1/'MatrizTradeOff Valor Op-Coste'!V32))</f>
        <v>999999</v>
      </c>
      <c r="W32" s="98">
        <f>IF($C32=W$3, 0, IF('MatrizTradeOff Valor Op-Coste'!W32=0, 999999, 1/'MatrizTradeOff Valor Op-Coste'!W32))</f>
        <v>999999</v>
      </c>
      <c r="X32" s="98">
        <f>IF($C32=X$3, 0, IF('MatrizTradeOff Valor Op-Coste'!X32=0, 999999, 1/'MatrizTradeOff Valor Op-Coste'!X32))</f>
        <v>999999</v>
      </c>
      <c r="Y32" s="98">
        <f>IF($C32=Y$3, 0, IF('MatrizTradeOff Valor Op-Coste'!Y32=0, 999999, 1/'MatrizTradeOff Valor Op-Coste'!Y32))</f>
        <v>999999</v>
      </c>
      <c r="Z32" s="98">
        <f>IF($C32=Z$3, 0, IF('MatrizTradeOff Valor Op-Coste'!Z32=0, 999999, 1/'MatrizTradeOff Valor Op-Coste'!Z32))</f>
        <v>999999</v>
      </c>
      <c r="AA32" s="98">
        <f>IF($C32=AA$3, 0, IF('MatrizTradeOff Valor Op-Coste'!AA32=0, 999999, 1/'MatrizTradeOff Valor Op-Coste'!AA32))</f>
        <v>999999</v>
      </c>
      <c r="AB32" s="98">
        <f>IF($C32=AB$3, 0, IF('MatrizTradeOff Valor Op-Coste'!AB32=0, 999999, 1/'MatrizTradeOff Valor Op-Coste'!AB32))</f>
        <v>999999</v>
      </c>
      <c r="AC32" s="98">
        <f>IF($C32=AC$3, 0, IF('MatrizTradeOff Valor Op-Coste'!AC32=0, 999999, 1/'MatrizTradeOff Valor Op-Coste'!AC32))</f>
        <v>999999</v>
      </c>
      <c r="AD32" s="98">
        <f>IF($C32=AD$3, 0, IF('MatrizTradeOff Valor Op-Coste'!AD32=0, 999999, 1/'MatrizTradeOff Valor Op-Coste'!AD32))</f>
        <v>999999</v>
      </c>
      <c r="AE32" s="98">
        <f>IF($C32=AE$3, 0, IF('MatrizTradeOff Valor Op-Coste'!AE32=0, 999999, 1/'MatrizTradeOff Valor Op-Coste'!AE32))</f>
        <v>999999</v>
      </c>
      <c r="AF32" s="98">
        <f>IF($C32=AF$3, 0, IF('MatrizTradeOff Valor Op-Coste'!AF32=0, 999999, 1/'MatrizTradeOff Valor Op-Coste'!AF32))</f>
        <v>0</v>
      </c>
      <c r="AG32" s="98">
        <f>IF($C32=AG$3, 0, IF('MatrizTradeOff Valor Op-Coste'!AG32=0, 999999, 1/'MatrizTradeOff Valor Op-Coste'!AG32))</f>
        <v>999999</v>
      </c>
      <c r="AH32" s="98">
        <f>IF($C32=AH$3, 0, IF('MatrizTradeOff Valor Op-Coste'!AH32=0, 999999, 1/'MatrizTradeOff Valor Op-Coste'!AH32))</f>
        <v>0.46987951807228906</v>
      </c>
    </row>
    <row r="33" spans="2:34" ht="17.25" customHeight="1" x14ac:dyDescent="0.25">
      <c r="B33" s="48" t="str">
        <f>VLOOKUP(tblMatrizDistanciasDirectas[[#This Row],[Nodo Orig.\Dest.]],tblNodos[],2,FALSE)</f>
        <v>Coordinación de la red y soporte estratégico</v>
      </c>
      <c r="C33" s="75" t="s">
        <v>83</v>
      </c>
      <c r="D33" s="98">
        <f>IF($C33=D$3, 0, IF('MatrizTradeOff Valor Op-Coste'!D33=0, 999999, 1/'MatrizTradeOff Valor Op-Coste'!D33))</f>
        <v>999999</v>
      </c>
      <c r="E33" s="98">
        <f>IF($C33=E$3, 0, IF('MatrizTradeOff Valor Op-Coste'!E33=0, 999999, 1/'MatrizTradeOff Valor Op-Coste'!E33))</f>
        <v>999999</v>
      </c>
      <c r="F33" s="98">
        <f>IF($C33=F$3, 0, IF('MatrizTradeOff Valor Op-Coste'!F33=0, 999999, 1/'MatrizTradeOff Valor Op-Coste'!F33))</f>
        <v>999999</v>
      </c>
      <c r="G33" s="98">
        <f>IF($C33=G$3, 0, IF('MatrizTradeOff Valor Op-Coste'!G33=0, 999999, 1/'MatrizTradeOff Valor Op-Coste'!G33))</f>
        <v>999999</v>
      </c>
      <c r="H33" s="98">
        <f>IF($C33=H$3, 0, IF('MatrizTradeOff Valor Op-Coste'!H33=0, 999999, 1/'MatrizTradeOff Valor Op-Coste'!H33))</f>
        <v>999999</v>
      </c>
      <c r="I33" s="98">
        <f>IF($C33=I$3, 0, IF('MatrizTradeOff Valor Op-Coste'!I33=0, 999999, 1/'MatrizTradeOff Valor Op-Coste'!I33))</f>
        <v>999999</v>
      </c>
      <c r="J33" s="98">
        <f>IF($C33=J$3, 0, IF('MatrizTradeOff Valor Op-Coste'!J33=0, 999999, 1/'MatrizTradeOff Valor Op-Coste'!J33))</f>
        <v>999999</v>
      </c>
      <c r="K33" s="98">
        <f>IF($C33=K$3, 0, IF('MatrizTradeOff Valor Op-Coste'!K33=0, 999999, 1/'MatrizTradeOff Valor Op-Coste'!K33))</f>
        <v>999999</v>
      </c>
      <c r="L33" s="98">
        <f>IF($C33=L$3, 0, IF('MatrizTradeOff Valor Op-Coste'!L33=0, 999999, 1/'MatrizTradeOff Valor Op-Coste'!L33))</f>
        <v>999999</v>
      </c>
      <c r="M33" s="98">
        <f>IF($C33=M$3, 0, IF('MatrizTradeOff Valor Op-Coste'!M33=0, 999999, 1/'MatrizTradeOff Valor Op-Coste'!M33))</f>
        <v>999999</v>
      </c>
      <c r="N33" s="98">
        <f>IF($C33=N$3, 0, IF('MatrizTradeOff Valor Op-Coste'!N33=0, 999999, 1/'MatrizTradeOff Valor Op-Coste'!N33))</f>
        <v>999999</v>
      </c>
      <c r="O33" s="98">
        <f>IF($C33=O$3, 0, IF('MatrizTradeOff Valor Op-Coste'!O33=0, 999999, 1/'MatrizTradeOff Valor Op-Coste'!O33))</f>
        <v>999999</v>
      </c>
      <c r="P33" s="98">
        <f>IF($C33=P$3, 0, IF('MatrizTradeOff Valor Op-Coste'!P33=0, 999999, 1/'MatrizTradeOff Valor Op-Coste'!P33))</f>
        <v>999999</v>
      </c>
      <c r="Q33" s="98">
        <f>IF($C33=Q$3, 0, IF('MatrizTradeOff Valor Op-Coste'!Q33=0, 999999, 1/'MatrizTradeOff Valor Op-Coste'!Q33))</f>
        <v>999999</v>
      </c>
      <c r="R33" s="98">
        <f>IF($C33=R$3, 0, IF('MatrizTradeOff Valor Op-Coste'!R33=0, 999999, 1/'MatrizTradeOff Valor Op-Coste'!R33))</f>
        <v>999999</v>
      </c>
      <c r="S33" s="98">
        <f>IF($C33=S$3, 0, IF('MatrizTradeOff Valor Op-Coste'!S33=0, 999999, 1/'MatrizTradeOff Valor Op-Coste'!S33))</f>
        <v>999999</v>
      </c>
      <c r="T33" s="98">
        <f>IF($C33=T$3, 0, IF('MatrizTradeOff Valor Op-Coste'!T33=0, 999999, 1/'MatrizTradeOff Valor Op-Coste'!T33))</f>
        <v>999999</v>
      </c>
      <c r="U33" s="98">
        <f>IF($C33=U$3, 0, IF('MatrizTradeOff Valor Op-Coste'!U33=0, 999999, 1/'MatrizTradeOff Valor Op-Coste'!U33))</f>
        <v>999999</v>
      </c>
      <c r="V33" s="101">
        <f>IF($C33=V$3, 0, IF('MatrizTradeOff Valor Op-Coste'!V33=0, 999999, 1/'MatrizTradeOff Valor Op-Coste'!V33))</f>
        <v>999999</v>
      </c>
      <c r="W33" s="98">
        <f>IF($C33=W$3, 0, IF('MatrizTradeOff Valor Op-Coste'!W33=0, 999999, 1/'MatrizTradeOff Valor Op-Coste'!W33))</f>
        <v>999999</v>
      </c>
      <c r="X33" s="98">
        <f>IF($C33=X$3, 0, IF('MatrizTradeOff Valor Op-Coste'!X33=0, 999999, 1/'MatrizTradeOff Valor Op-Coste'!X33))</f>
        <v>999999</v>
      </c>
      <c r="Y33" s="98">
        <f>IF($C33=Y$3, 0, IF('MatrizTradeOff Valor Op-Coste'!Y33=0, 999999, 1/'MatrizTradeOff Valor Op-Coste'!Y33))</f>
        <v>999999</v>
      </c>
      <c r="Z33" s="98">
        <f>IF($C33=Z$3, 0, IF('MatrizTradeOff Valor Op-Coste'!Z33=0, 999999, 1/'MatrizTradeOff Valor Op-Coste'!Z33))</f>
        <v>999999</v>
      </c>
      <c r="AA33" s="98">
        <f>IF($C33=AA$3, 0, IF('MatrizTradeOff Valor Op-Coste'!AA33=0, 999999, 1/'MatrizTradeOff Valor Op-Coste'!AA33))</f>
        <v>999999</v>
      </c>
      <c r="AB33" s="98">
        <f>IF($C33=AB$3, 0, IF('MatrizTradeOff Valor Op-Coste'!AB33=0, 999999, 1/'MatrizTradeOff Valor Op-Coste'!AB33))</f>
        <v>999999</v>
      </c>
      <c r="AC33" s="98">
        <f>IF($C33=AC$3, 0, IF('MatrizTradeOff Valor Op-Coste'!AC33=0, 999999, 1/'MatrizTradeOff Valor Op-Coste'!AC33))</f>
        <v>999999</v>
      </c>
      <c r="AD33" s="98">
        <f>IF($C33=AD$3, 0, IF('MatrizTradeOff Valor Op-Coste'!AD33=0, 999999, 1/'MatrizTradeOff Valor Op-Coste'!AD33))</f>
        <v>999999</v>
      </c>
      <c r="AE33" s="98">
        <f>IF($C33=AE$3, 0, IF('MatrizTradeOff Valor Op-Coste'!AE33=0, 999999, 1/'MatrizTradeOff Valor Op-Coste'!AE33))</f>
        <v>999999</v>
      </c>
      <c r="AF33" s="98">
        <f>IF($C33=AF$3, 0, IF('MatrizTradeOff Valor Op-Coste'!AF33=0, 999999, 1/'MatrizTradeOff Valor Op-Coste'!AF33))</f>
        <v>999999</v>
      </c>
      <c r="AG33" s="98">
        <f>IF($C33=AG$3, 0, IF('MatrizTradeOff Valor Op-Coste'!AG33=0, 999999, 1/'MatrizTradeOff Valor Op-Coste'!AG33))</f>
        <v>0</v>
      </c>
      <c r="AH33" s="98">
        <f>IF($C33=AH$3, 0, IF('MatrizTradeOff Valor Op-Coste'!AH33=0, 999999, 1/'MatrizTradeOff Valor Op-Coste'!AH33))</f>
        <v>0.50128534704370176</v>
      </c>
    </row>
    <row r="34" spans="2:34" ht="17.25" customHeight="1" x14ac:dyDescent="0.25">
      <c r="B34" s="48" t="str">
        <f>VLOOKUP(tblMatrizDistanciasDirectas[[#This Row],[Nodo Orig.\Dest.]],tblNodos[],2,FALSE)</f>
        <v>Destino operativo final</v>
      </c>
      <c r="C34" s="75" t="s">
        <v>85</v>
      </c>
      <c r="D34" s="98">
        <f>IF($C34=D$3, 0, IF('MatrizTradeOff Valor Op-Coste'!D34=0, 999999, 1/'MatrizTradeOff Valor Op-Coste'!D34))</f>
        <v>999999</v>
      </c>
      <c r="E34" s="98">
        <f>IF($C34=E$3, 0, IF('MatrizTradeOff Valor Op-Coste'!E34=0, 999999, 1/'MatrizTradeOff Valor Op-Coste'!E34))</f>
        <v>999999</v>
      </c>
      <c r="F34" s="98">
        <f>IF($C34=F$3, 0, IF('MatrizTradeOff Valor Op-Coste'!F34=0, 999999, 1/'MatrizTradeOff Valor Op-Coste'!F34))</f>
        <v>999999</v>
      </c>
      <c r="G34" s="98">
        <f>IF($C34=G$3, 0, IF('MatrizTradeOff Valor Op-Coste'!G34=0, 999999, 1/'MatrizTradeOff Valor Op-Coste'!G34))</f>
        <v>999999</v>
      </c>
      <c r="H34" s="98">
        <f>IF($C34=H$3, 0, IF('MatrizTradeOff Valor Op-Coste'!H34=0, 999999, 1/'MatrizTradeOff Valor Op-Coste'!H34))</f>
        <v>999999</v>
      </c>
      <c r="I34" s="98">
        <f>IF($C34=I$3, 0, IF('MatrizTradeOff Valor Op-Coste'!I34=0, 999999, 1/'MatrizTradeOff Valor Op-Coste'!I34))</f>
        <v>999999</v>
      </c>
      <c r="J34" s="98">
        <f>IF($C34=J$3, 0, IF('MatrizTradeOff Valor Op-Coste'!J34=0, 999999, 1/'MatrizTradeOff Valor Op-Coste'!J34))</f>
        <v>999999</v>
      </c>
      <c r="K34" s="98">
        <f>IF($C34=K$3, 0, IF('MatrizTradeOff Valor Op-Coste'!K34=0, 999999, 1/'MatrizTradeOff Valor Op-Coste'!K34))</f>
        <v>999999</v>
      </c>
      <c r="L34" s="98">
        <f>IF($C34=L$3, 0, IF('MatrizTradeOff Valor Op-Coste'!L34=0, 999999, 1/'MatrizTradeOff Valor Op-Coste'!L34))</f>
        <v>999999</v>
      </c>
      <c r="M34" s="98">
        <f>IF($C34=M$3, 0, IF('MatrizTradeOff Valor Op-Coste'!M34=0, 999999, 1/'MatrizTradeOff Valor Op-Coste'!M34))</f>
        <v>999999</v>
      </c>
      <c r="N34" s="98">
        <f>IF($C34=N$3, 0, IF('MatrizTradeOff Valor Op-Coste'!N34=0, 999999, 1/'MatrizTradeOff Valor Op-Coste'!N34))</f>
        <v>999999</v>
      </c>
      <c r="O34" s="98">
        <f>IF($C34=O$3, 0, IF('MatrizTradeOff Valor Op-Coste'!O34=0, 999999, 1/'MatrizTradeOff Valor Op-Coste'!O34))</f>
        <v>999999</v>
      </c>
      <c r="P34" s="98">
        <f>IF($C34=P$3, 0, IF('MatrizTradeOff Valor Op-Coste'!P34=0, 999999, 1/'MatrizTradeOff Valor Op-Coste'!P34))</f>
        <v>999999</v>
      </c>
      <c r="Q34" s="98">
        <f>IF($C34=Q$3, 0, IF('MatrizTradeOff Valor Op-Coste'!Q34=0, 999999, 1/'MatrizTradeOff Valor Op-Coste'!Q34))</f>
        <v>999999</v>
      </c>
      <c r="R34" s="98">
        <f>IF($C34=R$3, 0, IF('MatrizTradeOff Valor Op-Coste'!R34=0, 999999, 1/'MatrizTradeOff Valor Op-Coste'!R34))</f>
        <v>999999</v>
      </c>
      <c r="S34" s="98">
        <f>IF($C34=S$3, 0, IF('MatrizTradeOff Valor Op-Coste'!S34=0, 999999, 1/'MatrizTradeOff Valor Op-Coste'!S34))</f>
        <v>999999</v>
      </c>
      <c r="T34" s="98">
        <f>IF($C34=T$3, 0, IF('MatrizTradeOff Valor Op-Coste'!T34=0, 999999, 1/'MatrizTradeOff Valor Op-Coste'!T34))</f>
        <v>999999</v>
      </c>
      <c r="U34" s="98">
        <f>IF($C34=U$3, 0, IF('MatrizTradeOff Valor Op-Coste'!U34=0, 999999, 1/'MatrizTradeOff Valor Op-Coste'!U34))</f>
        <v>999999</v>
      </c>
      <c r="V34" s="101">
        <f>IF($C34=V$3, 0, IF('MatrizTradeOff Valor Op-Coste'!V34=0, 999999, 1/'MatrizTradeOff Valor Op-Coste'!V34))</f>
        <v>999999</v>
      </c>
      <c r="W34" s="100">
        <f>IF($C34=W$3, 0, IF('MatrizTradeOff Valor Op-Coste'!W34=0, 999999, 1/'MatrizTradeOff Valor Op-Coste'!W34))</f>
        <v>999999</v>
      </c>
      <c r="X34" s="100">
        <f>IF($C34=X$3, 0, IF('MatrizTradeOff Valor Op-Coste'!X34=0, 999999, 1/'MatrizTradeOff Valor Op-Coste'!X34))</f>
        <v>999999</v>
      </c>
      <c r="Y34" s="100">
        <f>IF($C34=Y$3, 0, IF('MatrizTradeOff Valor Op-Coste'!Y34=0, 999999, 1/'MatrizTradeOff Valor Op-Coste'!Y34))</f>
        <v>999999</v>
      </c>
      <c r="Z34" s="100">
        <f>IF($C34=Z$3, 0, IF('MatrizTradeOff Valor Op-Coste'!Z34=0, 999999, 1/'MatrizTradeOff Valor Op-Coste'!Z34))</f>
        <v>999999</v>
      </c>
      <c r="AA34" s="100">
        <f>IF($C34=AA$3, 0, IF('MatrizTradeOff Valor Op-Coste'!AA34=0, 999999, 1/'MatrizTradeOff Valor Op-Coste'!AA34))</f>
        <v>999999</v>
      </c>
      <c r="AB34" s="100">
        <f>IF($C34=AB$3, 0, IF('MatrizTradeOff Valor Op-Coste'!AB34=0, 999999, 1/'MatrizTradeOff Valor Op-Coste'!AB34))</f>
        <v>999999</v>
      </c>
      <c r="AC34" s="100">
        <f>IF($C34=AC$3, 0, IF('MatrizTradeOff Valor Op-Coste'!AC34=0, 999999, 1/'MatrizTradeOff Valor Op-Coste'!AC34))</f>
        <v>999999</v>
      </c>
      <c r="AD34" s="100">
        <f>IF($C34=AD$3, 0, IF('MatrizTradeOff Valor Op-Coste'!AD34=0, 999999, 1/'MatrizTradeOff Valor Op-Coste'!AD34))</f>
        <v>999999</v>
      </c>
      <c r="AE34" s="100">
        <f>IF($C34=AE$3, 0, IF('MatrizTradeOff Valor Op-Coste'!AE34=0, 999999, 1/'MatrizTradeOff Valor Op-Coste'!AE34))</f>
        <v>999999</v>
      </c>
      <c r="AF34" s="100">
        <f>IF($C34=AF$3, 0, IF('MatrizTradeOff Valor Op-Coste'!AF34=0, 999999, 1/'MatrizTradeOff Valor Op-Coste'!AF34))</f>
        <v>999999</v>
      </c>
      <c r="AG34" s="100">
        <f>IF($C34=AG$3, 0, IF('MatrizTradeOff Valor Op-Coste'!AG34=0, 999999, 1/'MatrizTradeOff Valor Op-Coste'!AG34))</f>
        <v>999999</v>
      </c>
      <c r="AH34" s="100">
        <f>IF($C34=AH$3, 0, IF('MatrizTradeOff Valor Op-Coste'!AH34=0, 999999, 1/'MatrizTradeOff Valor Op-Coste'!AH34))</f>
        <v>0</v>
      </c>
    </row>
  </sheetData>
  <mergeCells count="1">
    <mergeCell ref="B2:C2"/>
  </mergeCells>
  <conditionalFormatting sqref="D4:AH34">
    <cfRule type="expression" dxfId="102" priority="1">
      <formula>COLUMN()-COLUMN($D$4)=ROW()-ROW($D$4)</formula>
    </cfRule>
    <cfRule type="expression" dxfId="101" priority="2">
      <formula>D4=999999</formula>
    </cfRule>
    <cfRule type="expression" dxfId="100" priority="3">
      <formula>D4&lt;&gt;0</formula>
    </cfRule>
  </conditionalFormatting>
  <pageMargins left="0.75" right="0.75" top="1" bottom="1" header="0.5" footer="0.5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B2:S52"/>
  <sheetViews>
    <sheetView showGridLines="0" zoomScale="85" zoomScaleNormal="85" workbookViewId="0">
      <selection activeCell="M36" sqref="M36"/>
    </sheetView>
  </sheetViews>
  <sheetFormatPr baseColWidth="10" defaultColWidth="9.140625" defaultRowHeight="17.25" customHeight="1" x14ac:dyDescent="0.25"/>
  <cols>
    <col min="1" max="1" width="9.140625" style="3" customWidth="1"/>
    <col min="2" max="2" width="38.42578125" style="3" customWidth="1"/>
    <col min="3" max="3" width="10.5703125" style="3" customWidth="1"/>
    <col min="4" max="6" width="16.7109375" style="3" bestFit="1" customWidth="1"/>
    <col min="7" max="7" width="19.140625" style="3" customWidth="1"/>
    <col min="8" max="8" width="16.140625" style="3" customWidth="1"/>
    <col min="9" max="19" width="5.140625" style="3" customWidth="1"/>
    <col min="20" max="27" width="9.140625" style="3" customWidth="1"/>
    <col min="28" max="16384" width="9.140625" style="3"/>
  </cols>
  <sheetData>
    <row r="2" spans="2:19" s="8" customFormat="1" ht="21" customHeight="1" x14ac:dyDescent="0.25">
      <c r="B2" s="125" t="s">
        <v>490</v>
      </c>
      <c r="C2" s="126"/>
      <c r="D2" s="126"/>
      <c r="E2" s="126"/>
      <c r="F2" s="126"/>
      <c r="G2" s="126"/>
      <c r="H2" s="127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2:19" ht="37.5" customHeight="1" x14ac:dyDescent="0.25">
      <c r="B3" s="23" t="s">
        <v>472</v>
      </c>
      <c r="C3" s="23" t="s">
        <v>478</v>
      </c>
      <c r="D3" s="86" t="s">
        <v>479</v>
      </c>
      <c r="E3" s="86" t="s">
        <v>480</v>
      </c>
      <c r="F3" s="86" t="s">
        <v>481</v>
      </c>
      <c r="G3" s="87" t="s">
        <v>482</v>
      </c>
      <c r="H3" s="106" t="s">
        <v>522</v>
      </c>
    </row>
    <row r="4" spans="2:19" ht="16.5" customHeight="1" x14ac:dyDescent="0.25">
      <c r="B4" s="88" t="str">
        <f>VLOOKUP(tblMetricasNodos[[#This Row],[Nodo]],tblNodos[],2,FALSE)</f>
        <v>Recursos personales lícitos</v>
      </c>
      <c r="C4" s="89" t="s">
        <v>25</v>
      </c>
      <c r="D4" s="90">
        <f>_xlfn.LET(_xlpm.n,tblMetricasNodos[[#This Row],[Nodo]],_xlpm.col,_xlfn.XLOOKUP(_xlpm.n,tblMatrizTradeOff[#Headers],tblMatrizTradeOff[#Data]),SUM(_xlpm.col))</f>
        <v>0</v>
      </c>
      <c r="E4" s="90">
        <f>_xlfn.LET(_xlpm.n,tblMetricasNodos[[#This Row],[Nodo]],_xlpm.row,_xlfn.XLOOKUP(_xlpm.n,tblMatrizTradeOff[Nodo Orig.\Dest.],tblMatrizTradeOff[[O1]:[I5]]),SUM(_xlpm.row))</f>
        <v>4.2705882352941176</v>
      </c>
      <c r="F4" s="90">
        <f>tblMetricasNodos[[#This Row],[Grado Ponderado de Entrada]]+tblMetricasNodos[[#This Row],[Grado Ponderado de Salida]]</f>
        <v>4.2705882352941176</v>
      </c>
      <c r="G4" s="97">
        <f>tblMetricasNodos[[#This Row],[Grado Ponderado Total]]/tblMetricasNodos[[#Totals],[Grado Ponderado Total]]</f>
        <v>0.21511396301411392</v>
      </c>
      <c r="H4" s="97" cm="1">
        <f t="array" ref="H4">SUMPRODUCT((tblMatrizDistanciasMínimas[[#This Row],[O1]:[D1]]&gt;0)*(tblMatrizDistanciasMínimas[[#This Row],[O1]:[D1]]&lt;999999)*(1/(tblMatrizDistanciasMínimas[[#This Row],[O1]:[D1]]+(tblMatrizDistanciasMínimas[[#This Row],[O1]:[D1]]=0))))</f>
        <v>10.130190989167682</v>
      </c>
    </row>
    <row r="5" spans="2:19" ht="16.5" customHeight="1" x14ac:dyDescent="0.25">
      <c r="B5" s="88" t="str">
        <f>VLOOKUP(tblMetricasNodos[[#This Row],[Nodo]],tblNodos[],2,FALSE)</f>
        <v>Donaciones y apoyo individual / comunitario</v>
      </c>
      <c r="C5" s="89" t="s">
        <v>27</v>
      </c>
      <c r="D5" s="90">
        <f>_xlfn.LET(_xlpm.n,tblMetricasNodos[[#This Row],[Nodo]],_xlpm.col,_xlfn.XLOOKUP(_xlpm.n,tblMatrizTradeOff[#Headers],tblMatrizTradeOff[#Data]),SUM(_xlpm.col))</f>
        <v>0</v>
      </c>
      <c r="E5" s="90">
        <f>_xlfn.LET(_xlpm.n,tblMetricasNodos[[#This Row],[Nodo]],_xlpm.row,_xlfn.XLOOKUP(_xlpm.n,tblMatrizTradeOff[Nodo Orig.\Dest.],tblMatrizTradeOff[[O1]:[I5]]),SUM(_xlpm.row))</f>
        <v>5.4663588920112405</v>
      </c>
      <c r="F5" s="90">
        <f>tblMetricasNodos[[#This Row],[Grado Ponderado de Entrada]]+tblMetricasNodos[[#This Row],[Grado Ponderado de Salida]]</f>
        <v>5.4663588920112405</v>
      </c>
      <c r="G5" s="90">
        <f>tblMetricasNodos[[#This Row],[Grado Ponderado Total]]/tblMetricasNodos[[#Totals],[Grado Ponderado Total]]</f>
        <v>0.27534617240779113</v>
      </c>
      <c r="H5" s="90" cm="1">
        <f t="array" ref="H5">SUMPRODUCT((tblMatrizDistanciasMínimas[[#This Row],[O1]:[D1]]&gt;0)*(tblMatrizDistanciasMínimas[[#This Row],[O1]:[D1]]&lt;999999)*(1/(tblMatrizDistanciasMínimas[[#This Row],[O1]:[D1]]+(tblMatrizDistanciasMínimas[[#This Row],[O1]:[D1]]=0))))</f>
        <v>15.170464288892834</v>
      </c>
    </row>
    <row r="6" spans="2:19" ht="16.5" customHeight="1" x14ac:dyDescent="0.25">
      <c r="B6" s="88" t="str">
        <f>VLOOKUP(tblMetricasNodos[[#This Row],[Nodo]],tblNodos[],2,FALSE)</f>
        <v>Actividad comercial y empresarial</v>
      </c>
      <c r="C6" s="89" t="s">
        <v>29</v>
      </c>
      <c r="D6" s="90">
        <f>_xlfn.LET(_xlpm.n,tblMetricasNodos[[#This Row],[Nodo]],_xlpm.col,_xlfn.XLOOKUP(_xlpm.n,tblMatrizTradeOff[#Headers],tblMatrizTradeOff[#Data]),SUM(_xlpm.col))</f>
        <v>0</v>
      </c>
      <c r="E6" s="90">
        <f>_xlfn.LET(_xlpm.n,tblMetricasNodos[[#This Row],[Nodo]],_xlpm.row,_xlfn.XLOOKUP(_xlpm.n,tblMatrizTradeOff[Nodo Orig.\Dest.],tblMatrizTradeOff[[O1]:[I5]]),SUM(_xlpm.row))</f>
        <v>1.7936507936507939</v>
      </c>
      <c r="F6" s="90">
        <f>tblMetricasNodos[[#This Row],[Grado Ponderado de Entrada]]+tblMetricasNodos[[#This Row],[Grado Ponderado de Salida]]</f>
        <v>1.7936507936507939</v>
      </c>
      <c r="G6" s="90">
        <f>tblMetricasNodos[[#This Row],[Grado Ponderado Total]]/tblMetricasNodos[[#Totals],[Grado Ponderado Total]]</f>
        <v>9.0348052593054548E-2</v>
      </c>
      <c r="H6" s="90" cm="1">
        <f t="array" ref="H6">SUMPRODUCT((tblMatrizDistanciasMínimas[[#This Row],[O1]:[D1]]&gt;0)*(tblMatrizDistanciasMínimas[[#This Row],[O1]:[D1]]&lt;999999)*(1/(tblMatrizDistanciasMínimas[[#This Row],[O1]:[D1]]+(tblMatrizDistanciasMínimas[[#This Row],[O1]:[D1]]=0))))</f>
        <v>9.2354068718652798</v>
      </c>
    </row>
    <row r="7" spans="2:19" ht="16.5" customHeight="1" x14ac:dyDescent="0.25">
      <c r="B7" s="88" t="str">
        <f>VLOOKUP(tblMetricasNodos[[#This Row],[Nodo]],tblNodos[],2,FALSE)</f>
        <v>Financiación mediante coerción y exacción</v>
      </c>
      <c r="C7" s="89" t="s">
        <v>31</v>
      </c>
      <c r="D7" s="90">
        <f>_xlfn.LET(_xlpm.n,tblMetricasNodos[[#This Row],[Nodo]],_xlpm.col,_xlfn.XLOOKUP(_xlpm.n,tblMatrizTradeOff[#Headers],tblMatrizTradeOff[#Data]),SUM(_xlpm.col))</f>
        <v>0</v>
      </c>
      <c r="E7" s="90">
        <f>_xlfn.LET(_xlpm.n,tblMetricasNodos[[#This Row],[Nodo]],_xlpm.row,_xlfn.XLOOKUP(_xlpm.n,tblMatrizTradeOff[Nodo Orig.\Dest.],tblMatrizTradeOff[[O1]:[I5]]),SUM(_xlpm.row))</f>
        <v>1.6461538461538461</v>
      </c>
      <c r="F7" s="90">
        <f>tblMetricasNodos[[#This Row],[Grado Ponderado de Entrada]]+tblMetricasNodos[[#This Row],[Grado Ponderado de Salida]]</f>
        <v>1.6461538461538461</v>
      </c>
      <c r="G7" s="90">
        <f>tblMetricasNodos[[#This Row],[Grado Ponderado Total]]/tblMetricasNodos[[#Totals],[Grado Ponderado Total]]</f>
        <v>8.2918478220528335E-2</v>
      </c>
      <c r="H7" s="90" cm="1">
        <f t="array" ref="H7">SUMPRODUCT((tblMatrizDistanciasMínimas[[#This Row],[O1]:[D1]]&gt;0)*(tblMatrizDistanciasMínimas[[#This Row],[O1]:[D1]]&lt;999999)*(1/(tblMatrizDistanciasMínimas[[#This Row],[O1]:[D1]]+(tblMatrizDistanciasMínimas[[#This Row],[O1]:[D1]]=0))))</f>
        <v>4.7306087682715576</v>
      </c>
    </row>
    <row r="8" spans="2:19" ht="16.5" customHeight="1" x14ac:dyDescent="0.25">
      <c r="B8" s="88" t="str">
        <f>VLOOKUP(tblMetricasNodos[[#This Row],[Nodo]],tblNodos[],2,FALSE)</f>
        <v>Explotación de personas y movilidad forzada</v>
      </c>
      <c r="C8" s="89" t="s">
        <v>33</v>
      </c>
      <c r="D8" s="90">
        <f>_xlfn.LET(_xlpm.n,tblMetricasNodos[[#This Row],[Nodo]],_xlpm.col,_xlfn.XLOOKUP(_xlpm.n,tblMatrizTradeOff[#Headers],tblMatrizTradeOff[#Data]),SUM(_xlpm.col))</f>
        <v>0</v>
      </c>
      <c r="E8" s="90">
        <f>_xlfn.LET(_xlpm.n,tblMetricasNodos[[#This Row],[Nodo]],_xlpm.row,_xlfn.XLOOKUP(_xlpm.n,tblMatrizTradeOff[Nodo Orig.\Dest.],tblMatrizTradeOff[[O1]:[I5]]),SUM(_xlpm.row))</f>
        <v>2.0952380952380953</v>
      </c>
      <c r="F8" s="90">
        <f>tblMetricasNodos[[#This Row],[Grado Ponderado de Entrada]]+tblMetricasNodos[[#This Row],[Grado Ponderado de Salida]]</f>
        <v>2.0952380952380953</v>
      </c>
      <c r="G8" s="90">
        <f>tblMetricasNodos[[#This Row],[Grado Ponderado Total]]/tblMetricasNodos[[#Totals],[Grado Ponderado Total]]</f>
        <v>0.10553931807330265</v>
      </c>
      <c r="H8" s="90" cm="1">
        <f t="array" ref="H8">SUMPRODUCT((tblMatrizDistanciasMínimas[[#This Row],[O1]:[D1]]&gt;0)*(tblMatrizDistanciasMínimas[[#This Row],[O1]:[D1]]&lt;999999)*(1/(tblMatrizDistanciasMínimas[[#This Row],[O1]:[D1]]+(tblMatrizDistanciasMínimas[[#This Row],[O1]:[D1]]=0))))</f>
        <v>11.873244131871733</v>
      </c>
    </row>
    <row r="9" spans="2:19" ht="16.5" customHeight="1" x14ac:dyDescent="0.25">
      <c r="B9" s="88" t="str">
        <f>VLOOKUP(tblMetricasNodos[[#This Row],[Nodo]],tblNodos[],2,FALSE)</f>
        <v>Actividades criminales y mercados ilícitos</v>
      </c>
      <c r="C9" s="89" t="s">
        <v>35</v>
      </c>
      <c r="D9" s="90">
        <f>_xlfn.LET(_xlpm.n,tblMetricasNodos[[#This Row],[Nodo]],_xlpm.col,_xlfn.XLOOKUP(_xlpm.n,tblMatrizTradeOff[#Headers],tblMatrizTradeOff[#Data]),SUM(_xlpm.col))</f>
        <v>0</v>
      </c>
      <c r="E9" s="90">
        <f>_xlfn.LET(_xlpm.n,tblMetricasNodos[[#This Row],[Nodo]],_xlpm.row,_xlfn.XLOOKUP(_xlpm.n,tblMatrizTradeOff[Nodo Orig.\Dest.],tblMatrizTradeOff[[O1]:[I5]]),SUM(_xlpm.row))</f>
        <v>0</v>
      </c>
      <c r="F9" s="90">
        <f>tblMetricasNodos[[#This Row],[Grado Ponderado de Entrada]]+tblMetricasNodos[[#This Row],[Grado Ponderado de Salida]]</f>
        <v>0</v>
      </c>
      <c r="G9" s="90">
        <f>tblMetricasNodos[[#This Row],[Grado Ponderado Total]]/tblMetricasNodos[[#Totals],[Grado Ponderado Total]]</f>
        <v>0</v>
      </c>
      <c r="H9" s="90" cm="1">
        <f t="array" ref="H9">SUMPRODUCT((tblMatrizDistanciasMínimas[[#This Row],[O1]:[D1]]&gt;0)*(tblMatrizDistanciasMínimas[[#This Row],[O1]:[D1]]&lt;999999)*(1/(tblMatrizDistanciasMínimas[[#This Row],[O1]:[D1]]+(tblMatrizDistanciasMínimas[[#This Row],[O1]:[D1]]=0))))</f>
        <v>7.8972343467754706</v>
      </c>
    </row>
    <row r="10" spans="2:19" ht="16.5" customHeight="1" x14ac:dyDescent="0.25">
      <c r="B10" s="88" t="str">
        <f>VLOOKUP(tblMetricasNodos[[#This Row],[Nodo]],tblNodos[],2,FALSE)</f>
        <v>Explotación de recursos naturales</v>
      </c>
      <c r="C10" s="89" t="s">
        <v>37</v>
      </c>
      <c r="D10" s="90">
        <f>_xlfn.LET(_xlpm.n,tblMetricasNodos[[#This Row],[Nodo]],_xlpm.col,_xlfn.XLOOKUP(_xlpm.n,tblMatrizTradeOff[#Headers],tblMatrizTradeOff[#Data]),SUM(_xlpm.col))</f>
        <v>0</v>
      </c>
      <c r="E10" s="90">
        <f>_xlfn.LET(_xlpm.n,tblMetricasNodos[[#This Row],[Nodo]],_xlpm.row,_xlfn.XLOOKUP(_xlpm.n,tblMatrizTradeOff[Nodo Orig.\Dest.],tblMatrizTradeOff[[O1]:[I5]]),SUM(_xlpm.row))</f>
        <v>1.4</v>
      </c>
      <c r="F10" s="90">
        <f>tblMetricasNodos[[#This Row],[Grado Ponderado de Entrada]]+tblMetricasNodos[[#This Row],[Grado Ponderado de Salida]]</f>
        <v>1.4</v>
      </c>
      <c r="G10" s="90">
        <f>tblMetricasNodos[[#This Row],[Grado Ponderado Total]]/tblMetricasNodos[[#Totals],[Grado Ponderado Total]]</f>
        <v>7.051945343988858E-2</v>
      </c>
      <c r="H10" s="90" cm="1">
        <f t="array" ref="H10">SUMPRODUCT((tblMatrizDistanciasMínimas[[#This Row],[O1]:[D1]]&gt;0)*(tblMatrizDistanciasMínimas[[#This Row],[O1]:[D1]]&lt;999999)*(1/(tblMatrizDistanciasMínimas[[#This Row],[O1]:[D1]]+(tblMatrizDistanciasMínimas[[#This Row],[O1]:[D1]]=0))))</f>
        <v>11.082448965448441</v>
      </c>
    </row>
    <row r="11" spans="2:19" ht="16.5" customHeight="1" x14ac:dyDescent="0.25">
      <c r="B11" s="88" t="str">
        <f>VLOOKUP(tblMetricasNodos[[#This Row],[Nodo]],tblNodos[],2,FALSE)</f>
        <v>Valor digital</v>
      </c>
      <c r="C11" s="89" t="s">
        <v>39</v>
      </c>
      <c r="D11" s="90">
        <f>_xlfn.LET(_xlpm.n,tblMetricasNodos[[#This Row],[Nodo]],_xlpm.col,_xlfn.XLOOKUP(_xlpm.n,tblMatrizTradeOff[#Headers],tblMatrizTradeOff[#Data]),SUM(_xlpm.col))</f>
        <v>0</v>
      </c>
      <c r="E11" s="90">
        <f>_xlfn.LET(_xlpm.n,tblMetricasNodos[[#This Row],[Nodo]],_xlpm.row,_xlfn.XLOOKUP(_xlpm.n,tblMatrizTradeOff[Nodo Orig.\Dest.],tblMatrizTradeOff[[O1]:[I5]]),SUM(_xlpm.row))</f>
        <v>1.8307692307692307</v>
      </c>
      <c r="F11" s="90">
        <f>tblMetricasNodos[[#This Row],[Grado Ponderado de Entrada]]+tblMetricasNodos[[#This Row],[Grado Ponderado de Salida]]</f>
        <v>1.8307692307692307</v>
      </c>
      <c r="G11" s="90">
        <f>tblMetricasNodos[[#This Row],[Grado Ponderado Total]]/tblMetricasNodos[[#Totals],[Grado Ponderado Total]]</f>
        <v>9.2217746806008152E-2</v>
      </c>
      <c r="H11" s="90" cm="1">
        <f t="array" ref="H11">SUMPRODUCT((tblMatrizDistanciasMínimas[[#This Row],[O1]:[D1]]&gt;0)*(tblMatrizDistanciasMínimas[[#This Row],[O1]:[D1]]&lt;999999)*(1/(tblMatrizDistanciasMínimas[[#This Row],[O1]:[D1]]+(tblMatrizDistanciasMínimas[[#This Row],[O1]:[D1]]=0))))</f>
        <v>7.8351622238551153</v>
      </c>
    </row>
    <row r="12" spans="2:19" ht="16.5" customHeight="1" x14ac:dyDescent="0.25">
      <c r="B12" s="88" t="str">
        <f>VLOOKUP(tblMetricasNodos[[#This Row],[Nodo]],tblNodos[],2,FALSE)</f>
        <v>Recaudación directa</v>
      </c>
      <c r="C12" s="89" t="s">
        <v>41</v>
      </c>
      <c r="D12" s="90">
        <f>_xlfn.LET(_xlpm.n,tblMetricasNodos[[#This Row],[Nodo]],_xlpm.col,_xlfn.XLOOKUP(_xlpm.n,tblMatrizTradeOff[#Headers],tblMatrizTradeOff[#Data]),SUM(_xlpm.col))</f>
        <v>6.9715806206372246</v>
      </c>
      <c r="E12" s="90">
        <f>_xlfn.LET(_xlpm.n,tblMetricasNodos[[#This Row],[Nodo]],_xlpm.row,_xlfn.XLOOKUP(_xlpm.n,tblMatrizTradeOff[Nodo Orig.\Dest.],tblMatrizTradeOff[[O1]:[I5]]),SUM(_xlpm.row))</f>
        <v>2.1020408163265305</v>
      </c>
      <c r="F12" s="90">
        <f>tblMetricasNodos[[#This Row],[Grado Ponderado de Entrada]]+tblMetricasNodos[[#This Row],[Grado Ponderado de Salida]]</f>
        <v>9.0736214369637551</v>
      </c>
      <c r="G12" s="90">
        <f>tblMetricasNodos[[#This Row],[Grado Ponderado Total]]/tblMetricasNodos[[#Totals],[Grado Ponderado Total]]</f>
        <v>0.45704773175367175</v>
      </c>
      <c r="H12" s="90" cm="1">
        <f t="array" ref="H12">SUMPRODUCT((tblMatrizDistanciasMínimas[[#This Row],[O1]:[D1]]&gt;0)*(tblMatrizDistanciasMínimas[[#This Row],[O1]:[D1]]&lt;999999)*(1/(tblMatrizDistanciasMínimas[[#This Row],[O1]:[D1]]+(tblMatrizDistanciasMínimas[[#This Row],[O1]:[D1]]=0))))</f>
        <v>6.0484371664833585</v>
      </c>
    </row>
    <row r="13" spans="2:19" ht="16.5" customHeight="1" x14ac:dyDescent="0.25">
      <c r="B13" s="88" t="str">
        <f>VLOOKUP(tblMetricasNodos[[#This Row],[Nodo]],tblNodos[],2,FALSE)</f>
        <v>Agregadores de fondos</v>
      </c>
      <c r="C13" s="89" t="s">
        <v>43</v>
      </c>
      <c r="D13" s="90">
        <f>_xlfn.LET(_xlpm.n,tblMetricasNodos[[#This Row],[Nodo]],_xlpm.col,_xlfn.XLOOKUP(_xlpm.n,tblMatrizTradeOff[#Headers],tblMatrizTradeOff[#Data]),SUM(_xlpm.col))</f>
        <v>0</v>
      </c>
      <c r="E13" s="90">
        <f>_xlfn.LET(_xlpm.n,tblMetricasNodos[[#This Row],[Nodo]],_xlpm.row,_xlfn.XLOOKUP(_xlpm.n,tblMatrizTradeOff[Nodo Orig.\Dest.],tblMatrizTradeOff[[O1]:[I5]]),SUM(_xlpm.row))</f>
        <v>3.65</v>
      </c>
      <c r="F13" s="90">
        <f>tblMetricasNodos[[#This Row],[Grado Ponderado de Entrada]]+tblMetricasNodos[[#This Row],[Grado Ponderado de Salida]]</f>
        <v>3.65</v>
      </c>
      <c r="G13" s="90">
        <f>tblMetricasNodos[[#This Row],[Grado Ponderado Total]]/tblMetricasNodos[[#Totals],[Grado Ponderado Total]]</f>
        <v>0.1838542893254238</v>
      </c>
      <c r="H13" s="90" cm="1">
        <f t="array" ref="H13">SUMPRODUCT((tblMatrizDistanciasMínimas[[#This Row],[O1]:[D1]]&gt;0)*(tblMatrizDistanciasMínimas[[#This Row],[O1]:[D1]]&lt;999999)*(1/(tblMatrizDistanciasMínimas[[#This Row],[O1]:[D1]]+(tblMatrizDistanciasMínimas[[#This Row],[O1]:[D1]]=0))))</f>
        <v>12.403251468379592</v>
      </c>
    </row>
    <row r="14" spans="2:19" ht="16.5" customHeight="1" x14ac:dyDescent="0.25">
      <c r="B14" s="88" t="str">
        <f>VLOOKUP(tblMetricasNodos[[#This Row],[Nodo]],tblNodos[],2,FALSE)</f>
        <v>Estructuras organizadas de captación</v>
      </c>
      <c r="C14" s="89" t="s">
        <v>45</v>
      </c>
      <c r="D14" s="90">
        <f>_xlfn.LET(_xlpm.n,tblMetricasNodos[[#This Row],[Nodo]],_xlpm.col,_xlfn.XLOOKUP(_xlpm.n,tblMatrizTradeOff[#Headers],tblMatrizTradeOff[#Data]),SUM(_xlpm.col))</f>
        <v>1.9361702127659572</v>
      </c>
      <c r="E14" s="90">
        <f>_xlfn.LET(_xlpm.n,tblMetricasNodos[[#This Row],[Nodo]],_xlpm.row,_xlfn.XLOOKUP(_xlpm.n,tblMatrizTradeOff[Nodo Orig.\Dest.],tblMatrizTradeOff[[O1]:[I5]]),SUM(_xlpm.row))</f>
        <v>1.4242424242424243</v>
      </c>
      <c r="F14" s="90">
        <f>tblMetricasNodos[[#This Row],[Grado Ponderado de Entrada]]+tblMetricasNodos[[#This Row],[Grado Ponderado de Salida]]</f>
        <v>3.3604126370083813</v>
      </c>
      <c r="G14" s="90">
        <f>tblMetricasNodos[[#This Row],[Grado Ponderado Total]]/tblMetricasNodos[[#Totals],[Grado Ponderado Total]]</f>
        <v>0.16926747321023269</v>
      </c>
      <c r="H14" s="90" cm="1">
        <f t="array" ref="H14">SUMPRODUCT((tblMatrizDistanciasMínimas[[#This Row],[O1]:[D1]]&gt;0)*(tblMatrizDistanciasMínimas[[#This Row],[O1]:[D1]]&lt;999999)*(1/(tblMatrizDistanciasMínimas[[#This Row],[O1]:[D1]]+(tblMatrizDistanciasMínimas[[#This Row],[O1]:[D1]]=0))))</f>
        <v>6.6404745894219577</v>
      </c>
    </row>
    <row r="15" spans="2:19" ht="16.5" customHeight="1" x14ac:dyDescent="0.25">
      <c r="B15" s="88" t="str">
        <f>VLOOKUP(tblMetricasNodos[[#This Row],[Nodo]],tblNodos[],2,FALSE)</f>
        <v>Colectores digitales instrumentales</v>
      </c>
      <c r="C15" s="89" t="s">
        <v>47</v>
      </c>
      <c r="D15" s="90">
        <f>_xlfn.LET(_xlpm.n,tblMetricasNodos[[#This Row],[Nodo]],_xlpm.col,_xlfn.XLOOKUP(_xlpm.n,tblMatrizTradeOff[#Headers],tblMatrizTradeOff[#Data]),SUM(_xlpm.col))</f>
        <v>5.3307692307692305</v>
      </c>
      <c r="E15" s="90">
        <f>_xlfn.LET(_xlpm.n,tblMetricasNodos[[#This Row],[Nodo]],_xlpm.row,_xlfn.XLOOKUP(_xlpm.n,tblMatrizTradeOff[Nodo Orig.\Dest.],tblMatrizTradeOff[[O1]:[I5]]),SUM(_xlpm.row))</f>
        <v>0</v>
      </c>
      <c r="F15" s="90">
        <f>tblMetricasNodos[[#This Row],[Grado Ponderado de Entrada]]+tblMetricasNodos[[#This Row],[Grado Ponderado de Salida]]</f>
        <v>5.3307692307692305</v>
      </c>
      <c r="G15" s="90">
        <f>tblMetricasNodos[[#This Row],[Grado Ponderado Total]]/tblMetricasNodos[[#Totals],[Grado Ponderado Total]]</f>
        <v>0.26851638040572962</v>
      </c>
      <c r="H15" s="90" cm="1">
        <f t="array" ref="H15">SUMPRODUCT((tblMatrizDistanciasMínimas[[#This Row],[O1]:[D1]]&gt;0)*(tblMatrizDistanciasMínimas[[#This Row],[O1]:[D1]]&lt;999999)*(1/(tblMatrizDistanciasMínimas[[#This Row],[O1]:[D1]]+(tblMatrizDistanciasMínimas[[#This Row],[O1]:[D1]]=0))))</f>
        <v>7.9755927169684711</v>
      </c>
    </row>
    <row r="16" spans="2:19" ht="16.5" customHeight="1" x14ac:dyDescent="0.25">
      <c r="B16" s="88" t="str">
        <f>VLOOKUP(tblMetricasNodos[[#This Row],[Nodo]],tblNodos[],2,FALSE)</f>
        <v>Colectores empresariales y vehiculares</v>
      </c>
      <c r="C16" s="89" t="s">
        <v>49</v>
      </c>
      <c r="D16" s="90">
        <f>_xlfn.LET(_xlpm.n,tblMetricasNodos[[#This Row],[Nodo]],_xlpm.col,_xlfn.XLOOKUP(_xlpm.n,tblMatrizTradeOff[#Headers],tblMatrizTradeOff[#Data]),SUM(_xlpm.col))</f>
        <v>1.7936507936507939</v>
      </c>
      <c r="E16" s="90">
        <f>_xlfn.LET(_xlpm.n,tblMetricasNodos[[#This Row],[Nodo]],_xlpm.row,_xlfn.XLOOKUP(_xlpm.n,tblMatrizTradeOff[Nodo Orig.\Dest.],tblMatrizTradeOff[[O1]:[I5]]),SUM(_xlpm.row))</f>
        <v>2.5555555555555554</v>
      </c>
      <c r="F16" s="90">
        <f>tblMetricasNodos[[#This Row],[Grado Ponderado de Entrada]]+tblMetricasNodos[[#This Row],[Grado Ponderado de Salida]]</f>
        <v>4.3492063492063497</v>
      </c>
      <c r="G16" s="90">
        <f>tblMetricasNodos[[#This Row],[Grado Ponderado Total]]/tblMetricasNodos[[#Totals],[Grado Ponderado Total]]</f>
        <v>0.21907403903094641</v>
      </c>
      <c r="H16" s="90" cm="1">
        <f t="array" ref="H16">SUMPRODUCT((tblMatrizDistanciasMínimas[[#This Row],[O1]:[D1]]&gt;0)*(tblMatrizDistanciasMínimas[[#This Row],[O1]:[D1]]&lt;999999)*(1/(tblMatrizDistanciasMínimas[[#This Row],[O1]:[D1]]+(tblMatrizDistanciasMínimas[[#This Row],[O1]:[D1]]=0))))</f>
        <v>14.637330143958724</v>
      </c>
    </row>
    <row r="17" spans="2:8" ht="16.5" customHeight="1" x14ac:dyDescent="0.25">
      <c r="B17" s="88" t="str">
        <f>VLOOKUP(tblMetricasNodos[[#This Row],[Nodo]],tblNodos[],2,FALSE)</f>
        <v>Colectores instrumentales / de ocultación</v>
      </c>
      <c r="C17" s="89" t="s">
        <v>51</v>
      </c>
      <c r="D17" s="90">
        <f>_xlfn.LET(_xlpm.n,tblMetricasNodos[[#This Row],[Nodo]],_xlpm.col,_xlfn.XLOOKUP(_xlpm.n,tblMatrizTradeOff[#Headers],tblMatrizTradeOff[#Data]),SUM(_xlpm.col))</f>
        <v>0</v>
      </c>
      <c r="E17" s="90">
        <f>_xlfn.LET(_xlpm.n,tblMetricasNodos[[#This Row],[Nodo]],_xlpm.row,_xlfn.XLOOKUP(_xlpm.n,tblMatrizTradeOff[Nodo Orig.\Dest.],tblMatrizTradeOff[[O1]:[I5]]),SUM(_xlpm.row))</f>
        <v>4.8055555555555554</v>
      </c>
      <c r="F17" s="90">
        <f>tblMetricasNodos[[#This Row],[Grado Ponderado de Entrada]]+tblMetricasNodos[[#This Row],[Grado Ponderado de Salida]]</f>
        <v>4.8055555555555554</v>
      </c>
      <c r="G17" s="90">
        <f>tblMetricasNodos[[#This Row],[Grado Ponderado Total]]/tblMetricasNodos[[#Totals],[Grado Ponderado Total]]</f>
        <v>0.24206082232342707</v>
      </c>
      <c r="H17" s="90" cm="1">
        <f t="array" ref="H17">SUMPRODUCT((tblMatrizDistanciasMínimas[[#This Row],[O1]:[D1]]&gt;0)*(tblMatrizDistanciasMínimas[[#This Row],[O1]:[D1]]&lt;999999)*(1/(tblMatrizDistanciasMínimas[[#This Row],[O1]:[D1]]+(tblMatrizDistanciasMínimas[[#This Row],[O1]:[D1]]=0))))</f>
        <v>14.75131049758885</v>
      </c>
    </row>
    <row r="18" spans="2:8" ht="16.5" customHeight="1" x14ac:dyDescent="0.25">
      <c r="B18" s="88" t="str">
        <f>VLOOKUP(tblMetricasNodos[[#This Row],[Nodo]],tblNodos[],2,FALSE)</f>
        <v>Intermediarios físicos de transporte de valor</v>
      </c>
      <c r="C18" s="89" t="s">
        <v>53</v>
      </c>
      <c r="D18" s="90">
        <f>_xlfn.LET(_xlpm.n,tblMetricasNodos[[#This Row],[Nodo]],_xlpm.col,_xlfn.XLOOKUP(_xlpm.n,tblMatrizTradeOff[#Headers],tblMatrizTradeOff[#Data]),SUM(_xlpm.col))</f>
        <v>2.1020408163265305</v>
      </c>
      <c r="E18" s="90">
        <f>_xlfn.LET(_xlpm.n,tblMetricasNodos[[#This Row],[Nodo]],_xlpm.row,_xlfn.XLOOKUP(_xlpm.n,tblMatrizTradeOff[Nodo Orig.\Dest.],tblMatrizTradeOff[[O1]:[I5]]),SUM(_xlpm.row))</f>
        <v>0</v>
      </c>
      <c r="F18" s="90">
        <f>tblMetricasNodos[[#This Row],[Grado Ponderado de Entrada]]+tblMetricasNodos[[#This Row],[Grado Ponderado de Salida]]</f>
        <v>2.1020408163265305</v>
      </c>
      <c r="G18" s="90">
        <f>tblMetricasNodos[[#This Row],[Grado Ponderado Total]]/tblMetricasNodos[[#Totals],[Grado Ponderado Total]]</f>
        <v>0.10588197819691726</v>
      </c>
      <c r="H18" s="90" cm="1">
        <f t="array" ref="H18">SUMPRODUCT((tblMatrizDistanciasMínimas[[#This Row],[O1]:[D1]]&gt;0)*(tblMatrizDistanciasMínimas[[#This Row],[O1]:[D1]]&lt;999999)*(1/(tblMatrizDistanciasMínimas[[#This Row],[O1]:[D1]]+(tblMatrizDistanciasMínimas[[#This Row],[O1]:[D1]]=0))))</f>
        <v>6.5648578090031151</v>
      </c>
    </row>
    <row r="19" spans="2:8" ht="16.5" customHeight="1" x14ac:dyDescent="0.25">
      <c r="B19" s="88" t="str">
        <f>VLOOKUP(tblMetricasNodos[[#This Row],[Nodo]],tblNodos[],2,FALSE)</f>
        <v>Intermediarios informales y paralelos</v>
      </c>
      <c r="C19" s="89" t="s">
        <v>55</v>
      </c>
      <c r="D19" s="90">
        <f>_xlfn.LET(_xlpm.n,tblMetricasNodos[[#This Row],[Nodo]],_xlpm.col,_xlfn.XLOOKUP(_xlpm.n,tblMatrizTradeOff[#Headers],tblMatrizTradeOff[#Data]),SUM(_xlpm.col))</f>
        <v>2.8242424242424242</v>
      </c>
      <c r="E19" s="90">
        <f>_xlfn.LET(_xlpm.n,tblMetricasNodos[[#This Row],[Nodo]],_xlpm.row,_xlfn.XLOOKUP(_xlpm.n,tblMatrizTradeOff[Nodo Orig.\Dest.],tblMatrizTradeOff[[O1]:[I5]]),SUM(_xlpm.row))</f>
        <v>0</v>
      </c>
      <c r="F19" s="90">
        <f>tblMetricasNodos[[#This Row],[Grado Ponderado de Entrada]]+tblMetricasNodos[[#This Row],[Grado Ponderado de Salida]]</f>
        <v>2.8242424242424242</v>
      </c>
      <c r="G19" s="90">
        <f>tblMetricasNodos[[#This Row],[Grado Ponderado Total]]/tblMetricasNodos[[#Totals],[Grado Ponderado Total]]</f>
        <v>0.14226002295665835</v>
      </c>
      <c r="H19" s="90" cm="1">
        <f t="array" ref="H19">SUMPRODUCT((tblMatrizDistanciasMínimas[[#This Row],[O1]:[D1]]&gt;0)*(tblMatrizDistanciasMínimas[[#This Row],[O1]:[D1]]&lt;999999)*(1/(tblMatrizDistanciasMínimas[[#This Row],[O1]:[D1]]+(tblMatrizDistanciasMínimas[[#This Row],[O1]:[D1]]=0))))</f>
        <v>2.277479519605504</v>
      </c>
    </row>
    <row r="20" spans="2:8" ht="16.5" customHeight="1" x14ac:dyDescent="0.25">
      <c r="B20" s="88" t="str">
        <f>VLOOKUP(tblMetricasNodos[[#This Row],[Nodo]],tblNodos[],2,FALSE)</f>
        <v>Intermediarios MVTS y remesas</v>
      </c>
      <c r="C20" s="89" t="s">
        <v>57</v>
      </c>
      <c r="D20" s="90">
        <f>_xlfn.LET(_xlpm.n,tblMetricasNodos[[#This Row],[Nodo]],_xlpm.col,_xlfn.XLOOKUP(_xlpm.n,tblMatrizTradeOff[#Headers],tblMatrizTradeOff[#Data]),SUM(_xlpm.col))</f>
        <v>4.5</v>
      </c>
      <c r="E20" s="90">
        <f>_xlfn.LET(_xlpm.n,tblMetricasNodos[[#This Row],[Nodo]],_xlpm.row,_xlfn.XLOOKUP(_xlpm.n,tblMatrizTradeOff[Nodo Orig.\Dest.],tblMatrizTradeOff[[O1]:[I5]]),SUM(_xlpm.row))</f>
        <v>0</v>
      </c>
      <c r="F20" s="90">
        <f>tblMetricasNodos[[#This Row],[Grado Ponderado de Entrada]]+tblMetricasNodos[[#This Row],[Grado Ponderado de Salida]]</f>
        <v>4.5</v>
      </c>
      <c r="G20" s="90">
        <f>tblMetricasNodos[[#This Row],[Grado Ponderado Total]]/tblMetricasNodos[[#Totals],[Grado Ponderado Total]]</f>
        <v>0.22666967177107045</v>
      </c>
      <c r="H20" s="90" cm="1">
        <f t="array" ref="H20">SUMPRODUCT((tblMatrizDistanciasMínimas[[#This Row],[O1]:[D1]]&gt;0)*(tblMatrizDistanciasMínimas[[#This Row],[O1]:[D1]]&lt;999999)*(1/(tblMatrizDistanciasMínimas[[#This Row],[O1]:[D1]]+(tblMatrizDistanciasMínimas[[#This Row],[O1]:[D1]]=0))))</f>
        <v>3.3073844759891271</v>
      </c>
    </row>
    <row r="21" spans="2:8" ht="16.5" customHeight="1" x14ac:dyDescent="0.25">
      <c r="B21" s="88" t="str">
        <f>VLOOKUP(tblMetricasNodos[[#This Row],[Nodo]],tblNodos[],2,FALSE)</f>
        <v>Intermediarios de dinero móvil</v>
      </c>
      <c r="C21" s="89" t="s">
        <v>59</v>
      </c>
      <c r="D21" s="90">
        <f>_xlfn.LET(_xlpm.n,tblMetricasNodos[[#This Row],[Nodo]],_xlpm.col,_xlfn.XLOOKUP(_xlpm.n,tblMatrizTradeOff[#Headers],tblMatrizTradeOff[#Data]),SUM(_xlpm.col))</f>
        <v>0</v>
      </c>
      <c r="E21" s="90">
        <f>_xlfn.LET(_xlpm.n,tblMetricasNodos[[#This Row],[Nodo]],_xlpm.row,_xlfn.XLOOKUP(_xlpm.n,tblMatrizTradeOff[Nodo Orig.\Dest.],tblMatrizTradeOff[[O1]:[I5]]),SUM(_xlpm.row))</f>
        <v>0</v>
      </c>
      <c r="F21" s="90">
        <f>tblMetricasNodos[[#This Row],[Grado Ponderado de Entrada]]+tblMetricasNodos[[#This Row],[Grado Ponderado de Salida]]</f>
        <v>0</v>
      </c>
      <c r="G21" s="90">
        <f>tblMetricasNodos[[#This Row],[Grado Ponderado Total]]/tblMetricasNodos[[#Totals],[Grado Ponderado Total]]</f>
        <v>0</v>
      </c>
      <c r="H21" s="90" cm="1">
        <f t="array" ref="H21">SUMPRODUCT((tblMatrizDistanciasMínimas[[#This Row],[O1]:[D1]]&gt;0)*(tblMatrizDistanciasMínimas[[#This Row],[O1]:[D1]]&lt;999999)*(1/(tblMatrizDistanciasMínimas[[#This Row],[O1]:[D1]]+(tblMatrizDistanciasMínimas[[#This Row],[O1]:[D1]]=0))))</f>
        <v>2.6236607142857142</v>
      </c>
    </row>
    <row r="22" spans="2:8" ht="16.5" customHeight="1" x14ac:dyDescent="0.25">
      <c r="B22" s="91" t="str">
        <f>VLOOKUP(tblMetricasNodos[[#This Row],[Nodo]],tblNodos[],2,FALSE)</f>
        <v>Intermediarios bancarios formales</v>
      </c>
      <c r="C22" s="92" t="s">
        <v>61</v>
      </c>
      <c r="D22" s="90">
        <f>_xlfn.LET(_xlpm.n,tblMetricasNodos[[#This Row],[Nodo]],_xlpm.col,_xlfn.XLOOKUP(_xlpm.n,tblMatrizTradeOff[#Headers],tblMatrizTradeOff[#Data]),SUM(_xlpm.col))</f>
        <v>7.5816993464052285</v>
      </c>
      <c r="E22" s="90">
        <f>_xlfn.LET(_xlpm.n,tblMetricasNodos[[#This Row],[Nodo]],_xlpm.row,_xlfn.XLOOKUP(_xlpm.n,tblMatrizTradeOff[Nodo Orig.\Dest.],tblMatrizTradeOff[[O1]:[I5]]),SUM(_xlpm.row))</f>
        <v>0</v>
      </c>
      <c r="F22" s="90">
        <f>tblMetricasNodos[[#This Row],[Grado Ponderado de Entrada]]+tblMetricasNodos[[#This Row],[Grado Ponderado de Salida]]</f>
        <v>7.5816993464052285</v>
      </c>
      <c r="G22" s="90">
        <f>tblMetricasNodos[[#This Row],[Grado Ponderado Total]]/tblMetricasNodos[[#Totals],[Grado Ponderado Total]]</f>
        <v>0.38189806718146946</v>
      </c>
      <c r="H22" s="90" cm="1">
        <f t="array" ref="H22">SUMPRODUCT((tblMatrizDistanciasMínimas[[#This Row],[O1]:[D1]]&gt;0)*(tblMatrizDistanciasMínimas[[#This Row],[O1]:[D1]]&lt;999999)*(1/(tblMatrizDistanciasMínimas[[#This Row],[O1]:[D1]]+(tblMatrizDistanciasMínimas[[#This Row],[O1]:[D1]]=0))))</f>
        <v>6.1464793781274096</v>
      </c>
    </row>
    <row r="23" spans="2:8" ht="16.5" customHeight="1" x14ac:dyDescent="0.25">
      <c r="B23" s="91" t="str">
        <f>VLOOKUP(tblMetricasNodos[[#This Row],[Nodo]],tblNodos[],2,FALSE)</f>
        <v>Intermediarios de pago digital (PSP /FinTech)</v>
      </c>
      <c r="C23" s="92" t="s">
        <v>63</v>
      </c>
      <c r="D23" s="90">
        <f>_xlfn.LET(_xlpm.n,tblMetricasNodos[[#This Row],[Nodo]],_xlpm.col,_xlfn.XLOOKUP(_xlpm.n,tblMatrizTradeOff[#Headers],tblMatrizTradeOff[#Data]),SUM(_xlpm.col))</f>
        <v>7.0349961861174677</v>
      </c>
      <c r="E23" s="90">
        <f>_xlfn.LET(_xlpm.n,tblMetricasNodos[[#This Row],[Nodo]],_xlpm.row,_xlfn.XLOOKUP(_xlpm.n,tblMatrizTradeOff[Nodo Orig.\Dest.],tblMatrizTradeOff[[O1]:[I5]]),SUM(_xlpm.row))</f>
        <v>0</v>
      </c>
      <c r="F23" s="90">
        <f>tblMetricasNodos[[#This Row],[Grado Ponderado de Entrada]]+tblMetricasNodos[[#This Row],[Grado Ponderado de Salida]]</f>
        <v>7.0349961861174677</v>
      </c>
      <c r="G23" s="90">
        <f>tblMetricasNodos[[#This Row],[Grado Ponderado Total]]/tblMetricasNodos[[#Totals],[Grado Ponderado Total]]</f>
        <v>0.35436006142621751</v>
      </c>
      <c r="H23" s="90" cm="1">
        <f t="array" ref="H23">SUMPRODUCT((tblMatrizDistanciasMínimas[[#This Row],[O1]:[D1]]&gt;0)*(tblMatrizDistanciasMínimas[[#This Row],[O1]:[D1]]&lt;999999)*(1/(tblMatrizDistanciasMínimas[[#This Row],[O1]:[D1]]+(tblMatrizDistanciasMínimas[[#This Row],[O1]:[D1]]=0))))</f>
        <v>2.7109511569787772</v>
      </c>
    </row>
    <row r="24" spans="2:8" ht="16.5" customHeight="1" x14ac:dyDescent="0.25">
      <c r="B24" s="91" t="str">
        <f>VLOOKUP(tblMetricasNodos[[#This Row],[Nodo]],tblNodos[],2,FALSE)</f>
        <v>Intermediarios de activos virtuales y conversión</v>
      </c>
      <c r="C24" s="92" t="s">
        <v>65</v>
      </c>
      <c r="D24" s="90">
        <f>_xlfn.LET(_xlpm.n,tblMetricasNodos[[#This Row],[Nodo]],_xlpm.col,_xlfn.XLOOKUP(_xlpm.n,tblMatrizTradeOff[#Headers],tblMatrizTradeOff[#Data]),SUM(_xlpm.col))</f>
        <v>6.8220338983050857</v>
      </c>
      <c r="E24" s="90">
        <f>_xlfn.LET(_xlpm.n,tblMetricasNodos[[#This Row],[Nodo]],_xlpm.row,_xlfn.XLOOKUP(_xlpm.n,tblMatrizTradeOff[Nodo Orig.\Dest.],tblMatrizTradeOff[[O1]:[I5]]),SUM(_xlpm.row))</f>
        <v>0</v>
      </c>
      <c r="F24" s="90">
        <f>tblMetricasNodos[[#This Row],[Grado Ponderado de Entrada]]+tblMetricasNodos[[#This Row],[Grado Ponderado de Salida]]</f>
        <v>6.8220338983050857</v>
      </c>
      <c r="G24" s="90">
        <f>tblMetricasNodos[[#This Row],[Grado Ponderado Total]]/tblMetricasNodos[[#Totals],[Grado Ponderado Total]]</f>
        <v>0.34363292989776223</v>
      </c>
      <c r="H24" s="90" cm="1">
        <f t="array" ref="H24">SUMPRODUCT((tblMatrizDistanciasMínimas[[#This Row],[O1]:[D1]]&gt;0)*(tblMatrizDistanciasMínimas[[#This Row],[O1]:[D1]]&lt;999999)*(1/(tblMatrizDistanciasMínimas[[#This Row],[O1]:[D1]]+(tblMatrizDistanciasMínimas[[#This Row],[O1]:[D1]]=0))))</f>
        <v>5.4309378614621</v>
      </c>
    </row>
    <row r="25" spans="2:8" ht="16.5" customHeight="1" x14ac:dyDescent="0.25">
      <c r="B25" s="91" t="str">
        <f>VLOOKUP(tblMetricasNodos[[#This Row],[Nodo]],tblNodos[],2,FALSE)</f>
        <v>Intermediarios comerciales y transaccionales</v>
      </c>
      <c r="C25" s="92" t="s">
        <v>67</v>
      </c>
      <c r="D25" s="90">
        <f>_xlfn.LET(_xlpm.n,tblMetricasNodos[[#This Row],[Nodo]],_xlpm.col,_xlfn.XLOOKUP(_xlpm.n,tblMatrizTradeOff[#Headers],tblMatrizTradeOff[#Data]),SUM(_xlpm.col))</f>
        <v>2.3571428571428577</v>
      </c>
      <c r="E25" s="90">
        <f>_xlfn.LET(_xlpm.n,tblMetricasNodos[[#This Row],[Nodo]],_xlpm.row,_xlfn.XLOOKUP(_xlpm.n,tblMatrizTradeOff[Nodo Orig.\Dest.],tblMatrizTradeOff[[O1]:[I5]]),SUM(_xlpm.row))</f>
        <v>0</v>
      </c>
      <c r="F25" s="90">
        <f>tblMetricasNodos[[#This Row],[Grado Ponderado de Entrada]]+tblMetricasNodos[[#This Row],[Grado Ponderado de Salida]]</f>
        <v>2.3571428571428577</v>
      </c>
      <c r="G25" s="90">
        <f>tblMetricasNodos[[#This Row],[Grado Ponderado Total]]/tblMetricasNodos[[#Totals],[Grado Ponderado Total]]</f>
        <v>0.11873173283246551</v>
      </c>
      <c r="H25" s="90" cm="1">
        <f t="array" ref="H25">SUMPRODUCT((tblMatrizDistanciasMínimas[[#This Row],[O1]:[D1]]&gt;0)*(tblMatrizDistanciasMínimas[[#This Row],[O1]:[D1]]&lt;999999)*(1/(tblMatrizDistanciasMínimas[[#This Row],[O1]:[D1]]+(tblMatrizDistanciasMínimas[[#This Row],[O1]:[D1]]=0))))</f>
        <v>9.1957449055010034</v>
      </c>
    </row>
    <row r="26" spans="2:8" ht="16.5" customHeight="1" x14ac:dyDescent="0.25">
      <c r="B26" s="91" t="str">
        <f>VLOOKUP(tblMetricasNodos[[#This Row],[Nodo]],tblNodos[],2,FALSE)</f>
        <v>Intermediarios logísticos del contrabando</v>
      </c>
      <c r="C26" s="92" t="s">
        <v>69</v>
      </c>
      <c r="D26" s="90">
        <f>_xlfn.LET(_xlpm.n,tblMetricasNodos[[#This Row],[Nodo]],_xlpm.col,_xlfn.XLOOKUP(_xlpm.n,tblMatrizTradeOff[#Headers],tblMatrizTradeOff[#Data]),SUM(_xlpm.col))</f>
        <v>7.4060606060606053</v>
      </c>
      <c r="E26" s="90">
        <f>_xlfn.LET(_xlpm.n,tblMetricasNodos[[#This Row],[Nodo]],_xlpm.row,_xlfn.XLOOKUP(_xlpm.n,tblMatrizTradeOff[Nodo Orig.\Dest.],tblMatrizTradeOff[[O1]:[I5]]),SUM(_xlpm.row))</f>
        <v>0</v>
      </c>
      <c r="F26" s="90">
        <f>tblMetricasNodos[[#This Row],[Grado Ponderado de Entrada]]+tblMetricasNodos[[#This Row],[Grado Ponderado de Salida]]</f>
        <v>7.4060606060606053</v>
      </c>
      <c r="G26" s="90">
        <f>tblMetricasNodos[[#This Row],[Grado Ponderado Total]]/tblMetricasNodos[[#Totals],[Grado Ponderado Total]]</f>
        <v>0.37305096148720279</v>
      </c>
      <c r="H26" s="90" cm="1">
        <f t="array" ref="H26">SUMPRODUCT((tblMatrizDistanciasMínimas[[#This Row],[O1]:[D1]]&gt;0)*(tblMatrizDistanciasMínimas[[#This Row],[O1]:[D1]]&lt;999999)*(1/(tblMatrizDistanciasMínimas[[#This Row],[O1]:[D1]]+(tblMatrizDistanciasMínimas[[#This Row],[O1]:[D1]]=0))))</f>
        <v>7.5919685990338159</v>
      </c>
    </row>
    <row r="27" spans="2:8" ht="16.5" customHeight="1" x14ac:dyDescent="0.25">
      <c r="B27" s="91" t="str">
        <f>VLOOKUP(tblMetricasNodos[[#This Row],[Nodo]],tblNodos[],2,FALSE)</f>
        <v>Intermediarios financeros especializados</v>
      </c>
      <c r="C27" s="92" t="s">
        <v>71</v>
      </c>
      <c r="D27" s="90">
        <f>_xlfn.LET(_xlpm.n,tblMetricasNodos[[#This Row],[Nodo]],_xlpm.col,_xlfn.XLOOKUP(_xlpm.n,tblMatrizTradeOff[#Headers],tblMatrizTradeOff[#Data]),SUM(_xlpm.col))</f>
        <v>2.8571428571428572</v>
      </c>
      <c r="E27" s="90">
        <f>_xlfn.LET(_xlpm.n,tblMetricasNodos[[#This Row],[Nodo]],_xlpm.row,_xlfn.XLOOKUP(_xlpm.n,tblMatrizTradeOff[Nodo Orig.\Dest.],tblMatrizTradeOff[[O1]:[I5]]),SUM(_xlpm.row))</f>
        <v>0</v>
      </c>
      <c r="F27" s="90">
        <f>tblMetricasNodos[[#This Row],[Grado Ponderado de Entrada]]+tblMetricasNodos[[#This Row],[Grado Ponderado de Salida]]</f>
        <v>2.8571428571428572</v>
      </c>
      <c r="G27" s="90">
        <f>tblMetricasNodos[[#This Row],[Grado Ponderado Total]]/tblMetricasNodos[[#Totals],[Grado Ponderado Total]]</f>
        <v>0.14391725191813998</v>
      </c>
      <c r="H27" s="90" cm="1">
        <f t="array" ref="H27">SUMPRODUCT((tblMatrizDistanciasMínimas[[#This Row],[O1]:[D1]]&gt;0)*(tblMatrizDistanciasMínimas[[#This Row],[O1]:[D1]]&lt;999999)*(1/(tblMatrizDistanciasMínimas[[#This Row],[O1]:[D1]]+(tblMatrizDistanciasMínimas[[#This Row],[O1]:[D1]]=0))))</f>
        <v>8.1199902248289337</v>
      </c>
    </row>
    <row r="28" spans="2:8" ht="16.5" customHeight="1" x14ac:dyDescent="0.25">
      <c r="B28" s="91" t="str">
        <f>VLOOKUP(tblMetricasNodos[[#This Row],[Nodo]],tblNodos[],2,FALSE)</f>
        <v>Intermediarios operativos y de cobertura</v>
      </c>
      <c r="C28" s="92" t="s">
        <v>73</v>
      </c>
      <c r="D28" s="90">
        <f>_xlfn.LET(_xlpm.n,tblMetricasNodos[[#This Row],[Nodo]],_xlpm.col,_xlfn.XLOOKUP(_xlpm.n,tblMatrizTradeOff[#Headers],tblMatrizTradeOff[#Data]),SUM(_xlpm.col))</f>
        <v>4.3157894736842106</v>
      </c>
      <c r="E28" s="90">
        <f>_xlfn.LET(_xlpm.n,tblMetricasNodos[[#This Row],[Nodo]],_xlpm.row,_xlfn.XLOOKUP(_xlpm.n,tblMatrizTradeOff[Nodo Orig.\Dest.],tblMatrizTradeOff[[O1]:[I5]]),SUM(_xlpm.row))</f>
        <v>0</v>
      </c>
      <c r="F28" s="90">
        <f>tblMetricasNodos[[#This Row],[Grado Ponderado de Entrada]]+tblMetricasNodos[[#This Row],[Grado Ponderado de Salida]]</f>
        <v>4.3157894736842106</v>
      </c>
      <c r="G28" s="90">
        <f>tblMetricasNodos[[#This Row],[Grado Ponderado Total]]/tblMetricasNodos[[#Totals],[Grado Ponderado Total]]</f>
        <v>0.21739079631845354</v>
      </c>
      <c r="H28" s="90" cm="1">
        <f t="array" ref="H28">SUMPRODUCT((tblMatrizDistanciasMínimas[[#This Row],[O1]:[D1]]&gt;0)*(tblMatrizDistanciasMínimas[[#This Row],[O1]:[D1]]&lt;999999)*(1/(tblMatrizDistanciasMínimas[[#This Row],[O1]:[D1]]+(tblMatrizDistanciasMínimas[[#This Row],[O1]:[D1]]=0))))</f>
        <v>3.9566326530612246</v>
      </c>
    </row>
    <row r="29" spans="2:8" ht="16.5" customHeight="1" x14ac:dyDescent="0.25">
      <c r="B29" s="91" t="str">
        <f>VLOOKUP(tblMetricasNodos[[#This Row],[Nodo]],tblNodos[],2,FALSE)</f>
        <v>Intermediarios de negociación y rescate</v>
      </c>
      <c r="C29" s="92" t="s">
        <v>75</v>
      </c>
      <c r="D29" s="90">
        <f>_xlfn.LET(_xlpm.n,tblMetricasNodos[[#This Row],[Nodo]],_xlpm.col,_xlfn.XLOOKUP(_xlpm.n,tblMatrizTradeOff[#Headers],tblMatrizTradeOff[#Data]),SUM(_xlpm.col))</f>
        <v>5.7272727272727266</v>
      </c>
      <c r="E29" s="90">
        <f>_xlfn.LET(_xlpm.n,tblMetricasNodos[[#This Row],[Nodo]],_xlpm.row,_xlfn.XLOOKUP(_xlpm.n,tblMatrizTradeOff[Nodo Orig.\Dest.],tblMatrizTradeOff[[O1]:[I5]]),SUM(_xlpm.row))</f>
        <v>0</v>
      </c>
      <c r="F29" s="90">
        <f>tblMetricasNodos[[#This Row],[Grado Ponderado de Entrada]]+tblMetricasNodos[[#This Row],[Grado Ponderado de Salida]]</f>
        <v>5.7272727272727266</v>
      </c>
      <c r="G29" s="90">
        <f>tblMetricasNodos[[#This Row],[Grado Ponderado Total]]/tblMetricasNodos[[#Totals],[Grado Ponderado Total]]</f>
        <v>0.28848867316318055</v>
      </c>
      <c r="H29" s="90" cm="1">
        <f t="array" ref="H29">SUMPRODUCT((tblMatrizDistanciasMínimas[[#This Row],[O1]:[D1]]&gt;0)*(tblMatrizDistanciasMínimas[[#This Row],[O1]:[D1]]&lt;999999)*(1/(tblMatrizDistanciasMínimas[[#This Row],[O1]:[D1]]+(tblMatrizDistanciasMínimas[[#This Row],[O1]:[D1]]=0))))</f>
        <v>5.3310521813515823</v>
      </c>
    </row>
    <row r="30" spans="2:8" ht="16.5" customHeight="1" x14ac:dyDescent="0.25">
      <c r="B30" s="91" t="str">
        <f>VLOOKUP(tblMetricasNodos[[#This Row],[Nodo]],tblNodos[],2,FALSE)</f>
        <v>Dirección financiera</v>
      </c>
      <c r="C30" s="92" t="s">
        <v>77</v>
      </c>
      <c r="D30" s="90">
        <f>_xlfn.LET(_xlpm.n,tblMetricasNodos[[#This Row],[Nodo]],_xlpm.col,_xlfn.XLOOKUP(_xlpm.n,tblMatrizTradeOff[#Headers],tblMatrizTradeOff[#Data]),SUM(_xlpm.col))</f>
        <v>15.721863517060369</v>
      </c>
      <c r="E30" s="90">
        <f>_xlfn.LET(_xlpm.n,tblMetricasNodos[[#This Row],[Nodo]],_xlpm.row,_xlfn.XLOOKUP(_xlpm.n,tblMatrizTradeOff[Nodo Orig.\Dest.],tblMatrizTradeOff[[O1]:[I5]]),SUM(_xlpm.row))</f>
        <v>0</v>
      </c>
      <c r="F30" s="90">
        <f>tblMetricasNodos[[#This Row],[Grado Ponderado de Entrada]]+tblMetricasNodos[[#This Row],[Grado Ponderado de Salida]]</f>
        <v>15.721863517060369</v>
      </c>
      <c r="G30" s="90">
        <f>tblMetricasNodos[[#This Row],[Grado Ponderado Total]]/tblMetricasNodos[[#Totals],[Grado Ponderado Total]]</f>
        <v>0.79192658734258692</v>
      </c>
      <c r="H30" s="90" cm="1">
        <f t="array" ref="H30">SUMPRODUCT((tblMatrizDistanciasMínimas[[#This Row],[O1]:[D1]]&gt;0)*(tblMatrizDistanciasMínimas[[#This Row],[O1]:[D1]]&lt;999999)*(1/(tblMatrizDistanciasMínimas[[#This Row],[O1]:[D1]]+(tblMatrizDistanciasMínimas[[#This Row],[O1]:[D1]]=0))))</f>
        <v>2.15</v>
      </c>
    </row>
    <row r="31" spans="2:8" ht="16.5" customHeight="1" x14ac:dyDescent="0.25">
      <c r="B31" s="91" t="str">
        <f>VLOOKUP(tblMetricasNodos[[#This Row],[Nodo]],tblNodos[],2,FALSE)</f>
        <v>Gestión operativa descentralizada</v>
      </c>
      <c r="C31" s="92" t="s">
        <v>79</v>
      </c>
      <c r="D31" s="90">
        <f>_xlfn.LET(_xlpm.n,tblMetricasNodos[[#This Row],[Nodo]],_xlpm.col,_xlfn.XLOOKUP(_xlpm.n,tblMatrizTradeOff[#Headers],tblMatrizTradeOff[#Data]),SUM(_xlpm.col))</f>
        <v>13.353921568627451</v>
      </c>
      <c r="E31" s="90">
        <f>_xlfn.LET(_xlpm.n,tblMetricasNodos[[#This Row],[Nodo]],_xlpm.row,_xlfn.XLOOKUP(_xlpm.n,tblMatrizTradeOff[Nodo Orig.\Dest.],tblMatrizTradeOff[[O1]:[I5]]),SUM(_xlpm.row))</f>
        <v>0</v>
      </c>
      <c r="F31" s="90">
        <f>tblMetricasNodos[[#This Row],[Grado Ponderado de Entrada]]+tblMetricasNodos[[#This Row],[Grado Ponderado de Salida]]</f>
        <v>13.353921568627451</v>
      </c>
      <c r="G31" s="90">
        <f>tblMetricasNodos[[#This Row],[Grado Ponderado Total]]/tblMetricasNodos[[#Totals],[Grado Ponderado Total]]</f>
        <v>0.67265089307053394</v>
      </c>
      <c r="H31" s="90" cm="1">
        <f t="array" ref="H31">SUMPRODUCT((tblMatrizDistanciasMínimas[[#This Row],[O1]:[D1]]&gt;0)*(tblMatrizDistanciasMínimas[[#This Row],[O1]:[D1]]&lt;999999)*(1/(tblMatrizDistanciasMínimas[[#This Row],[O1]:[D1]]+(tblMatrizDistanciasMínimas[[#This Row],[O1]:[D1]]=0))))</f>
        <v>1.5185185185185186</v>
      </c>
    </row>
    <row r="32" spans="2:8" ht="16.5" customHeight="1" x14ac:dyDescent="0.25">
      <c r="B32" s="91" t="str">
        <f>VLOOKUP(tblMetricasNodos[[#This Row],[Nodo]],tblNodos[],2,FALSE)</f>
        <v>Custodia y conversión</v>
      </c>
      <c r="C32" s="92" t="s">
        <v>81</v>
      </c>
      <c r="D32" s="90">
        <f>_xlfn.LET(_xlpm.n,tblMetricasNodos[[#This Row],[Nodo]],_xlpm.col,_xlfn.XLOOKUP(_xlpm.n,tblMatrizTradeOff[#Headers],tblMatrizTradeOff[#Data]),SUM(_xlpm.col))</f>
        <v>6.3089826839826841</v>
      </c>
      <c r="E32" s="90">
        <f>_xlfn.LET(_xlpm.n,tblMetricasNodos[[#This Row],[Nodo]],_xlpm.row,_xlfn.XLOOKUP(_xlpm.n,tblMatrizTradeOff[Nodo Orig.\Dest.],tblMatrizTradeOff[[O1]:[I5]]),SUM(_xlpm.row))</f>
        <v>0</v>
      </c>
      <c r="F32" s="90">
        <f>tblMetricasNodos[[#This Row],[Grado Ponderado de Entrada]]+tblMetricasNodos[[#This Row],[Grado Ponderado de Salida]]</f>
        <v>6.3089826839826841</v>
      </c>
      <c r="G32" s="90">
        <f>tblMetricasNodos[[#This Row],[Grado Ponderado Total]]/tblMetricasNodos[[#Totals],[Grado Ponderado Total]]</f>
        <v>0.31779000759727161</v>
      </c>
      <c r="H32" s="90" cm="1">
        <f t="array" ref="H32">SUMPRODUCT((tblMatrizDistanciasMínimas[[#This Row],[O1]:[D1]]&gt;0)*(tblMatrizDistanciasMínimas[[#This Row],[O1]:[D1]]&lt;999999)*(1/(tblMatrizDistanciasMínimas[[#This Row],[O1]:[D1]]+(tblMatrizDistanciasMínimas[[#This Row],[O1]:[D1]]=0))))</f>
        <v>2.1282051282051286</v>
      </c>
    </row>
    <row r="33" spans="2:9" ht="16.5" customHeight="1" x14ac:dyDescent="0.25">
      <c r="B33" s="91" t="str">
        <f>VLOOKUP(tblMetricasNodos[[#This Row],[Nodo]],tblNodos[],2,FALSE)</f>
        <v>Coordinación de la red y soporte estratégico</v>
      </c>
      <c r="C33" s="92" t="s">
        <v>83</v>
      </c>
      <c r="D33" s="90">
        <f>_xlfn.LET(_xlpm.n,tblMetricasNodos[[#This Row],[Nodo]],_xlpm.col,_xlfn.XLOOKUP(_xlpm.n,tblMatrizTradeOff[#Headers],tblMatrizTradeOff[#Data]),SUM(_xlpm.col))</f>
        <v>19.852677973367626</v>
      </c>
      <c r="E33" s="90">
        <f>_xlfn.LET(_xlpm.n,tblMetricasNodos[[#This Row],[Nodo]],_xlpm.row,_xlfn.XLOOKUP(_xlpm.n,tblMatrizTradeOff[Nodo Orig.\Dest.],tblMatrizTradeOff[[O1]:[I5]]),SUM(_xlpm.row))</f>
        <v>0</v>
      </c>
      <c r="F33" s="90">
        <f>tblMetricasNodos[[#This Row],[Grado Ponderado de Entrada]]+tblMetricasNodos[[#This Row],[Grado Ponderado de Salida]]</f>
        <v>19.852677973367626</v>
      </c>
      <c r="G33" s="90">
        <f>tblMetricasNodos[[#This Row],[Grado Ponderado Total]]/tblMetricasNodos[[#Totals],[Grado Ponderado Total]]</f>
        <v>1</v>
      </c>
      <c r="H33" s="90" cm="1">
        <f t="array" ref="H33">SUMPRODUCT((tblMatrizDistanciasMínimas[[#This Row],[O1]:[D1]]&gt;0)*(tblMatrizDistanciasMínimas[[#This Row],[O1]:[D1]]&lt;999999)*(1/(tblMatrizDistanciasMínimas[[#This Row],[O1]:[D1]]+(tblMatrizDistanciasMínimas[[#This Row],[O1]:[D1]]=0))))</f>
        <v>1.9948717948717951</v>
      </c>
    </row>
    <row r="34" spans="2:9" ht="16.5" customHeight="1" x14ac:dyDescent="0.25">
      <c r="B34" s="91" t="str">
        <f>VLOOKUP(tblMetricasNodos[[#This Row],[Nodo]],tblNodos[],2,FALSE)</f>
        <v>Destino operativo final</v>
      </c>
      <c r="C34" s="92" t="s">
        <v>85</v>
      </c>
      <c r="D34" s="90">
        <f>_xlfn.LET(_xlpm.n,tblMetricasNodos[[#This Row],[Nodo]],_xlpm.col,_xlfn.XLOOKUP(_xlpm.n,tblMatrizTradeOff[#Headers],tblMatrizTradeOff[#Data]),SUM(_xlpm.col))</f>
        <v>7.791595441595442</v>
      </c>
      <c r="E34" s="90">
        <f>_xlfn.LET(_xlpm.n,tblMetricasNodos[[#This Row],[Nodo]],_xlpm.row,_xlfn.XLOOKUP(_xlpm.n,tblMatrizTradeOff[Nodo Orig.\Dest.],tblMatrizTradeOff[[O1]:[I5]]),SUM(_xlpm.row))</f>
        <v>0</v>
      </c>
      <c r="F34" s="90">
        <f>tblMetricasNodos[[#This Row],[Grado Ponderado de Entrada]]+tblMetricasNodos[[#This Row],[Grado Ponderado de Salida]]</f>
        <v>7.791595441595442</v>
      </c>
      <c r="G34" s="90">
        <f>tblMetricasNodos[[#This Row],[Grado Ponderado Total]]/tblMetricasNodos[[#Totals],[Grado Ponderado Total]]</f>
        <v>0.39247075140431281</v>
      </c>
      <c r="H34" s="105" cm="1">
        <f t="array" ref="H34">SUMPRODUCT((tblMatrizDistanciasMínimas[[#This Row],[O1]:[D1]]&gt;0)*(tblMatrizDistanciasMínimas[[#This Row],[O1]:[D1]]&lt;999999)*(1/(tblMatrizDistanciasMínimas[[#This Row],[O1]:[D1]]+(tblMatrizDistanciasMínimas[[#This Row],[O1]:[D1]]=0))))</f>
        <v>0</v>
      </c>
    </row>
    <row r="35" spans="2:9" ht="16.5" customHeight="1" x14ac:dyDescent="0.25">
      <c r="B35" s="93" t="s">
        <v>483</v>
      </c>
      <c r="C35" s="94"/>
      <c r="D35" s="95"/>
      <c r="E35" s="95"/>
      <c r="F35" s="96">
        <f>SUBTOTAL(104,tblMetricasNodos[Grado Ponderado Total])</f>
        <v>19.852677973367626</v>
      </c>
      <c r="G35" s="95"/>
      <c r="H35" s="95"/>
    </row>
    <row r="36" spans="2:9" ht="125.25" customHeight="1" x14ac:dyDescent="0.25">
      <c r="D36" s="22" t="s">
        <v>487</v>
      </c>
      <c r="E36" s="22" t="s">
        <v>488</v>
      </c>
      <c r="F36" s="22" t="s">
        <v>484</v>
      </c>
      <c r="G36" s="22" t="s">
        <v>489</v>
      </c>
      <c r="H36" s="22" t="s">
        <v>523</v>
      </c>
      <c r="I36" s="19"/>
    </row>
    <row r="37" spans="2:9" ht="17.25" customHeight="1" x14ac:dyDescent="0.25">
      <c r="D37" s="19"/>
      <c r="E37" s="19"/>
      <c r="F37" s="19"/>
      <c r="G37" s="19"/>
      <c r="H37" s="19"/>
      <c r="I37" s="19"/>
    </row>
    <row r="38" spans="2:9" ht="17.25" customHeight="1" x14ac:dyDescent="0.25">
      <c r="D38" s="19"/>
      <c r="E38" s="19"/>
      <c r="F38" s="19"/>
      <c r="G38" s="19"/>
      <c r="H38" s="19"/>
      <c r="I38" s="19"/>
    </row>
    <row r="39" spans="2:9" ht="17.25" customHeight="1" x14ac:dyDescent="0.25">
      <c r="D39" s="19"/>
      <c r="E39" s="19"/>
      <c r="F39" s="19"/>
      <c r="G39" s="19"/>
      <c r="H39" s="19"/>
      <c r="I39" s="19"/>
    </row>
    <row r="40" spans="2:9" ht="17.25" customHeight="1" x14ac:dyDescent="0.25">
      <c r="D40" s="19"/>
      <c r="E40" s="19"/>
      <c r="F40" s="19"/>
      <c r="G40" s="19"/>
      <c r="H40" s="19"/>
    </row>
    <row r="41" spans="2:9" ht="17.25" customHeight="1" x14ac:dyDescent="0.25">
      <c r="D41" s="19"/>
      <c r="E41" s="19"/>
      <c r="F41" s="19"/>
      <c r="G41" s="19"/>
      <c r="H41" s="19"/>
    </row>
    <row r="42" spans="2:9" ht="17.25" customHeight="1" x14ac:dyDescent="0.25">
      <c r="D42" s="19"/>
      <c r="E42" s="19"/>
      <c r="F42" s="19"/>
      <c r="G42" s="19"/>
      <c r="H42" s="19"/>
    </row>
    <row r="43" spans="2:9" ht="17.25" customHeight="1" x14ac:dyDescent="0.25">
      <c r="D43" s="19"/>
      <c r="E43" s="19"/>
      <c r="F43" s="19"/>
      <c r="G43" s="19"/>
      <c r="H43" s="19"/>
    </row>
    <row r="44" spans="2:9" ht="17.25" customHeight="1" x14ac:dyDescent="0.25">
      <c r="D44" s="19"/>
      <c r="E44" s="19"/>
      <c r="F44" s="19"/>
      <c r="G44" s="19"/>
      <c r="H44" s="19"/>
    </row>
    <row r="45" spans="2:9" ht="17.25" customHeight="1" x14ac:dyDescent="0.25">
      <c r="D45" s="19"/>
      <c r="E45" s="19"/>
      <c r="F45" s="19"/>
      <c r="G45" s="19"/>
      <c r="H45" s="19"/>
    </row>
    <row r="46" spans="2:9" ht="17.25" customHeight="1" x14ac:dyDescent="0.25">
      <c r="D46" s="19"/>
      <c r="E46" s="19"/>
      <c r="F46" s="19"/>
      <c r="G46" s="19"/>
      <c r="H46" s="19"/>
    </row>
    <row r="47" spans="2:9" ht="17.25" customHeight="1" x14ac:dyDescent="0.25">
      <c r="D47" s="19"/>
      <c r="E47" s="19"/>
      <c r="F47" s="19"/>
      <c r="G47" s="19"/>
      <c r="H47" s="19"/>
    </row>
    <row r="48" spans="2:9" ht="17.25" customHeight="1" x14ac:dyDescent="0.25">
      <c r="D48" s="19"/>
      <c r="E48" s="19"/>
      <c r="F48" s="19"/>
      <c r="G48" s="19"/>
      <c r="H48" s="19"/>
    </row>
    <row r="49" spans="4:8" ht="17.25" customHeight="1" x14ac:dyDescent="0.25">
      <c r="D49" s="19"/>
      <c r="E49" s="19"/>
      <c r="F49" s="19"/>
      <c r="G49" s="19"/>
      <c r="H49" s="19"/>
    </row>
    <row r="50" spans="4:8" ht="17.25" customHeight="1" x14ac:dyDescent="0.25">
      <c r="D50" s="19"/>
      <c r="E50" s="19"/>
      <c r="F50" s="19"/>
      <c r="G50" s="19"/>
      <c r="H50" s="19"/>
    </row>
    <row r="51" spans="4:8" ht="17.25" customHeight="1" x14ac:dyDescent="0.25">
      <c r="D51" s="19"/>
      <c r="E51" s="19"/>
      <c r="F51" s="19"/>
      <c r="G51" s="19"/>
      <c r="H51" s="19"/>
    </row>
    <row r="52" spans="4:8" ht="17.25" customHeight="1" x14ac:dyDescent="0.25">
      <c r="D52" s="19"/>
      <c r="E52" s="19"/>
      <c r="F52" s="19"/>
      <c r="G52" s="19"/>
      <c r="H52" s="19"/>
    </row>
  </sheetData>
  <mergeCells count="1">
    <mergeCell ref="B2:H2"/>
  </mergeCells>
  <phoneticPr fontId="10" type="noConversion"/>
  <conditionalFormatting sqref="D4:F34">
    <cfRule type="colorScale" priority="75">
      <colorScale>
        <cfvo type="num" val="0"/>
        <cfvo type="percent" val="50"/>
        <cfvo type="max"/>
        <color theme="0"/>
        <color rgb="FFFFEB84"/>
        <color rgb="FFF8696B"/>
      </colorScale>
    </cfRule>
    <cfRule type="cellIs" dxfId="61" priority="76" operator="equal">
      <formula>0</formula>
    </cfRule>
  </conditionalFormatting>
  <conditionalFormatting sqref="G4:G34">
    <cfRule type="colorScale" priority="2">
      <colorScale>
        <cfvo type="min"/>
        <cfvo type="max"/>
        <color rgb="FFFCFCFF"/>
        <color rgb="FF63BE7B"/>
      </colorScale>
    </cfRule>
  </conditionalFormatting>
  <conditionalFormatting sqref="H4:H34">
    <cfRule type="colorScale" priority="1">
      <colorScale>
        <cfvo type="min"/>
        <cfvo type="max"/>
        <color rgb="FFFCFCFF"/>
        <color rgb="FF63BE7B"/>
      </colorScale>
    </cfRule>
  </conditionalFormatting>
  <pageMargins left="0.75" right="0.75" top="1" bottom="1" header="0.5" footer="0.5"/>
  <pageSetup paperSize="9" orientation="portrait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5C44D-9DD8-410E-9FC5-9A8B7556B7D9}">
  <sheetPr codeName="Hoja14"/>
  <dimension ref="B2:AH34"/>
  <sheetViews>
    <sheetView showGridLines="0" tabSelected="1" zoomScale="70" zoomScaleNormal="70" workbookViewId="0">
      <selection activeCell="AL11" sqref="AL11"/>
    </sheetView>
  </sheetViews>
  <sheetFormatPr baseColWidth="10" defaultColWidth="9.140625" defaultRowHeight="17.25" customHeight="1" x14ac:dyDescent="0.25"/>
  <cols>
    <col min="1" max="1" width="9.140625" style="3" customWidth="1"/>
    <col min="2" max="2" width="34.42578125" style="3" customWidth="1"/>
    <col min="3" max="3" width="11.85546875" style="3" customWidth="1"/>
    <col min="4" max="34" width="7.5703125" style="3" customWidth="1"/>
    <col min="35" max="16384" width="9.140625" style="3"/>
  </cols>
  <sheetData>
    <row r="2" spans="2:34" s="8" customFormat="1" ht="121.5" customHeight="1" x14ac:dyDescent="0.25">
      <c r="B2" s="123" t="s">
        <v>492</v>
      </c>
      <c r="C2" s="124"/>
      <c r="D2" s="13" t="str">
        <f>VLOOKUP(tblMatrizDistanciasMínimas[[#Headers],[O1]],tblNodos[],2,FALSE)</f>
        <v>Recursos personales lícitos</v>
      </c>
      <c r="E2" s="13" t="str">
        <f>VLOOKUP(tblMatrizDistanciasMínimas[[#Headers],[O2]],tblNodos[],2,FALSE)</f>
        <v>Donaciones y apoyo individual / comunitario</v>
      </c>
      <c r="F2" s="13" t="str">
        <f>VLOOKUP(tblMatrizDistanciasMínimas[[#Headers],[O3]],tblNodos[],2,FALSE)</f>
        <v>Actividad comercial y empresarial</v>
      </c>
      <c r="G2" s="13" t="str">
        <f>VLOOKUP(tblMatrizDistanciasMínimas[[#Headers],[O4]],tblNodos[],2,FALSE)</f>
        <v>Financiación mediante coerción y exacción</v>
      </c>
      <c r="H2" s="13" t="str">
        <f>VLOOKUP(tblMatrizDistanciasMínimas[[#Headers],[O5]],tblNodos[],2,FALSE)</f>
        <v>Explotación de personas y movilidad forzada</v>
      </c>
      <c r="I2" s="13" t="str">
        <f>VLOOKUP(tblMatrizDistanciasMínimas[[#Headers],[O6]],tblNodos[],2,FALSE)</f>
        <v>Actividades criminales y mercados ilícitos</v>
      </c>
      <c r="J2" s="13" t="str">
        <f>VLOOKUP(tblMatrizDistanciasMínimas[[#Headers],[O7]],tblNodos[],2,FALSE)</f>
        <v>Explotación de recursos naturales</v>
      </c>
      <c r="K2" s="13" t="str">
        <f>VLOOKUP(tblMatrizDistanciasMínimas[[#Headers],[O8]],tblNodos[],2,FALSE)</f>
        <v>Valor digital</v>
      </c>
      <c r="L2" s="13" t="str">
        <f>VLOOKUP(tblMatrizDistanciasMínimas[[#Headers],[C1]],tblNodos[],2,FALSE)</f>
        <v>Recaudación directa</v>
      </c>
      <c r="M2" s="13" t="str">
        <f>VLOOKUP(tblMatrizDistanciasMínimas[[#Headers],[C2]],tblNodos[],2,FALSE)</f>
        <v>Agregadores de fondos</v>
      </c>
      <c r="N2" s="13" t="str">
        <f>VLOOKUP(tblMatrizDistanciasMínimas[[#Headers],[C3]],tblNodos[],2,FALSE)</f>
        <v>Estructuras organizadas de captación</v>
      </c>
      <c r="O2" s="13" t="str">
        <f>VLOOKUP(tblMatrizDistanciasMínimas[[#Headers],[C4]],tblNodos[],2,FALSE)</f>
        <v>Colectores digitales instrumentales</v>
      </c>
      <c r="P2" s="13" t="str">
        <f>VLOOKUP(tblMatrizDistanciasMínimas[[#Headers],[C5]],tblNodos[],2,FALSE)</f>
        <v>Colectores empresariales y vehiculares</v>
      </c>
      <c r="Q2" s="13" t="str">
        <f>VLOOKUP(tblMatrizDistanciasMínimas[[#Headers],[C6]],tblNodos[],2,FALSE)</f>
        <v>Colectores instrumentales / de ocultación</v>
      </c>
      <c r="R2" s="13" t="str">
        <f>VLOOKUP(tblMatrizDistanciasMínimas[[#Headers],[I1]],tblNodos[],2,FALSE)</f>
        <v>Intermediarios físicos de transporte de valor</v>
      </c>
      <c r="S2" s="13" t="str">
        <f>VLOOKUP(tblMatrizDistanciasMínimas[[#Headers],[I2]],tblNodos[],2,FALSE)</f>
        <v>Intermediarios informales y paralelos</v>
      </c>
      <c r="T2" s="13" t="str">
        <f>VLOOKUP(tblMatrizDistanciasMínimas[[#Headers],[I3]],tblNodos[],2,FALSE)</f>
        <v>Intermediarios MVTS y remesas</v>
      </c>
      <c r="U2" s="13" t="str">
        <f>VLOOKUP(tblMatrizDistanciasMínimas[[#Headers],[I4]],tblNodos[],2,FALSE)</f>
        <v>Intermediarios de dinero móvil</v>
      </c>
      <c r="V2" s="13" t="str">
        <f>VLOOKUP(tblMatrizDistanciasMínimas[[#Headers],[I5]],tblNodos[],2,FALSE)</f>
        <v>Intermediarios bancarios formales</v>
      </c>
      <c r="W2" s="13" t="str">
        <f>VLOOKUP(tblMatrizDistanciasMínimas[[#Headers],[I6]],tblNodos[],2,FALSE)</f>
        <v>Intermediarios de pago digital (PSP /FinTech)</v>
      </c>
      <c r="X2" s="13" t="str">
        <f>VLOOKUP(tblMatrizDistanciasMínimas[[#Headers],[I7]],tblNodos[],2,FALSE)</f>
        <v>Intermediarios de activos virtuales y conversión</v>
      </c>
      <c r="Y2" s="13" t="str">
        <f>VLOOKUP(tblMatrizDistanciasMínimas[[#Headers],[I8]],tblNodos[],2,FALSE)</f>
        <v>Intermediarios comerciales y transaccionales</v>
      </c>
      <c r="Z2" s="13" t="str">
        <f>VLOOKUP(tblMatrizDistanciasMínimas[[#Headers],[I9]],tblNodos[],2,FALSE)</f>
        <v>Intermediarios logísticos del contrabando</v>
      </c>
      <c r="AA2" s="13" t="str">
        <f>VLOOKUP(tblMatrizDistanciasMínimas[[#Headers],[I10]],tblNodos[],2,FALSE)</f>
        <v>Intermediarios financeros especializados</v>
      </c>
      <c r="AB2" s="13" t="str">
        <f>VLOOKUP(tblMatrizDistanciasMínimas[[#Headers],[I11]],tblNodos[],2,FALSE)</f>
        <v>Intermediarios operativos y de cobertura</v>
      </c>
      <c r="AC2" s="13" t="str">
        <f>VLOOKUP(tblMatrizDistanciasMínimas[[#Headers],[I12]],tblNodos[],2,FALSE)</f>
        <v>Intermediarios de negociación y rescate</v>
      </c>
      <c r="AD2" s="13" t="str">
        <f>VLOOKUP(tblMatrizDistanciasMínimas[[#Headers],[G1]],tblNodos[],2,FALSE)</f>
        <v>Dirección financiera</v>
      </c>
      <c r="AE2" s="13" t="str">
        <f>VLOOKUP(tblMatrizDistanciasMínimas[[#Headers],[G2]],tblNodos[],2,FALSE)</f>
        <v>Gestión operativa descentralizada</v>
      </c>
      <c r="AF2" s="13" t="str">
        <f>VLOOKUP(tblMatrizDistanciasMínimas[[#Headers],[G3]],tblNodos[],2,FALSE)</f>
        <v>Custodia y conversión</v>
      </c>
      <c r="AG2" s="13" t="str">
        <f>VLOOKUP(tblMatrizDistanciasMínimas[[#Headers],[G4]],tblNodos[],2,FALSE)</f>
        <v>Coordinación de la red y soporte estratégico</v>
      </c>
      <c r="AH2" s="13" t="str">
        <f>VLOOKUP(tblMatrizDistanciasMínimas[[#Headers],[D1]],tblNodos[],2,FALSE)</f>
        <v>Destino operativo final</v>
      </c>
    </row>
    <row r="3" spans="2:34" ht="33" customHeight="1" x14ac:dyDescent="0.25">
      <c r="B3" s="5" t="s">
        <v>472</v>
      </c>
      <c r="C3" s="23" t="s">
        <v>486</v>
      </c>
      <c r="D3" s="4" t="s">
        <v>25</v>
      </c>
      <c r="E3" s="4" t="s">
        <v>27</v>
      </c>
      <c r="F3" s="4" t="s">
        <v>29</v>
      </c>
      <c r="G3" s="4" t="s">
        <v>31</v>
      </c>
      <c r="H3" s="4" t="s">
        <v>33</v>
      </c>
      <c r="I3" s="4" t="s">
        <v>35</v>
      </c>
      <c r="J3" s="4" t="s">
        <v>37</v>
      </c>
      <c r="K3" s="4" t="s">
        <v>39</v>
      </c>
      <c r="L3" s="4" t="s">
        <v>41</v>
      </c>
      <c r="M3" s="4" t="s">
        <v>43</v>
      </c>
      <c r="N3" s="4" t="s">
        <v>45</v>
      </c>
      <c r="O3" s="4" t="s">
        <v>47</v>
      </c>
      <c r="P3" s="4" t="s">
        <v>49</v>
      </c>
      <c r="Q3" s="4" t="s">
        <v>51</v>
      </c>
      <c r="R3" s="4" t="s">
        <v>53</v>
      </c>
      <c r="S3" s="4" t="s">
        <v>55</v>
      </c>
      <c r="T3" s="4" t="s">
        <v>57</v>
      </c>
      <c r="U3" s="4" t="s">
        <v>59</v>
      </c>
      <c r="V3" s="6" t="s">
        <v>61</v>
      </c>
      <c r="W3" s="21" t="s">
        <v>63</v>
      </c>
      <c r="X3" s="21" t="s">
        <v>65</v>
      </c>
      <c r="Y3" s="21" t="s">
        <v>67</v>
      </c>
      <c r="Z3" s="21" t="s">
        <v>69</v>
      </c>
      <c r="AA3" s="21" t="s">
        <v>71</v>
      </c>
      <c r="AB3" s="21" t="s">
        <v>73</v>
      </c>
      <c r="AC3" s="21" t="s">
        <v>75</v>
      </c>
      <c r="AD3" s="21" t="s">
        <v>77</v>
      </c>
      <c r="AE3" s="21" t="s">
        <v>79</v>
      </c>
      <c r="AF3" s="21" t="s">
        <v>81</v>
      </c>
      <c r="AG3" s="21" t="s">
        <v>83</v>
      </c>
      <c r="AH3" s="21" t="s">
        <v>85</v>
      </c>
    </row>
    <row r="4" spans="2:34" ht="17.25" customHeight="1" x14ac:dyDescent="0.25">
      <c r="B4" s="69" t="str">
        <f>VLOOKUP(tblMatrizDistanciasMínimas[[#This Row],[Nodo Orig.\Dest.]],tblNodos[],2,FALSE)</f>
        <v>Recursos personales lícitos</v>
      </c>
      <c r="C4" s="4" t="s">
        <v>25</v>
      </c>
      <c r="D4" s="98">
        <v>0</v>
      </c>
      <c r="E4" s="98">
        <v>999999</v>
      </c>
      <c r="F4" s="98">
        <v>999999</v>
      </c>
      <c r="G4" s="98">
        <v>999999</v>
      </c>
      <c r="H4" s="98">
        <v>999999</v>
      </c>
      <c r="I4" s="98">
        <v>999999</v>
      </c>
      <c r="J4" s="98">
        <v>999999</v>
      </c>
      <c r="K4" s="98">
        <v>999999</v>
      </c>
      <c r="L4" s="98">
        <v>999999</v>
      </c>
      <c r="M4" s="98">
        <v>999999</v>
      </c>
      <c r="N4" s="98">
        <v>999999</v>
      </c>
      <c r="O4" s="98">
        <v>0.55555555555555558</v>
      </c>
      <c r="P4" s="98">
        <v>999999</v>
      </c>
      <c r="Q4" s="98">
        <v>999999</v>
      </c>
      <c r="R4" s="98">
        <v>999999</v>
      </c>
      <c r="S4" s="98">
        <v>999999</v>
      </c>
      <c r="T4" s="98">
        <v>999999</v>
      </c>
      <c r="U4" s="98">
        <v>999999</v>
      </c>
      <c r="V4" s="98">
        <v>0.40476190476190477</v>
      </c>
      <c r="W4" s="99">
        <v>1.1334450027917367</v>
      </c>
      <c r="X4" s="99">
        <v>0.9903381642512078</v>
      </c>
      <c r="Y4" s="99">
        <v>999999</v>
      </c>
      <c r="Z4" s="99">
        <v>999999</v>
      </c>
      <c r="AA4" s="99">
        <v>999999</v>
      </c>
      <c r="AB4" s="99">
        <v>999999</v>
      </c>
      <c r="AC4" s="99">
        <v>999999</v>
      </c>
      <c r="AD4" s="99">
        <v>999999</v>
      </c>
      <c r="AE4" s="99">
        <v>0.80952380952380953</v>
      </c>
      <c r="AF4" s="99">
        <v>1.4178190802817421</v>
      </c>
      <c r="AG4" s="99">
        <v>0.7960662525879918</v>
      </c>
      <c r="AH4" s="99">
        <v>1.2973515996316936</v>
      </c>
    </row>
    <row r="5" spans="2:34" ht="17.25" customHeight="1" x14ac:dyDescent="0.25">
      <c r="B5" s="12" t="str">
        <f>VLOOKUP(tblMatrizDistanciasMínimas[[#This Row],[Nodo Orig.\Dest.]],tblNodos[],2,FALSE)</f>
        <v>Donaciones y apoyo individual / comunitario</v>
      </c>
      <c r="C5" s="4" t="s">
        <v>27</v>
      </c>
      <c r="D5" s="98">
        <v>999999</v>
      </c>
      <c r="E5" s="98">
        <v>0</v>
      </c>
      <c r="F5" s="98">
        <v>999999</v>
      </c>
      <c r="G5" s="98">
        <v>999999</v>
      </c>
      <c r="H5" s="98">
        <v>999999</v>
      </c>
      <c r="I5" s="98">
        <v>999999</v>
      </c>
      <c r="J5" s="98">
        <v>999999</v>
      </c>
      <c r="K5" s="98">
        <v>999999</v>
      </c>
      <c r="L5" s="16">
        <v>0.54639175257731953</v>
      </c>
      <c r="M5" s="98">
        <v>999999</v>
      </c>
      <c r="N5" s="98">
        <v>0.51648351648351654</v>
      </c>
      <c r="O5" s="98">
        <v>0.58823529411764708</v>
      </c>
      <c r="P5" s="98">
        <v>999999</v>
      </c>
      <c r="Q5" s="98">
        <v>999999</v>
      </c>
      <c r="R5" s="98">
        <v>1.0221199079171255</v>
      </c>
      <c r="S5" s="98">
        <v>1.2186111760579847</v>
      </c>
      <c r="T5" s="98">
        <v>999999</v>
      </c>
      <c r="U5" s="98">
        <v>999999</v>
      </c>
      <c r="V5" s="98">
        <v>999999</v>
      </c>
      <c r="W5" s="98">
        <v>1.0853457919326184</v>
      </c>
      <c r="X5" s="98">
        <v>1.0230179028132993</v>
      </c>
      <c r="Y5" s="98">
        <v>999999</v>
      </c>
      <c r="Z5" s="98">
        <v>999999</v>
      </c>
      <c r="AA5" s="98">
        <v>999999</v>
      </c>
      <c r="AB5" s="98">
        <v>999999</v>
      </c>
      <c r="AC5" s="98">
        <v>0.57894736842105265</v>
      </c>
      <c r="AD5" s="98">
        <v>1.1189108365467852</v>
      </c>
      <c r="AE5" s="98">
        <v>1.3554532412504587</v>
      </c>
      <c r="AF5" s="98">
        <v>1.4504988188438337</v>
      </c>
      <c r="AG5" s="98">
        <v>0.82894736842105265</v>
      </c>
      <c r="AH5" s="98">
        <v>1.3302327154647544</v>
      </c>
    </row>
    <row r="6" spans="2:34" ht="17.25" customHeight="1" x14ac:dyDescent="0.25">
      <c r="B6" s="12" t="str">
        <f>VLOOKUP(tblMatrizDistanciasMínimas[[#This Row],[Nodo Orig.\Dest.]],tblNodos[],2,FALSE)</f>
        <v>Actividad comercial y empresarial</v>
      </c>
      <c r="C6" s="4" t="s">
        <v>29</v>
      </c>
      <c r="D6" s="98">
        <v>999999</v>
      </c>
      <c r="E6" s="98">
        <v>999999</v>
      </c>
      <c r="F6" s="98">
        <v>0</v>
      </c>
      <c r="G6" s="98">
        <v>999999</v>
      </c>
      <c r="H6" s="98">
        <v>999999</v>
      </c>
      <c r="I6" s="98">
        <v>999999</v>
      </c>
      <c r="J6" s="98">
        <v>999999</v>
      </c>
      <c r="K6" s="98">
        <v>999999</v>
      </c>
      <c r="L6" s="98">
        <v>999999</v>
      </c>
      <c r="M6" s="98">
        <v>999999</v>
      </c>
      <c r="N6" s="98">
        <v>999999</v>
      </c>
      <c r="O6" s="98">
        <v>999999</v>
      </c>
      <c r="P6" s="98">
        <v>0.55752212389380518</v>
      </c>
      <c r="Q6" s="98">
        <v>999999</v>
      </c>
      <c r="R6" s="98">
        <v>999999</v>
      </c>
      <c r="S6" s="98">
        <v>999999</v>
      </c>
      <c r="T6" s="98">
        <v>999999</v>
      </c>
      <c r="U6" s="98">
        <v>999999</v>
      </c>
      <c r="V6" s="98">
        <v>0.94882647171989221</v>
      </c>
      <c r="W6" s="98">
        <v>1.1300412078632709</v>
      </c>
      <c r="X6" s="98">
        <v>999999</v>
      </c>
      <c r="Y6" s="98">
        <v>0.98176454813622938</v>
      </c>
      <c r="Z6" s="98">
        <v>999999</v>
      </c>
      <c r="AA6" s="98">
        <v>999999</v>
      </c>
      <c r="AB6" s="98">
        <v>1.0209367580401465</v>
      </c>
      <c r="AC6" s="98">
        <v>999999</v>
      </c>
      <c r="AD6" s="98">
        <v>1.3615113835792672</v>
      </c>
      <c r="AE6" s="98">
        <v>1.3347057246068177</v>
      </c>
      <c r="AF6" s="98">
        <v>1.3746216909933722</v>
      </c>
      <c r="AG6" s="98">
        <v>1.3401308195459791</v>
      </c>
      <c r="AH6" s="98">
        <v>1.8266276626490345</v>
      </c>
    </row>
    <row r="7" spans="2:34" ht="17.25" customHeight="1" x14ac:dyDescent="0.25">
      <c r="B7" s="12" t="str">
        <f>VLOOKUP(tblMatrizDistanciasMínimas[[#This Row],[Nodo Orig.\Dest.]],tblNodos[],2,FALSE)</f>
        <v>Financiación mediante coerción y exacción</v>
      </c>
      <c r="C7" s="4" t="s">
        <v>31</v>
      </c>
      <c r="D7" s="98">
        <v>999999</v>
      </c>
      <c r="E7" s="98">
        <v>999999</v>
      </c>
      <c r="F7" s="98">
        <v>999999</v>
      </c>
      <c r="G7" s="98">
        <v>0</v>
      </c>
      <c r="H7" s="98">
        <v>999999</v>
      </c>
      <c r="I7" s="98">
        <v>999999</v>
      </c>
      <c r="J7" s="98">
        <v>999999</v>
      </c>
      <c r="K7" s="98">
        <v>999999</v>
      </c>
      <c r="L7" s="98">
        <v>0.60747663551401876</v>
      </c>
      <c r="M7" s="98">
        <v>999999</v>
      </c>
      <c r="N7" s="98">
        <v>999999</v>
      </c>
      <c r="O7" s="98">
        <v>999999</v>
      </c>
      <c r="P7" s="98">
        <v>999999</v>
      </c>
      <c r="Q7" s="98">
        <v>999999</v>
      </c>
      <c r="R7" s="98">
        <v>1.0832047908538245</v>
      </c>
      <c r="S7" s="98">
        <v>999999</v>
      </c>
      <c r="T7" s="98">
        <v>999999</v>
      </c>
      <c r="U7" s="98">
        <v>999999</v>
      </c>
      <c r="V7" s="98">
        <v>999999</v>
      </c>
      <c r="W7" s="98">
        <v>999999</v>
      </c>
      <c r="X7" s="98">
        <v>999999</v>
      </c>
      <c r="Y7" s="98">
        <v>999999</v>
      </c>
      <c r="Z7" s="98">
        <v>999999</v>
      </c>
      <c r="AA7" s="98">
        <v>999999</v>
      </c>
      <c r="AB7" s="98">
        <v>999999</v>
      </c>
      <c r="AC7" s="98">
        <v>999999</v>
      </c>
      <c r="AD7" s="98">
        <v>1.1799957194834845</v>
      </c>
      <c r="AE7" s="98">
        <v>1.4165381241871577</v>
      </c>
      <c r="AF7" s="98">
        <v>999999</v>
      </c>
      <c r="AG7" s="98">
        <v>999999</v>
      </c>
      <c r="AH7" s="98">
        <v>1.6451119985532519</v>
      </c>
    </row>
    <row r="8" spans="2:34" ht="17.25" customHeight="1" x14ac:dyDescent="0.25">
      <c r="B8" s="12" t="str">
        <f>VLOOKUP(tblMatrizDistanciasMínimas[[#This Row],[Nodo Orig.\Dest.]],tblNodos[],2,FALSE)</f>
        <v>Explotación de personas y movilidad forzada</v>
      </c>
      <c r="C8" s="4" t="s">
        <v>33</v>
      </c>
      <c r="D8" s="98">
        <v>999999</v>
      </c>
      <c r="E8" s="98">
        <v>999999</v>
      </c>
      <c r="F8" s="98">
        <v>999999</v>
      </c>
      <c r="G8" s="98">
        <v>999999</v>
      </c>
      <c r="H8" s="98">
        <v>0</v>
      </c>
      <c r="I8" s="98">
        <v>999999</v>
      </c>
      <c r="J8" s="98">
        <v>999999</v>
      </c>
      <c r="K8" s="98">
        <v>999999</v>
      </c>
      <c r="L8" s="98">
        <v>0.47727272727272724</v>
      </c>
      <c r="M8" s="98">
        <v>999999</v>
      </c>
      <c r="N8" s="98">
        <v>999999</v>
      </c>
      <c r="O8" s="98">
        <v>999999</v>
      </c>
      <c r="P8" s="98">
        <v>999999</v>
      </c>
      <c r="Q8" s="98">
        <v>999999</v>
      </c>
      <c r="R8" s="98">
        <v>0.95300088261253313</v>
      </c>
      <c r="S8" s="98">
        <v>999999</v>
      </c>
      <c r="T8" s="98">
        <v>999999</v>
      </c>
      <c r="U8" s="98">
        <v>999999</v>
      </c>
      <c r="V8" s="98">
        <v>999999</v>
      </c>
      <c r="W8" s="98">
        <v>999999</v>
      </c>
      <c r="X8" s="98">
        <v>999999</v>
      </c>
      <c r="Y8" s="98">
        <v>999999</v>
      </c>
      <c r="Z8" s="98">
        <v>999999</v>
      </c>
      <c r="AA8" s="98">
        <v>999999</v>
      </c>
      <c r="AB8" s="98">
        <v>999999</v>
      </c>
      <c r="AC8" s="98">
        <v>0.25</v>
      </c>
      <c r="AD8" s="98">
        <v>1.0497918112421929</v>
      </c>
      <c r="AE8" s="98">
        <v>1.2863342159458664</v>
      </c>
      <c r="AF8" s="98">
        <v>999999</v>
      </c>
      <c r="AG8" s="98">
        <v>0.5</v>
      </c>
      <c r="AH8" s="98">
        <v>1.0012853470437018</v>
      </c>
    </row>
    <row r="9" spans="2:34" ht="17.25" customHeight="1" x14ac:dyDescent="0.25">
      <c r="B9" s="12" t="str">
        <f>VLOOKUP(tblMatrizDistanciasMínimas[[#This Row],[Nodo Orig.\Dest.]],tblNodos[],2,FALSE)</f>
        <v>Actividades criminales y mercados ilícitos</v>
      </c>
      <c r="C9" s="4" t="s">
        <v>35</v>
      </c>
      <c r="D9" s="98">
        <v>999999</v>
      </c>
      <c r="E9" s="98">
        <v>999999</v>
      </c>
      <c r="F9" s="98">
        <v>999999</v>
      </c>
      <c r="G9" s="98">
        <v>999999</v>
      </c>
      <c r="H9" s="98">
        <v>999999</v>
      </c>
      <c r="I9" s="98">
        <v>0</v>
      </c>
      <c r="J9" s="98">
        <v>999999</v>
      </c>
      <c r="K9" s="98">
        <v>999999</v>
      </c>
      <c r="L9" s="98">
        <v>999999</v>
      </c>
      <c r="M9" s="98">
        <v>999999</v>
      </c>
      <c r="N9" s="98">
        <v>999999</v>
      </c>
      <c r="O9" s="98">
        <v>999999</v>
      </c>
      <c r="P9" s="98">
        <v>999999</v>
      </c>
      <c r="Q9" s="98">
        <v>999999</v>
      </c>
      <c r="R9" s="98">
        <v>999999</v>
      </c>
      <c r="S9" s="98">
        <v>999999</v>
      </c>
      <c r="T9" s="98">
        <v>999999</v>
      </c>
      <c r="U9" s="98">
        <v>999999</v>
      </c>
      <c r="V9" s="98">
        <v>999999</v>
      </c>
      <c r="W9" s="98">
        <v>999999</v>
      </c>
      <c r="X9" s="98">
        <v>999999</v>
      </c>
      <c r="Y9" s="98">
        <v>999999</v>
      </c>
      <c r="Z9" s="98">
        <v>0.27731092436974791</v>
      </c>
      <c r="AA9" s="98">
        <v>999999</v>
      </c>
      <c r="AB9" s="98">
        <v>999999</v>
      </c>
      <c r="AC9" s="98">
        <v>999999</v>
      </c>
      <c r="AD9" s="98">
        <v>0.6570577598127858</v>
      </c>
      <c r="AE9" s="98">
        <v>999999</v>
      </c>
      <c r="AF9" s="98">
        <v>999999</v>
      </c>
      <c r="AG9" s="98">
        <v>0.55003819709702073</v>
      </c>
      <c r="AH9" s="98">
        <v>1.0513235441407225</v>
      </c>
    </row>
    <row r="10" spans="2:34" ht="17.25" customHeight="1" x14ac:dyDescent="0.25">
      <c r="B10" s="12" t="str">
        <f>VLOOKUP(tblMatrizDistanciasMínimas[[#This Row],[Nodo Orig.\Dest.]],tblNodos[],2,FALSE)</f>
        <v>Explotación de recursos naturales</v>
      </c>
      <c r="C10" s="4" t="s">
        <v>37</v>
      </c>
      <c r="D10" s="98">
        <v>999999</v>
      </c>
      <c r="E10" s="98">
        <v>999999</v>
      </c>
      <c r="F10" s="98">
        <v>999999</v>
      </c>
      <c r="G10" s="98">
        <v>999999</v>
      </c>
      <c r="H10" s="98">
        <v>999999</v>
      </c>
      <c r="I10" s="98">
        <v>999999</v>
      </c>
      <c r="J10" s="98">
        <v>0</v>
      </c>
      <c r="K10" s="98">
        <v>999999</v>
      </c>
      <c r="L10" s="98">
        <v>0.7142857142857143</v>
      </c>
      <c r="M10" s="98">
        <v>999999</v>
      </c>
      <c r="N10" s="98">
        <v>999999</v>
      </c>
      <c r="O10" s="98">
        <v>999999</v>
      </c>
      <c r="P10" s="98">
        <v>999999</v>
      </c>
      <c r="Q10" s="98">
        <v>999999</v>
      </c>
      <c r="R10" s="98">
        <v>1.19001386962552</v>
      </c>
      <c r="S10" s="98">
        <v>999999</v>
      </c>
      <c r="T10" s="98">
        <v>999999</v>
      </c>
      <c r="U10" s="98">
        <v>999999</v>
      </c>
      <c r="V10" s="98">
        <v>999999</v>
      </c>
      <c r="W10" s="98">
        <v>999999</v>
      </c>
      <c r="X10" s="98">
        <v>999999</v>
      </c>
      <c r="Y10" s="98">
        <v>999999</v>
      </c>
      <c r="Z10" s="98">
        <v>0.26315789473684215</v>
      </c>
      <c r="AA10" s="98">
        <v>999999</v>
      </c>
      <c r="AB10" s="98">
        <v>999999</v>
      </c>
      <c r="AC10" s="98">
        <v>999999</v>
      </c>
      <c r="AD10" s="98">
        <v>0.64290473017988004</v>
      </c>
      <c r="AE10" s="98">
        <v>1.5233472029588533</v>
      </c>
      <c r="AF10" s="98">
        <v>999999</v>
      </c>
      <c r="AG10" s="98">
        <v>0.53588516746411496</v>
      </c>
      <c r="AH10" s="98">
        <v>1.0371705145078167</v>
      </c>
    </row>
    <row r="11" spans="2:34" ht="17.25" customHeight="1" x14ac:dyDescent="0.25">
      <c r="B11" s="12" t="str">
        <f>VLOOKUP(tblMatrizDistanciasMínimas[[#This Row],[Nodo Orig.\Dest.]],tblNodos[],2,FALSE)</f>
        <v>Valor digital</v>
      </c>
      <c r="C11" s="4" t="s">
        <v>39</v>
      </c>
      <c r="D11" s="98">
        <v>999999</v>
      </c>
      <c r="E11" s="98">
        <v>999999</v>
      </c>
      <c r="F11" s="98">
        <v>999999</v>
      </c>
      <c r="G11" s="98">
        <v>999999</v>
      </c>
      <c r="H11" s="98">
        <v>999999</v>
      </c>
      <c r="I11" s="98">
        <v>999999</v>
      </c>
      <c r="J11" s="98">
        <v>999999</v>
      </c>
      <c r="K11" s="98">
        <v>0</v>
      </c>
      <c r="L11" s="98">
        <v>999999</v>
      </c>
      <c r="M11" s="98">
        <v>999999</v>
      </c>
      <c r="N11" s="98">
        <v>999999</v>
      </c>
      <c r="O11" s="98">
        <v>0.54621848739495804</v>
      </c>
      <c r="P11" s="98">
        <v>999999</v>
      </c>
      <c r="Q11" s="98">
        <v>999999</v>
      </c>
      <c r="R11" s="98">
        <v>999999</v>
      </c>
      <c r="S11" s="98">
        <v>999999</v>
      </c>
      <c r="T11" s="98">
        <v>999999</v>
      </c>
      <c r="U11" s="98">
        <v>999999</v>
      </c>
      <c r="V11" s="98">
        <v>999999</v>
      </c>
      <c r="W11" s="98">
        <v>1.1241079346311391</v>
      </c>
      <c r="X11" s="98">
        <v>0.45454545454545453</v>
      </c>
      <c r="Y11" s="98">
        <v>999999</v>
      </c>
      <c r="Z11" s="98">
        <v>999999</v>
      </c>
      <c r="AA11" s="98">
        <v>999999</v>
      </c>
      <c r="AB11" s="98">
        <v>999999</v>
      </c>
      <c r="AC11" s="98">
        <v>999999</v>
      </c>
      <c r="AD11" s="98">
        <v>999999</v>
      </c>
      <c r="AE11" s="98">
        <v>999999</v>
      </c>
      <c r="AF11" s="98">
        <v>0.88202637057598887</v>
      </c>
      <c r="AG11" s="98">
        <v>0.96029258098223624</v>
      </c>
      <c r="AH11" s="98">
        <v>1.351905888648278</v>
      </c>
    </row>
    <row r="12" spans="2:34" ht="17.25" customHeight="1" x14ac:dyDescent="0.25">
      <c r="B12" s="12" t="str">
        <f>VLOOKUP(tblMatrizDistanciasMínimas[[#This Row],[Nodo Orig.\Dest.]],tblNodos[],2,FALSE)</f>
        <v>Recaudación directa</v>
      </c>
      <c r="C12" s="4" t="s">
        <v>41</v>
      </c>
      <c r="D12" s="98">
        <v>999999</v>
      </c>
      <c r="E12" s="98">
        <v>999999</v>
      </c>
      <c r="F12" s="98">
        <v>999999</v>
      </c>
      <c r="G12" s="98">
        <v>999999</v>
      </c>
      <c r="H12" s="98">
        <v>999999</v>
      </c>
      <c r="I12" s="98">
        <v>999999</v>
      </c>
      <c r="J12" s="98">
        <v>999999</v>
      </c>
      <c r="K12" s="98">
        <v>999999</v>
      </c>
      <c r="L12" s="98">
        <v>0</v>
      </c>
      <c r="M12" s="98">
        <v>999999</v>
      </c>
      <c r="N12" s="98">
        <v>999999</v>
      </c>
      <c r="O12" s="98">
        <v>999999</v>
      </c>
      <c r="P12" s="98">
        <v>999999</v>
      </c>
      <c r="Q12" s="98">
        <v>999999</v>
      </c>
      <c r="R12" s="98">
        <v>0.47572815533980584</v>
      </c>
      <c r="S12" s="98">
        <v>999999</v>
      </c>
      <c r="T12" s="98">
        <v>999999</v>
      </c>
      <c r="U12" s="98">
        <v>999999</v>
      </c>
      <c r="V12" s="98">
        <v>999999</v>
      </c>
      <c r="W12" s="98">
        <v>999999</v>
      </c>
      <c r="X12" s="98">
        <v>999999</v>
      </c>
      <c r="Y12" s="98">
        <v>999999</v>
      </c>
      <c r="Z12" s="98">
        <v>999999</v>
      </c>
      <c r="AA12" s="98">
        <v>999999</v>
      </c>
      <c r="AB12" s="98">
        <v>999999</v>
      </c>
      <c r="AC12" s="98">
        <v>999999</v>
      </c>
      <c r="AD12" s="98">
        <v>0.57251908396946571</v>
      </c>
      <c r="AE12" s="98">
        <v>0.8090614886731391</v>
      </c>
      <c r="AF12" s="98">
        <v>999999</v>
      </c>
      <c r="AG12" s="98">
        <v>999999</v>
      </c>
      <c r="AH12" s="98">
        <v>1.0376353630392332</v>
      </c>
    </row>
    <row r="13" spans="2:34" ht="17.25" customHeight="1" x14ac:dyDescent="0.25">
      <c r="B13" s="12" t="str">
        <f>VLOOKUP(tblMatrizDistanciasMínimas[[#This Row],[Nodo Orig.\Dest.]],tblNodos[],2,FALSE)</f>
        <v>Agregadores de fondos</v>
      </c>
      <c r="C13" s="4" t="s">
        <v>43</v>
      </c>
      <c r="D13" s="98">
        <v>999999</v>
      </c>
      <c r="E13" s="98">
        <v>999999</v>
      </c>
      <c r="F13" s="98">
        <v>999999</v>
      </c>
      <c r="G13" s="98">
        <v>999999</v>
      </c>
      <c r="H13" s="98">
        <v>999999</v>
      </c>
      <c r="I13" s="98">
        <v>999999</v>
      </c>
      <c r="J13" s="98">
        <v>999999</v>
      </c>
      <c r="K13" s="98">
        <v>999999</v>
      </c>
      <c r="L13" s="98">
        <v>999999</v>
      </c>
      <c r="M13" s="98">
        <v>0</v>
      </c>
      <c r="N13" s="98">
        <v>999999</v>
      </c>
      <c r="O13" s="98">
        <v>999999</v>
      </c>
      <c r="P13" s="98">
        <v>999999</v>
      </c>
      <c r="Q13" s="98">
        <v>999999</v>
      </c>
      <c r="R13" s="98">
        <v>999999</v>
      </c>
      <c r="S13" s="98">
        <v>0.7142857142857143</v>
      </c>
      <c r="T13" s="98">
        <v>0.44444444444444442</v>
      </c>
      <c r="U13" s="98">
        <v>999999</v>
      </c>
      <c r="V13" s="98">
        <v>999999</v>
      </c>
      <c r="W13" s="98">
        <v>999999</v>
      </c>
      <c r="X13" s="98">
        <v>0.43065693430656926</v>
      </c>
      <c r="Y13" s="98">
        <v>999999</v>
      </c>
      <c r="Z13" s="98">
        <v>999999</v>
      </c>
      <c r="AA13" s="98">
        <v>999999</v>
      </c>
      <c r="AB13" s="98">
        <v>0.46341463414634143</v>
      </c>
      <c r="AC13" s="98">
        <v>999999</v>
      </c>
      <c r="AD13" s="98">
        <v>0.82705099778270508</v>
      </c>
      <c r="AE13" s="98">
        <v>999999</v>
      </c>
      <c r="AF13" s="98">
        <v>0.85813785033710355</v>
      </c>
      <c r="AG13" s="98">
        <v>0.88888888888888884</v>
      </c>
      <c r="AH13" s="98">
        <v>1.2921672768524726</v>
      </c>
    </row>
    <row r="14" spans="2:34" ht="17.25" customHeight="1" x14ac:dyDescent="0.25">
      <c r="B14" s="12" t="str">
        <f>VLOOKUP(tblMatrizDistanciasMínimas[[#This Row],[Nodo Orig.\Dest.]],tblNodos[],2,FALSE)</f>
        <v>Estructuras organizadas de captación</v>
      </c>
      <c r="C14" s="4" t="s">
        <v>45</v>
      </c>
      <c r="D14" s="98">
        <v>999999</v>
      </c>
      <c r="E14" s="98">
        <v>999999</v>
      </c>
      <c r="F14" s="98">
        <v>999999</v>
      </c>
      <c r="G14" s="98">
        <v>999999</v>
      </c>
      <c r="H14" s="98">
        <v>999999</v>
      </c>
      <c r="I14" s="98">
        <v>999999</v>
      </c>
      <c r="J14" s="98">
        <v>999999</v>
      </c>
      <c r="K14" s="98">
        <v>999999</v>
      </c>
      <c r="L14" s="98">
        <v>999999</v>
      </c>
      <c r="M14" s="98">
        <v>999999</v>
      </c>
      <c r="N14" s="98">
        <v>0</v>
      </c>
      <c r="O14" s="98">
        <v>999999</v>
      </c>
      <c r="P14" s="98">
        <v>999999</v>
      </c>
      <c r="Q14" s="98">
        <v>999999</v>
      </c>
      <c r="R14" s="98">
        <v>999999</v>
      </c>
      <c r="S14" s="98">
        <v>0.7021276595744681</v>
      </c>
      <c r="T14" s="98">
        <v>999999</v>
      </c>
      <c r="U14" s="98">
        <v>999999</v>
      </c>
      <c r="V14" s="98">
        <v>999999</v>
      </c>
      <c r="W14" s="98">
        <v>0.56886227544910184</v>
      </c>
      <c r="X14" s="98">
        <v>999999</v>
      </c>
      <c r="Y14" s="98">
        <v>999999</v>
      </c>
      <c r="Z14" s="98">
        <v>999999</v>
      </c>
      <c r="AA14" s="98">
        <v>999999</v>
      </c>
      <c r="AB14" s="98">
        <v>999999</v>
      </c>
      <c r="AC14" s="98">
        <v>999999</v>
      </c>
      <c r="AD14" s="98">
        <v>999999</v>
      </c>
      <c r="AE14" s="98">
        <v>999999</v>
      </c>
      <c r="AF14" s="98">
        <v>1.4042553191489362</v>
      </c>
      <c r="AG14" s="98">
        <v>0.55555555555555558</v>
      </c>
      <c r="AH14" s="98">
        <v>1.0568409025992573</v>
      </c>
    </row>
    <row r="15" spans="2:34" ht="17.25" customHeight="1" x14ac:dyDescent="0.25">
      <c r="B15" s="12" t="str">
        <f>VLOOKUP(tblMatrizDistanciasMínimas[[#This Row],[Nodo Orig.\Dest.]],tblNodos[],2,FALSE)</f>
        <v>Colectores digitales instrumentales</v>
      </c>
      <c r="C15" s="4" t="s">
        <v>47</v>
      </c>
      <c r="D15" s="98">
        <v>999999</v>
      </c>
      <c r="E15" s="98">
        <v>999999</v>
      </c>
      <c r="F15" s="98">
        <v>999999</v>
      </c>
      <c r="G15" s="98">
        <v>999999</v>
      </c>
      <c r="H15" s="98">
        <v>999999</v>
      </c>
      <c r="I15" s="98">
        <v>999999</v>
      </c>
      <c r="J15" s="98">
        <v>999999</v>
      </c>
      <c r="K15" s="98">
        <v>999999</v>
      </c>
      <c r="L15" s="98">
        <v>999999</v>
      </c>
      <c r="M15" s="98">
        <v>999999</v>
      </c>
      <c r="N15" s="98">
        <v>999999</v>
      </c>
      <c r="O15" s="98">
        <v>0</v>
      </c>
      <c r="P15" s="98">
        <v>999999</v>
      </c>
      <c r="Q15" s="98">
        <v>999999</v>
      </c>
      <c r="R15" s="98">
        <v>999999</v>
      </c>
      <c r="S15" s="98">
        <v>999999</v>
      </c>
      <c r="T15" s="98">
        <v>999999</v>
      </c>
      <c r="U15" s="98">
        <v>999999</v>
      </c>
      <c r="V15" s="98">
        <v>999999</v>
      </c>
      <c r="W15" s="98">
        <v>0.57788944723618096</v>
      </c>
      <c r="X15" s="98">
        <v>0.43478260869565222</v>
      </c>
      <c r="Y15" s="98">
        <v>999999</v>
      </c>
      <c r="Z15" s="98">
        <v>999999</v>
      </c>
      <c r="AA15" s="98">
        <v>999999</v>
      </c>
      <c r="AB15" s="98">
        <v>999999</v>
      </c>
      <c r="AC15" s="98">
        <v>999999</v>
      </c>
      <c r="AD15" s="98">
        <v>999999</v>
      </c>
      <c r="AE15" s="98">
        <v>999999</v>
      </c>
      <c r="AF15" s="98">
        <v>0.8622635247261865</v>
      </c>
      <c r="AG15" s="98">
        <v>0.54621848739495793</v>
      </c>
      <c r="AH15" s="98">
        <v>1.0475038344386598</v>
      </c>
    </row>
    <row r="16" spans="2:34" ht="17.25" customHeight="1" x14ac:dyDescent="0.25">
      <c r="B16" s="12" t="str">
        <f>VLOOKUP(tblMatrizDistanciasMínimas[[#This Row],[Nodo Orig.\Dest.]],tblNodos[],2,FALSE)</f>
        <v>Colectores empresariales y vehiculares</v>
      </c>
      <c r="C16" s="4" t="s">
        <v>49</v>
      </c>
      <c r="D16" s="98">
        <v>999999</v>
      </c>
      <c r="E16" s="98">
        <v>999999</v>
      </c>
      <c r="F16" s="98">
        <v>999999</v>
      </c>
      <c r="G16" s="98">
        <v>999999</v>
      </c>
      <c r="H16" s="98">
        <v>999999</v>
      </c>
      <c r="I16" s="98">
        <v>999999</v>
      </c>
      <c r="J16" s="98">
        <v>999999</v>
      </c>
      <c r="K16" s="98">
        <v>999999</v>
      </c>
      <c r="L16" s="98">
        <v>999999</v>
      </c>
      <c r="M16" s="98">
        <v>999999</v>
      </c>
      <c r="N16" s="98">
        <v>999999</v>
      </c>
      <c r="O16" s="98">
        <v>999999</v>
      </c>
      <c r="P16" s="98">
        <v>0</v>
      </c>
      <c r="Q16" s="98">
        <v>999999</v>
      </c>
      <c r="R16" s="98">
        <v>999999</v>
      </c>
      <c r="S16" s="98">
        <v>999999</v>
      </c>
      <c r="T16" s="98">
        <v>999999</v>
      </c>
      <c r="U16" s="98">
        <v>999999</v>
      </c>
      <c r="V16" s="98">
        <v>0.39130434782608697</v>
      </c>
      <c r="W16" s="98">
        <v>0.5725190839694656</v>
      </c>
      <c r="X16" s="98">
        <v>999999</v>
      </c>
      <c r="Y16" s="98">
        <v>0.42424242424242414</v>
      </c>
      <c r="Z16" s="98">
        <v>999999</v>
      </c>
      <c r="AA16" s="98">
        <v>999999</v>
      </c>
      <c r="AB16" s="98">
        <v>0.46341463414634143</v>
      </c>
      <c r="AC16" s="98">
        <v>999999</v>
      </c>
      <c r="AD16" s="98">
        <v>0.80398925968546209</v>
      </c>
      <c r="AE16" s="98">
        <v>0.7771836007130124</v>
      </c>
      <c r="AF16" s="98">
        <v>0.81709956709956699</v>
      </c>
      <c r="AG16" s="98">
        <v>0.78260869565217395</v>
      </c>
      <c r="AH16" s="98">
        <v>1.2691055387552295</v>
      </c>
    </row>
    <row r="17" spans="2:34" ht="17.25" customHeight="1" x14ac:dyDescent="0.25">
      <c r="B17" s="12" t="str">
        <f>VLOOKUP(tblMatrizDistanciasMínimas[[#This Row],[Nodo Orig.\Dest.]],tblNodos[],2,FALSE)</f>
        <v>Colectores instrumentales / de ocultación</v>
      </c>
      <c r="C17" s="4" t="s">
        <v>51</v>
      </c>
      <c r="D17" s="98">
        <v>999999</v>
      </c>
      <c r="E17" s="98">
        <v>999999</v>
      </c>
      <c r="F17" s="98">
        <v>999999</v>
      </c>
      <c r="G17" s="98">
        <v>999999</v>
      </c>
      <c r="H17" s="98">
        <v>999999</v>
      </c>
      <c r="I17" s="98">
        <v>999999</v>
      </c>
      <c r="J17" s="98">
        <v>999999</v>
      </c>
      <c r="K17" s="98">
        <v>999999</v>
      </c>
      <c r="L17" s="98">
        <v>999999</v>
      </c>
      <c r="M17" s="98">
        <v>999999</v>
      </c>
      <c r="N17" s="98">
        <v>999999</v>
      </c>
      <c r="O17" s="98">
        <v>999999</v>
      </c>
      <c r="P17" s="98">
        <v>999999</v>
      </c>
      <c r="Q17" s="98">
        <v>0</v>
      </c>
      <c r="R17" s="98">
        <v>999999</v>
      </c>
      <c r="S17" s="98">
        <v>999999</v>
      </c>
      <c r="T17" s="98">
        <v>0.44444444444444442</v>
      </c>
      <c r="U17" s="98">
        <v>999999</v>
      </c>
      <c r="V17" s="98">
        <v>0.39130434782608697</v>
      </c>
      <c r="W17" s="98">
        <v>0.55555555555555558</v>
      </c>
      <c r="X17" s="98">
        <v>999999</v>
      </c>
      <c r="Y17" s="98">
        <v>999999</v>
      </c>
      <c r="Z17" s="98">
        <v>999999</v>
      </c>
      <c r="AA17" s="98">
        <v>0.35</v>
      </c>
      <c r="AB17" s="98">
        <v>999999</v>
      </c>
      <c r="AC17" s="98">
        <v>999999</v>
      </c>
      <c r="AD17" s="98">
        <v>0.63301886792452833</v>
      </c>
      <c r="AE17" s="98">
        <v>0.65769230769230769</v>
      </c>
      <c r="AF17" s="98">
        <v>999999</v>
      </c>
      <c r="AG17" s="98">
        <v>0.78260869565217395</v>
      </c>
      <c r="AH17" s="98">
        <v>1.0981351469942957</v>
      </c>
    </row>
    <row r="18" spans="2:34" ht="17.25" customHeight="1" x14ac:dyDescent="0.25">
      <c r="B18" s="12" t="str">
        <f>VLOOKUP(tblMatrizDistanciasMínimas[[#This Row],[Nodo Orig.\Dest.]],tblNodos[],2,FALSE)</f>
        <v>Intermediarios físicos de transporte de valor</v>
      </c>
      <c r="C18" s="4" t="s">
        <v>53</v>
      </c>
      <c r="D18" s="98">
        <v>999999</v>
      </c>
      <c r="E18" s="98">
        <v>999999</v>
      </c>
      <c r="F18" s="98">
        <v>999999</v>
      </c>
      <c r="G18" s="98">
        <v>999999</v>
      </c>
      <c r="H18" s="98">
        <v>999999</v>
      </c>
      <c r="I18" s="98">
        <v>999999</v>
      </c>
      <c r="J18" s="98">
        <v>999999</v>
      </c>
      <c r="K18" s="98">
        <v>999999</v>
      </c>
      <c r="L18" s="98">
        <v>999999</v>
      </c>
      <c r="M18" s="98">
        <v>999999</v>
      </c>
      <c r="N18" s="98">
        <v>999999</v>
      </c>
      <c r="O18" s="98">
        <v>999999</v>
      </c>
      <c r="P18" s="98">
        <v>999999</v>
      </c>
      <c r="Q18" s="98">
        <v>999999</v>
      </c>
      <c r="R18" s="98">
        <v>0</v>
      </c>
      <c r="S18" s="98">
        <v>999999</v>
      </c>
      <c r="T18" s="98">
        <v>999999</v>
      </c>
      <c r="U18" s="98">
        <v>999999</v>
      </c>
      <c r="V18" s="98">
        <v>999999</v>
      </c>
      <c r="W18" s="98">
        <v>999999</v>
      </c>
      <c r="X18" s="98">
        <v>999999</v>
      </c>
      <c r="Y18" s="98">
        <v>999999</v>
      </c>
      <c r="Z18" s="98">
        <v>999999</v>
      </c>
      <c r="AA18" s="98">
        <v>999999</v>
      </c>
      <c r="AB18" s="98">
        <v>999999</v>
      </c>
      <c r="AC18" s="98">
        <v>999999</v>
      </c>
      <c r="AD18" s="98">
        <v>0.41233766233766234</v>
      </c>
      <c r="AE18" s="98">
        <v>0.33333333333333331</v>
      </c>
      <c r="AF18" s="98">
        <v>999999</v>
      </c>
      <c r="AG18" s="98">
        <v>999999</v>
      </c>
      <c r="AH18" s="98">
        <v>0.87745394140742983</v>
      </c>
    </row>
    <row r="19" spans="2:34" ht="17.25" customHeight="1" x14ac:dyDescent="0.25">
      <c r="B19" s="12" t="str">
        <f>VLOOKUP(tblMatrizDistanciasMínimas[[#This Row],[Nodo Orig.\Dest.]],tblNodos[],2,FALSE)</f>
        <v>Intermediarios informales y paralelos</v>
      </c>
      <c r="C19" s="4" t="s">
        <v>55</v>
      </c>
      <c r="D19" s="98">
        <v>999999</v>
      </c>
      <c r="E19" s="98">
        <v>999999</v>
      </c>
      <c r="F19" s="98">
        <v>999999</v>
      </c>
      <c r="G19" s="98">
        <v>999999</v>
      </c>
      <c r="H19" s="98">
        <v>999999</v>
      </c>
      <c r="I19" s="98">
        <v>999999</v>
      </c>
      <c r="J19" s="98">
        <v>999999</v>
      </c>
      <c r="K19" s="98">
        <v>999999</v>
      </c>
      <c r="L19" s="98">
        <v>999999</v>
      </c>
      <c r="M19" s="98">
        <v>999999</v>
      </c>
      <c r="N19" s="98">
        <v>999999</v>
      </c>
      <c r="O19" s="98">
        <v>999999</v>
      </c>
      <c r="P19" s="98">
        <v>999999</v>
      </c>
      <c r="Q19" s="98">
        <v>999999</v>
      </c>
      <c r="R19" s="98">
        <v>999999</v>
      </c>
      <c r="S19" s="98">
        <v>0</v>
      </c>
      <c r="T19" s="98">
        <v>999999</v>
      </c>
      <c r="U19" s="98">
        <v>999999</v>
      </c>
      <c r="V19" s="98">
        <v>999999</v>
      </c>
      <c r="W19" s="98">
        <v>999999</v>
      </c>
      <c r="X19" s="98">
        <v>999999</v>
      </c>
      <c r="Y19" s="98">
        <v>999999</v>
      </c>
      <c r="Z19" s="98">
        <v>999999</v>
      </c>
      <c r="AA19" s="98">
        <v>999999</v>
      </c>
      <c r="AB19" s="98">
        <v>999999</v>
      </c>
      <c r="AC19" s="98">
        <v>999999</v>
      </c>
      <c r="AD19" s="98">
        <v>999999</v>
      </c>
      <c r="AE19" s="98">
        <v>999999</v>
      </c>
      <c r="AF19" s="98">
        <v>0.7021276595744681</v>
      </c>
      <c r="AG19" s="98">
        <v>999999</v>
      </c>
      <c r="AH19" s="98">
        <v>1.1720071776467571</v>
      </c>
    </row>
    <row r="20" spans="2:34" ht="17.25" customHeight="1" x14ac:dyDescent="0.25">
      <c r="B20" s="12" t="str">
        <f>VLOOKUP(tblMatrizDistanciasMínimas[[#This Row],[Nodo Orig.\Dest.]],tblNodos[],2,FALSE)</f>
        <v>Intermediarios MVTS y remesas</v>
      </c>
      <c r="C20" s="4" t="s">
        <v>57</v>
      </c>
      <c r="D20" s="98">
        <v>999999</v>
      </c>
      <c r="E20" s="98">
        <v>999999</v>
      </c>
      <c r="F20" s="98">
        <v>999999</v>
      </c>
      <c r="G20" s="98">
        <v>999999</v>
      </c>
      <c r="H20" s="98">
        <v>999999</v>
      </c>
      <c r="I20" s="98">
        <v>999999</v>
      </c>
      <c r="J20" s="98">
        <v>999999</v>
      </c>
      <c r="K20" s="98">
        <v>999999</v>
      </c>
      <c r="L20" s="98">
        <v>999999</v>
      </c>
      <c r="M20" s="98">
        <v>999999</v>
      </c>
      <c r="N20" s="98">
        <v>999999</v>
      </c>
      <c r="O20" s="98">
        <v>999999</v>
      </c>
      <c r="P20" s="98">
        <v>999999</v>
      </c>
      <c r="Q20" s="98">
        <v>999999</v>
      </c>
      <c r="R20" s="98">
        <v>999999</v>
      </c>
      <c r="S20" s="98">
        <v>999999</v>
      </c>
      <c r="T20" s="98">
        <v>0</v>
      </c>
      <c r="U20" s="98">
        <v>999999</v>
      </c>
      <c r="V20" s="98">
        <v>999999</v>
      </c>
      <c r="W20" s="98">
        <v>999999</v>
      </c>
      <c r="X20" s="98">
        <v>999999</v>
      </c>
      <c r="Y20" s="98">
        <v>999999</v>
      </c>
      <c r="Z20" s="98">
        <v>999999</v>
      </c>
      <c r="AA20" s="98">
        <v>999999</v>
      </c>
      <c r="AB20" s="98">
        <v>999999</v>
      </c>
      <c r="AC20" s="98">
        <v>999999</v>
      </c>
      <c r="AD20" s="98">
        <v>999999</v>
      </c>
      <c r="AE20" s="98">
        <v>999999</v>
      </c>
      <c r="AF20" s="98">
        <v>999999</v>
      </c>
      <c r="AG20" s="98">
        <v>0.44444444444444442</v>
      </c>
      <c r="AH20" s="98">
        <v>0.94572979148814618</v>
      </c>
    </row>
    <row r="21" spans="2:34" ht="17.25" customHeight="1" x14ac:dyDescent="0.25">
      <c r="B21" s="12" t="str">
        <f>VLOOKUP(tblMatrizDistanciasMínimas[[#This Row],[Nodo Orig.\Dest.]],tblNodos[],2,FALSE)</f>
        <v>Intermediarios de dinero móvil</v>
      </c>
      <c r="C21" s="4" t="s">
        <v>59</v>
      </c>
      <c r="D21" s="98">
        <v>999999</v>
      </c>
      <c r="E21" s="98">
        <v>999999</v>
      </c>
      <c r="F21" s="98">
        <v>999999</v>
      </c>
      <c r="G21" s="98">
        <v>999999</v>
      </c>
      <c r="H21" s="98">
        <v>999999</v>
      </c>
      <c r="I21" s="98">
        <v>999999</v>
      </c>
      <c r="J21" s="98">
        <v>999999</v>
      </c>
      <c r="K21" s="98">
        <v>999999</v>
      </c>
      <c r="L21" s="98">
        <v>999999</v>
      </c>
      <c r="M21" s="98">
        <v>999999</v>
      </c>
      <c r="N21" s="98">
        <v>999999</v>
      </c>
      <c r="O21" s="98">
        <v>999999</v>
      </c>
      <c r="P21" s="98">
        <v>999999</v>
      </c>
      <c r="Q21" s="98">
        <v>999999</v>
      </c>
      <c r="R21" s="98">
        <v>999999</v>
      </c>
      <c r="S21" s="98">
        <v>999999</v>
      </c>
      <c r="T21" s="98">
        <v>999999</v>
      </c>
      <c r="U21" s="98">
        <v>0</v>
      </c>
      <c r="V21" s="98">
        <v>999999</v>
      </c>
      <c r="W21" s="98">
        <v>999999</v>
      </c>
      <c r="X21" s="98">
        <v>999999</v>
      </c>
      <c r="Y21" s="98">
        <v>999999</v>
      </c>
      <c r="Z21" s="98">
        <v>999999</v>
      </c>
      <c r="AA21" s="98">
        <v>999999</v>
      </c>
      <c r="AB21" s="98">
        <v>999999</v>
      </c>
      <c r="AC21" s="98">
        <v>999999</v>
      </c>
      <c r="AD21" s="98">
        <v>999999</v>
      </c>
      <c r="AE21" s="98">
        <v>0.55555555555555558</v>
      </c>
      <c r="AF21" s="98">
        <v>999999</v>
      </c>
      <c r="AG21" s="98">
        <v>999999</v>
      </c>
      <c r="AH21" s="98">
        <v>1.2140921409214092</v>
      </c>
    </row>
    <row r="22" spans="2:34" ht="17.25" customHeight="1" x14ac:dyDescent="0.25">
      <c r="B22" s="70" t="str">
        <f>VLOOKUP(tblMatrizDistanciasMínimas[[#This Row],[Nodo Orig.\Dest.]],tblNodos[],2,FALSE)</f>
        <v>Intermediarios bancarios formales</v>
      </c>
      <c r="C22" s="6" t="s">
        <v>61</v>
      </c>
      <c r="D22" s="100">
        <v>999999</v>
      </c>
      <c r="E22" s="100">
        <v>999999</v>
      </c>
      <c r="F22" s="100">
        <v>999999</v>
      </c>
      <c r="G22" s="100">
        <v>999999</v>
      </c>
      <c r="H22" s="100">
        <v>999999</v>
      </c>
      <c r="I22" s="100">
        <v>999999</v>
      </c>
      <c r="J22" s="100">
        <v>999999</v>
      </c>
      <c r="K22" s="100">
        <v>999999</v>
      </c>
      <c r="L22" s="100">
        <v>999999</v>
      </c>
      <c r="M22" s="100">
        <v>999999</v>
      </c>
      <c r="N22" s="100">
        <v>999999</v>
      </c>
      <c r="O22" s="100">
        <v>999999</v>
      </c>
      <c r="P22" s="100">
        <v>999999</v>
      </c>
      <c r="Q22" s="100">
        <v>999999</v>
      </c>
      <c r="R22" s="100">
        <v>999999</v>
      </c>
      <c r="S22" s="100">
        <v>999999</v>
      </c>
      <c r="T22" s="100">
        <v>999999</v>
      </c>
      <c r="U22" s="100">
        <v>999999</v>
      </c>
      <c r="V22" s="100">
        <v>0</v>
      </c>
      <c r="W22" s="98">
        <v>999999</v>
      </c>
      <c r="X22" s="98">
        <v>999999</v>
      </c>
      <c r="Y22" s="98">
        <v>999999</v>
      </c>
      <c r="Z22" s="98">
        <v>999999</v>
      </c>
      <c r="AA22" s="98">
        <v>999999</v>
      </c>
      <c r="AB22" s="98">
        <v>999999</v>
      </c>
      <c r="AC22" s="98">
        <v>999999</v>
      </c>
      <c r="AD22" s="98">
        <v>999999</v>
      </c>
      <c r="AE22" s="98">
        <v>0.40476190476190477</v>
      </c>
      <c r="AF22" s="98">
        <v>999999</v>
      </c>
      <c r="AG22" s="98">
        <v>0.39130434782608697</v>
      </c>
      <c r="AH22" s="98">
        <v>0.89258969486978867</v>
      </c>
    </row>
    <row r="23" spans="2:34" ht="17.25" customHeight="1" x14ac:dyDescent="0.25">
      <c r="B23" s="48" t="str">
        <f>VLOOKUP(tblMatrizDistanciasMínimas[[#This Row],[Nodo Orig.\Dest.]],tblNodos[],2,FALSE)</f>
        <v>Intermediarios de pago digital (PSP /FinTech)</v>
      </c>
      <c r="C23" s="75" t="s">
        <v>63</v>
      </c>
      <c r="D23" s="98">
        <v>999999</v>
      </c>
      <c r="E23" s="98">
        <v>999999</v>
      </c>
      <c r="F23" s="98">
        <v>999999</v>
      </c>
      <c r="G23" s="98">
        <v>999999</v>
      </c>
      <c r="H23" s="98">
        <v>999999</v>
      </c>
      <c r="I23" s="98">
        <v>999999</v>
      </c>
      <c r="J23" s="98">
        <v>999999</v>
      </c>
      <c r="K23" s="98">
        <v>999999</v>
      </c>
      <c r="L23" s="98">
        <v>999999</v>
      </c>
      <c r="M23" s="98">
        <v>999999</v>
      </c>
      <c r="N23" s="98">
        <v>999999</v>
      </c>
      <c r="O23" s="98">
        <v>999999</v>
      </c>
      <c r="P23" s="98">
        <v>999999</v>
      </c>
      <c r="Q23" s="98">
        <v>999999</v>
      </c>
      <c r="R23" s="98">
        <v>999999</v>
      </c>
      <c r="S23" s="98">
        <v>999999</v>
      </c>
      <c r="T23" s="98">
        <v>999999</v>
      </c>
      <c r="U23" s="98">
        <v>999999</v>
      </c>
      <c r="V23" s="101">
        <v>999999</v>
      </c>
      <c r="W23" s="98">
        <v>0</v>
      </c>
      <c r="X23" s="98">
        <v>999999</v>
      </c>
      <c r="Y23" s="98">
        <v>999999</v>
      </c>
      <c r="Z23" s="98">
        <v>999999</v>
      </c>
      <c r="AA23" s="98">
        <v>999999</v>
      </c>
      <c r="AB23" s="98">
        <v>999999</v>
      </c>
      <c r="AC23" s="98">
        <v>999999</v>
      </c>
      <c r="AD23" s="98">
        <v>999999</v>
      </c>
      <c r="AE23" s="98">
        <v>999999</v>
      </c>
      <c r="AF23" s="98">
        <v>999999</v>
      </c>
      <c r="AG23" s="98">
        <v>0.56420233463035008</v>
      </c>
      <c r="AH23" s="98">
        <v>1.0654876816740519</v>
      </c>
    </row>
    <row r="24" spans="2:34" ht="17.25" customHeight="1" x14ac:dyDescent="0.25">
      <c r="B24" s="48" t="str">
        <f>VLOOKUP(tblMatrizDistanciasMínimas[[#This Row],[Nodo Orig.\Dest.]],tblNodos[],2,FALSE)</f>
        <v>Intermediarios de activos virtuales y conversión</v>
      </c>
      <c r="C24" s="75" t="s">
        <v>65</v>
      </c>
      <c r="D24" s="98">
        <v>999999</v>
      </c>
      <c r="E24" s="98">
        <v>999999</v>
      </c>
      <c r="F24" s="98">
        <v>999999</v>
      </c>
      <c r="G24" s="98">
        <v>999999</v>
      </c>
      <c r="H24" s="98">
        <v>999999</v>
      </c>
      <c r="I24" s="98">
        <v>999999</v>
      </c>
      <c r="J24" s="98">
        <v>999999</v>
      </c>
      <c r="K24" s="98">
        <v>999999</v>
      </c>
      <c r="L24" s="98">
        <v>999999</v>
      </c>
      <c r="M24" s="98">
        <v>999999</v>
      </c>
      <c r="N24" s="98">
        <v>999999</v>
      </c>
      <c r="O24" s="98">
        <v>999999</v>
      </c>
      <c r="P24" s="98">
        <v>999999</v>
      </c>
      <c r="Q24" s="98">
        <v>999999</v>
      </c>
      <c r="R24" s="98">
        <v>999999</v>
      </c>
      <c r="S24" s="98">
        <v>999999</v>
      </c>
      <c r="T24" s="98">
        <v>999999</v>
      </c>
      <c r="U24" s="98">
        <v>999999</v>
      </c>
      <c r="V24" s="101">
        <v>999999</v>
      </c>
      <c r="W24" s="98">
        <v>999999</v>
      </c>
      <c r="X24" s="98">
        <v>0</v>
      </c>
      <c r="Y24" s="98">
        <v>999999</v>
      </c>
      <c r="Z24" s="98">
        <v>999999</v>
      </c>
      <c r="AA24" s="98">
        <v>999999</v>
      </c>
      <c r="AB24" s="98">
        <v>999999</v>
      </c>
      <c r="AC24" s="98">
        <v>999999</v>
      </c>
      <c r="AD24" s="98">
        <v>999999</v>
      </c>
      <c r="AE24" s="98">
        <v>999999</v>
      </c>
      <c r="AF24" s="98">
        <v>0.42748091603053434</v>
      </c>
      <c r="AG24" s="98">
        <v>0.50574712643678177</v>
      </c>
      <c r="AH24" s="98">
        <v>0.8973604341028234</v>
      </c>
    </row>
    <row r="25" spans="2:34" ht="17.25" customHeight="1" x14ac:dyDescent="0.25">
      <c r="B25" s="48" t="str">
        <f>VLOOKUP(tblMatrizDistanciasMínimas[[#This Row],[Nodo Orig.\Dest.]],tblNodos[],2,FALSE)</f>
        <v>Intermediarios comerciales y transaccionales</v>
      </c>
      <c r="C25" s="75" t="s">
        <v>67</v>
      </c>
      <c r="D25" s="98">
        <v>999999</v>
      </c>
      <c r="E25" s="98">
        <v>999999</v>
      </c>
      <c r="F25" s="98">
        <v>999999</v>
      </c>
      <c r="G25" s="98">
        <v>999999</v>
      </c>
      <c r="H25" s="98">
        <v>999999</v>
      </c>
      <c r="I25" s="98">
        <v>999999</v>
      </c>
      <c r="J25" s="98">
        <v>999999</v>
      </c>
      <c r="K25" s="98">
        <v>999999</v>
      </c>
      <c r="L25" s="98">
        <v>999999</v>
      </c>
      <c r="M25" s="98">
        <v>999999</v>
      </c>
      <c r="N25" s="98">
        <v>999999</v>
      </c>
      <c r="O25" s="98">
        <v>999999</v>
      </c>
      <c r="P25" s="98">
        <v>999999</v>
      </c>
      <c r="Q25" s="98">
        <v>999999</v>
      </c>
      <c r="R25" s="98">
        <v>999999</v>
      </c>
      <c r="S25" s="98">
        <v>999999</v>
      </c>
      <c r="T25" s="98">
        <v>999999</v>
      </c>
      <c r="U25" s="98">
        <v>999999</v>
      </c>
      <c r="V25" s="101">
        <v>999999</v>
      </c>
      <c r="W25" s="98">
        <v>999999</v>
      </c>
      <c r="X25" s="98">
        <v>999999</v>
      </c>
      <c r="Y25" s="98">
        <v>0</v>
      </c>
      <c r="Z25" s="98">
        <v>999999</v>
      </c>
      <c r="AA25" s="98">
        <v>999999</v>
      </c>
      <c r="AB25" s="98">
        <v>999999</v>
      </c>
      <c r="AC25" s="98">
        <v>999999</v>
      </c>
      <c r="AD25" s="98">
        <v>0.37974683544303789</v>
      </c>
      <c r="AE25" s="98">
        <v>0.3529411764705882</v>
      </c>
      <c r="AF25" s="98">
        <v>0.39285714285714285</v>
      </c>
      <c r="AG25" s="98">
        <v>999999</v>
      </c>
      <c r="AH25" s="98">
        <v>0.84486311451280538</v>
      </c>
    </row>
    <row r="26" spans="2:34" ht="17.25" customHeight="1" x14ac:dyDescent="0.25">
      <c r="B26" s="48" t="str">
        <f>VLOOKUP(tblMatrizDistanciasMínimas[[#This Row],[Nodo Orig.\Dest.]],tblNodos[],2,FALSE)</f>
        <v>Intermediarios logísticos del contrabando</v>
      </c>
      <c r="C26" s="75" t="s">
        <v>69</v>
      </c>
      <c r="D26" s="98">
        <v>999999</v>
      </c>
      <c r="E26" s="98">
        <v>999999</v>
      </c>
      <c r="F26" s="98">
        <v>999999</v>
      </c>
      <c r="G26" s="98">
        <v>999999</v>
      </c>
      <c r="H26" s="98">
        <v>999999</v>
      </c>
      <c r="I26" s="98">
        <v>999999</v>
      </c>
      <c r="J26" s="98">
        <v>999999</v>
      </c>
      <c r="K26" s="98">
        <v>999999</v>
      </c>
      <c r="L26" s="98">
        <v>999999</v>
      </c>
      <c r="M26" s="98">
        <v>999999</v>
      </c>
      <c r="N26" s="98">
        <v>999999</v>
      </c>
      <c r="O26" s="98">
        <v>999999</v>
      </c>
      <c r="P26" s="98">
        <v>999999</v>
      </c>
      <c r="Q26" s="98">
        <v>999999</v>
      </c>
      <c r="R26" s="98">
        <v>999999</v>
      </c>
      <c r="S26" s="98">
        <v>999999</v>
      </c>
      <c r="T26" s="98">
        <v>999999</v>
      </c>
      <c r="U26" s="98">
        <v>999999</v>
      </c>
      <c r="V26" s="101">
        <v>999999</v>
      </c>
      <c r="W26" s="98">
        <v>999999</v>
      </c>
      <c r="X26" s="98">
        <v>999999</v>
      </c>
      <c r="Y26" s="98">
        <v>999999</v>
      </c>
      <c r="Z26" s="98">
        <v>0</v>
      </c>
      <c r="AA26" s="98">
        <v>999999</v>
      </c>
      <c r="AB26" s="98">
        <v>999999</v>
      </c>
      <c r="AC26" s="98">
        <v>999999</v>
      </c>
      <c r="AD26" s="98">
        <v>0.37974683544303789</v>
      </c>
      <c r="AE26" s="98">
        <v>999999</v>
      </c>
      <c r="AF26" s="98">
        <v>999999</v>
      </c>
      <c r="AG26" s="98">
        <v>0.27272727272727276</v>
      </c>
      <c r="AH26" s="98">
        <v>0.77401261977097446</v>
      </c>
    </row>
    <row r="27" spans="2:34" ht="17.25" customHeight="1" x14ac:dyDescent="0.25">
      <c r="B27" s="48" t="str">
        <f>VLOOKUP(tblMatrizDistanciasMínimas[[#This Row],[Nodo Orig.\Dest.]],tblNodos[],2,FALSE)</f>
        <v>Intermediarios financeros especializados</v>
      </c>
      <c r="C27" s="75" t="s">
        <v>71</v>
      </c>
      <c r="D27" s="98">
        <v>999999</v>
      </c>
      <c r="E27" s="98">
        <v>999999</v>
      </c>
      <c r="F27" s="98">
        <v>999999</v>
      </c>
      <c r="G27" s="98">
        <v>999999</v>
      </c>
      <c r="H27" s="98">
        <v>999999</v>
      </c>
      <c r="I27" s="98">
        <v>999999</v>
      </c>
      <c r="J27" s="98">
        <v>999999</v>
      </c>
      <c r="K27" s="98">
        <v>999999</v>
      </c>
      <c r="L27" s="98">
        <v>999999</v>
      </c>
      <c r="M27" s="98">
        <v>999999</v>
      </c>
      <c r="N27" s="98">
        <v>999999</v>
      </c>
      <c r="O27" s="98">
        <v>999999</v>
      </c>
      <c r="P27" s="98">
        <v>999999</v>
      </c>
      <c r="Q27" s="98">
        <v>999999</v>
      </c>
      <c r="R27" s="98">
        <v>999999</v>
      </c>
      <c r="S27" s="98">
        <v>999999</v>
      </c>
      <c r="T27" s="98">
        <v>999999</v>
      </c>
      <c r="U27" s="98">
        <v>999999</v>
      </c>
      <c r="V27" s="101">
        <v>999999</v>
      </c>
      <c r="W27" s="98">
        <v>999999</v>
      </c>
      <c r="X27" s="98">
        <v>999999</v>
      </c>
      <c r="Y27" s="98">
        <v>999999</v>
      </c>
      <c r="Z27" s="98">
        <v>999999</v>
      </c>
      <c r="AA27" s="98">
        <v>0</v>
      </c>
      <c r="AB27" s="98">
        <v>999999</v>
      </c>
      <c r="AC27" s="98">
        <v>999999</v>
      </c>
      <c r="AD27" s="98">
        <v>0.28301886792452829</v>
      </c>
      <c r="AE27" s="98">
        <v>0.30769230769230771</v>
      </c>
      <c r="AF27" s="98">
        <v>999999</v>
      </c>
      <c r="AG27" s="98">
        <v>999999</v>
      </c>
      <c r="AH27" s="98">
        <v>0.74813514699429573</v>
      </c>
    </row>
    <row r="28" spans="2:34" ht="17.25" customHeight="1" x14ac:dyDescent="0.25">
      <c r="B28" s="48" t="str">
        <f>VLOOKUP(tblMatrizDistanciasMínimas[[#This Row],[Nodo Orig.\Dest.]],tblNodos[],2,FALSE)</f>
        <v>Intermediarios operativos y de cobertura</v>
      </c>
      <c r="C28" s="75" t="s">
        <v>73</v>
      </c>
      <c r="D28" s="98">
        <v>999999</v>
      </c>
      <c r="E28" s="98">
        <v>999999</v>
      </c>
      <c r="F28" s="98">
        <v>999999</v>
      </c>
      <c r="G28" s="98">
        <v>999999</v>
      </c>
      <c r="H28" s="98">
        <v>999999</v>
      </c>
      <c r="I28" s="98">
        <v>999999</v>
      </c>
      <c r="J28" s="98">
        <v>999999</v>
      </c>
      <c r="K28" s="98">
        <v>999999</v>
      </c>
      <c r="L28" s="98">
        <v>999999</v>
      </c>
      <c r="M28" s="98">
        <v>999999</v>
      </c>
      <c r="N28" s="98">
        <v>999999</v>
      </c>
      <c r="O28" s="98">
        <v>999999</v>
      </c>
      <c r="P28" s="98">
        <v>999999</v>
      </c>
      <c r="Q28" s="98">
        <v>999999</v>
      </c>
      <c r="R28" s="98">
        <v>999999</v>
      </c>
      <c r="S28" s="98">
        <v>999999</v>
      </c>
      <c r="T28" s="98">
        <v>999999</v>
      </c>
      <c r="U28" s="98">
        <v>999999</v>
      </c>
      <c r="V28" s="101">
        <v>999999</v>
      </c>
      <c r="W28" s="98">
        <v>999999</v>
      </c>
      <c r="X28" s="98">
        <v>999999</v>
      </c>
      <c r="Y28" s="98">
        <v>999999</v>
      </c>
      <c r="Z28" s="98">
        <v>999999</v>
      </c>
      <c r="AA28" s="98">
        <v>999999</v>
      </c>
      <c r="AB28" s="98">
        <v>0</v>
      </c>
      <c r="AC28" s="98">
        <v>999999</v>
      </c>
      <c r="AD28" s="98">
        <v>0.36363636363636365</v>
      </c>
      <c r="AE28" s="98">
        <v>999999</v>
      </c>
      <c r="AF28" s="98">
        <v>999999</v>
      </c>
      <c r="AG28" s="98">
        <v>999999</v>
      </c>
      <c r="AH28" s="98">
        <v>0.82875264270613114</v>
      </c>
    </row>
    <row r="29" spans="2:34" ht="17.25" customHeight="1" x14ac:dyDescent="0.25">
      <c r="B29" s="48" t="str">
        <f>VLOOKUP(tblMatrizDistanciasMínimas[[#This Row],[Nodo Orig.\Dest.]],tblNodos[],2,FALSE)</f>
        <v>Intermediarios de negociación y rescate</v>
      </c>
      <c r="C29" s="75" t="s">
        <v>75</v>
      </c>
      <c r="D29" s="98">
        <v>999999</v>
      </c>
      <c r="E29" s="98">
        <v>999999</v>
      </c>
      <c r="F29" s="98">
        <v>999999</v>
      </c>
      <c r="G29" s="98">
        <v>999999</v>
      </c>
      <c r="H29" s="98">
        <v>999999</v>
      </c>
      <c r="I29" s="98">
        <v>999999</v>
      </c>
      <c r="J29" s="98">
        <v>999999</v>
      </c>
      <c r="K29" s="98">
        <v>999999</v>
      </c>
      <c r="L29" s="98">
        <v>999999</v>
      </c>
      <c r="M29" s="98">
        <v>999999</v>
      </c>
      <c r="N29" s="98">
        <v>999999</v>
      </c>
      <c r="O29" s="98">
        <v>999999</v>
      </c>
      <c r="P29" s="98">
        <v>999999</v>
      </c>
      <c r="Q29" s="98">
        <v>999999</v>
      </c>
      <c r="R29" s="98">
        <v>999999</v>
      </c>
      <c r="S29" s="98">
        <v>999999</v>
      </c>
      <c r="T29" s="98">
        <v>999999</v>
      </c>
      <c r="U29" s="98">
        <v>999999</v>
      </c>
      <c r="V29" s="101">
        <v>999999</v>
      </c>
      <c r="W29" s="98">
        <v>999999</v>
      </c>
      <c r="X29" s="98">
        <v>999999</v>
      </c>
      <c r="Y29" s="98">
        <v>999999</v>
      </c>
      <c r="Z29" s="98">
        <v>999999</v>
      </c>
      <c r="AA29" s="98">
        <v>999999</v>
      </c>
      <c r="AB29" s="98">
        <v>999999</v>
      </c>
      <c r="AC29" s="98">
        <v>0</v>
      </c>
      <c r="AD29" s="98">
        <v>999999</v>
      </c>
      <c r="AE29" s="98">
        <v>999999</v>
      </c>
      <c r="AF29" s="98">
        <v>999999</v>
      </c>
      <c r="AG29" s="98">
        <v>0.25</v>
      </c>
      <c r="AH29" s="98">
        <v>0.75128534704370176</v>
      </c>
    </row>
    <row r="30" spans="2:34" ht="17.25" customHeight="1" x14ac:dyDescent="0.25">
      <c r="B30" s="48" t="str">
        <f>VLOOKUP(tblMatrizDistanciasMínimas[[#This Row],[Nodo Orig.\Dest.]],tblNodos[],2,FALSE)</f>
        <v>Dirección financiera</v>
      </c>
      <c r="C30" s="75" t="s">
        <v>77</v>
      </c>
      <c r="D30" s="98">
        <v>999999</v>
      </c>
      <c r="E30" s="98">
        <v>999999</v>
      </c>
      <c r="F30" s="98">
        <v>999999</v>
      </c>
      <c r="G30" s="98">
        <v>999999</v>
      </c>
      <c r="H30" s="98">
        <v>999999</v>
      </c>
      <c r="I30" s="98">
        <v>999999</v>
      </c>
      <c r="J30" s="98">
        <v>999999</v>
      </c>
      <c r="K30" s="98">
        <v>999999</v>
      </c>
      <c r="L30" s="98">
        <v>999999</v>
      </c>
      <c r="M30" s="98">
        <v>999999</v>
      </c>
      <c r="N30" s="98">
        <v>999999</v>
      </c>
      <c r="O30" s="98">
        <v>999999</v>
      </c>
      <c r="P30" s="98">
        <v>999999</v>
      </c>
      <c r="Q30" s="98">
        <v>999999</v>
      </c>
      <c r="R30" s="98">
        <v>999999</v>
      </c>
      <c r="S30" s="98">
        <v>999999</v>
      </c>
      <c r="T30" s="98">
        <v>999999</v>
      </c>
      <c r="U30" s="98">
        <v>999999</v>
      </c>
      <c r="V30" s="101">
        <v>999999</v>
      </c>
      <c r="W30" s="98">
        <v>999999</v>
      </c>
      <c r="X30" s="98">
        <v>999999</v>
      </c>
      <c r="Y30" s="98">
        <v>999999</v>
      </c>
      <c r="Z30" s="98">
        <v>999999</v>
      </c>
      <c r="AA30" s="98">
        <v>999999</v>
      </c>
      <c r="AB30" s="98">
        <v>999999</v>
      </c>
      <c r="AC30" s="98">
        <v>999999</v>
      </c>
      <c r="AD30" s="98">
        <v>0</v>
      </c>
      <c r="AE30" s="98">
        <v>999999</v>
      </c>
      <c r="AF30" s="98">
        <v>999999</v>
      </c>
      <c r="AG30" s="98">
        <v>999999</v>
      </c>
      <c r="AH30" s="98">
        <v>0.46511627906976744</v>
      </c>
    </row>
    <row r="31" spans="2:34" ht="17.25" customHeight="1" x14ac:dyDescent="0.25">
      <c r="B31" s="48" t="str">
        <f>VLOOKUP(tblMatrizDistanciasMínimas[[#This Row],[Nodo Orig.\Dest.]],tblNodos[],2,FALSE)</f>
        <v>Gestión operativa descentralizada</v>
      </c>
      <c r="C31" s="75" t="s">
        <v>79</v>
      </c>
      <c r="D31" s="98">
        <v>999999</v>
      </c>
      <c r="E31" s="98">
        <v>999999</v>
      </c>
      <c r="F31" s="98">
        <v>999999</v>
      </c>
      <c r="G31" s="98">
        <v>999999</v>
      </c>
      <c r="H31" s="98">
        <v>999999</v>
      </c>
      <c r="I31" s="98">
        <v>999999</v>
      </c>
      <c r="J31" s="98">
        <v>999999</v>
      </c>
      <c r="K31" s="98">
        <v>999999</v>
      </c>
      <c r="L31" s="98">
        <v>999999</v>
      </c>
      <c r="M31" s="98">
        <v>999999</v>
      </c>
      <c r="N31" s="98">
        <v>999999</v>
      </c>
      <c r="O31" s="98">
        <v>999999</v>
      </c>
      <c r="P31" s="98">
        <v>999999</v>
      </c>
      <c r="Q31" s="98">
        <v>999999</v>
      </c>
      <c r="R31" s="98">
        <v>999999</v>
      </c>
      <c r="S31" s="98">
        <v>999999</v>
      </c>
      <c r="T31" s="98">
        <v>999999</v>
      </c>
      <c r="U31" s="98">
        <v>999999</v>
      </c>
      <c r="V31" s="101">
        <v>999999</v>
      </c>
      <c r="W31" s="98">
        <v>999999</v>
      </c>
      <c r="X31" s="98">
        <v>999999</v>
      </c>
      <c r="Y31" s="98">
        <v>999999</v>
      </c>
      <c r="Z31" s="98">
        <v>999999</v>
      </c>
      <c r="AA31" s="98">
        <v>999999</v>
      </c>
      <c r="AB31" s="98">
        <v>999999</v>
      </c>
      <c r="AC31" s="98">
        <v>999999</v>
      </c>
      <c r="AD31" s="98">
        <v>999999</v>
      </c>
      <c r="AE31" s="98">
        <v>0</v>
      </c>
      <c r="AF31" s="98">
        <v>999999</v>
      </c>
      <c r="AG31" s="98">
        <v>999999</v>
      </c>
      <c r="AH31" s="98">
        <v>0.65853658536585358</v>
      </c>
    </row>
    <row r="32" spans="2:34" ht="17.25" customHeight="1" x14ac:dyDescent="0.25">
      <c r="B32" s="48" t="str">
        <f>VLOOKUP(tblMatrizDistanciasMínimas[[#This Row],[Nodo Orig.\Dest.]],tblNodos[],2,FALSE)</f>
        <v>Custodia y conversión</v>
      </c>
      <c r="C32" s="75" t="s">
        <v>81</v>
      </c>
      <c r="D32" s="98">
        <v>999999</v>
      </c>
      <c r="E32" s="98">
        <v>999999</v>
      </c>
      <c r="F32" s="98">
        <v>999999</v>
      </c>
      <c r="G32" s="98">
        <v>999999</v>
      </c>
      <c r="H32" s="98">
        <v>999999</v>
      </c>
      <c r="I32" s="98">
        <v>999999</v>
      </c>
      <c r="J32" s="98">
        <v>999999</v>
      </c>
      <c r="K32" s="98">
        <v>999999</v>
      </c>
      <c r="L32" s="98">
        <v>999999</v>
      </c>
      <c r="M32" s="98">
        <v>999999</v>
      </c>
      <c r="N32" s="98">
        <v>999999</v>
      </c>
      <c r="O32" s="98">
        <v>999999</v>
      </c>
      <c r="P32" s="98">
        <v>999999</v>
      </c>
      <c r="Q32" s="98">
        <v>999999</v>
      </c>
      <c r="R32" s="98">
        <v>999999</v>
      </c>
      <c r="S32" s="98">
        <v>999999</v>
      </c>
      <c r="T32" s="98">
        <v>999999</v>
      </c>
      <c r="U32" s="98">
        <v>999999</v>
      </c>
      <c r="V32" s="101">
        <v>999999</v>
      </c>
      <c r="W32" s="98">
        <v>999999</v>
      </c>
      <c r="X32" s="98">
        <v>999999</v>
      </c>
      <c r="Y32" s="98">
        <v>999999</v>
      </c>
      <c r="Z32" s="98">
        <v>999999</v>
      </c>
      <c r="AA32" s="98">
        <v>999999</v>
      </c>
      <c r="AB32" s="98">
        <v>999999</v>
      </c>
      <c r="AC32" s="98">
        <v>999999</v>
      </c>
      <c r="AD32" s="98">
        <v>999999</v>
      </c>
      <c r="AE32" s="98">
        <v>999999</v>
      </c>
      <c r="AF32" s="98">
        <v>0</v>
      </c>
      <c r="AG32" s="98">
        <v>999999</v>
      </c>
      <c r="AH32" s="98">
        <v>0.46987951807228906</v>
      </c>
    </row>
    <row r="33" spans="2:34" ht="17.25" customHeight="1" x14ac:dyDescent="0.25">
      <c r="B33" s="48" t="str">
        <f>VLOOKUP(tblMatrizDistanciasMínimas[[#This Row],[Nodo Orig.\Dest.]],tblNodos[],2,FALSE)</f>
        <v>Coordinación de la red y soporte estratégico</v>
      </c>
      <c r="C33" s="75" t="s">
        <v>83</v>
      </c>
      <c r="D33" s="98">
        <v>999999</v>
      </c>
      <c r="E33" s="98">
        <v>999999</v>
      </c>
      <c r="F33" s="98">
        <v>999999</v>
      </c>
      <c r="G33" s="98">
        <v>999999</v>
      </c>
      <c r="H33" s="98">
        <v>999999</v>
      </c>
      <c r="I33" s="98">
        <v>999999</v>
      </c>
      <c r="J33" s="98">
        <v>999999</v>
      </c>
      <c r="K33" s="98">
        <v>999999</v>
      </c>
      <c r="L33" s="98">
        <v>999999</v>
      </c>
      <c r="M33" s="98">
        <v>999999</v>
      </c>
      <c r="N33" s="98">
        <v>999999</v>
      </c>
      <c r="O33" s="98">
        <v>999999</v>
      </c>
      <c r="P33" s="98">
        <v>999999</v>
      </c>
      <c r="Q33" s="98">
        <v>999999</v>
      </c>
      <c r="R33" s="98">
        <v>999999</v>
      </c>
      <c r="S33" s="98">
        <v>999999</v>
      </c>
      <c r="T33" s="98">
        <v>999999</v>
      </c>
      <c r="U33" s="98">
        <v>999999</v>
      </c>
      <c r="V33" s="101">
        <v>999999</v>
      </c>
      <c r="W33" s="98">
        <v>999999</v>
      </c>
      <c r="X33" s="98">
        <v>999999</v>
      </c>
      <c r="Y33" s="98">
        <v>999999</v>
      </c>
      <c r="Z33" s="98">
        <v>999999</v>
      </c>
      <c r="AA33" s="98">
        <v>999999</v>
      </c>
      <c r="AB33" s="98">
        <v>999999</v>
      </c>
      <c r="AC33" s="98">
        <v>999999</v>
      </c>
      <c r="AD33" s="98">
        <v>999999</v>
      </c>
      <c r="AE33" s="98">
        <v>999999</v>
      </c>
      <c r="AF33" s="98">
        <v>999999</v>
      </c>
      <c r="AG33" s="98">
        <v>0</v>
      </c>
      <c r="AH33" s="98">
        <v>0.50128534704370176</v>
      </c>
    </row>
    <row r="34" spans="2:34" ht="17.25" customHeight="1" x14ac:dyDescent="0.25">
      <c r="B34" s="48" t="str">
        <f>VLOOKUP(tblMatrizDistanciasMínimas[[#This Row],[Nodo Orig.\Dest.]],tblNodos[],2,FALSE)</f>
        <v>Destino operativo final</v>
      </c>
      <c r="C34" s="75" t="s">
        <v>85</v>
      </c>
      <c r="D34" s="98">
        <v>999999</v>
      </c>
      <c r="E34" s="98">
        <v>999999</v>
      </c>
      <c r="F34" s="98">
        <v>999999</v>
      </c>
      <c r="G34" s="98">
        <v>999999</v>
      </c>
      <c r="H34" s="98">
        <v>999999</v>
      </c>
      <c r="I34" s="98">
        <v>999999</v>
      </c>
      <c r="J34" s="98">
        <v>999999</v>
      </c>
      <c r="K34" s="98">
        <v>999999</v>
      </c>
      <c r="L34" s="98">
        <v>999999</v>
      </c>
      <c r="M34" s="98">
        <v>999999</v>
      </c>
      <c r="N34" s="98">
        <v>999999</v>
      </c>
      <c r="O34" s="98">
        <v>999999</v>
      </c>
      <c r="P34" s="98">
        <v>999999</v>
      </c>
      <c r="Q34" s="98">
        <v>999999</v>
      </c>
      <c r="R34" s="98">
        <v>999999</v>
      </c>
      <c r="S34" s="98">
        <v>999999</v>
      </c>
      <c r="T34" s="98">
        <v>999999</v>
      </c>
      <c r="U34" s="98">
        <v>999999</v>
      </c>
      <c r="V34" s="101">
        <v>999999</v>
      </c>
      <c r="W34" s="100">
        <v>999999</v>
      </c>
      <c r="X34" s="100">
        <v>999999</v>
      </c>
      <c r="Y34" s="100">
        <v>999999</v>
      </c>
      <c r="Z34" s="100">
        <v>999999</v>
      </c>
      <c r="AA34" s="100">
        <v>999999</v>
      </c>
      <c r="AB34" s="100">
        <v>999999</v>
      </c>
      <c r="AC34" s="100">
        <v>999999</v>
      </c>
      <c r="AD34" s="100">
        <v>999999</v>
      </c>
      <c r="AE34" s="100">
        <v>999999</v>
      </c>
      <c r="AF34" s="100">
        <v>999999</v>
      </c>
      <c r="AG34" s="100">
        <v>999999</v>
      </c>
      <c r="AH34" s="100">
        <v>0</v>
      </c>
    </row>
  </sheetData>
  <mergeCells count="1">
    <mergeCell ref="B2:C2"/>
  </mergeCells>
  <conditionalFormatting sqref="D4:AH34">
    <cfRule type="expression" dxfId="40" priority="1">
      <formula>COLUMN()-COLUMN($D$4)=ROW()-ROW($D$4)</formula>
    </cfRule>
    <cfRule type="expression" dxfId="39" priority="2">
      <formula>D4=999999</formula>
    </cfRule>
    <cfRule type="expression" dxfId="38" priority="3">
      <formula>D4&lt;&gt;0</formula>
    </cfRule>
  </conditionalFormatting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alcularMatrizDistanciasMinimas">
                <anchor moveWithCells="1" sizeWithCells="1">
                  <from>
                    <xdr:col>36</xdr:col>
                    <xdr:colOff>342900</xdr:colOff>
                    <xdr:row>3</xdr:row>
                    <xdr:rowOff>28575</xdr:rowOff>
                  </from>
                  <to>
                    <xdr:col>40</xdr:col>
                    <xdr:colOff>190500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BEE86-87B5-432F-8B9E-D0E679757A9A}">
  <sheetPr codeName="Hoja16"/>
  <dimension ref="B2:F24"/>
  <sheetViews>
    <sheetView showGridLines="0" zoomScaleNormal="100" workbookViewId="0">
      <selection activeCell="D12" sqref="D12"/>
    </sheetView>
  </sheetViews>
  <sheetFormatPr baseColWidth="10" defaultColWidth="9.140625" defaultRowHeight="17.25" customHeight="1" x14ac:dyDescent="0.25"/>
  <cols>
    <col min="1" max="1" width="9.140625" style="3" customWidth="1"/>
    <col min="2" max="2" width="38.42578125" style="3" customWidth="1"/>
    <col min="3" max="3" width="16.7109375" style="3" bestFit="1" customWidth="1"/>
    <col min="4" max="4" width="46" style="3" customWidth="1"/>
    <col min="5" max="5" width="77.85546875" style="3" customWidth="1"/>
    <col min="6" max="6" width="16.140625" style="3" customWidth="1"/>
    <col min="7" max="16384" width="9.140625" style="3"/>
  </cols>
  <sheetData>
    <row r="2" spans="2:6" s="8" customFormat="1" ht="21" customHeight="1" x14ac:dyDescent="0.25">
      <c r="B2" s="108" t="s">
        <v>512</v>
      </c>
      <c r="C2" s="109"/>
      <c r="D2" s="109"/>
      <c r="E2" s="109"/>
      <c r="F2" s="3"/>
    </row>
    <row r="3" spans="2:6" ht="37.5" customHeight="1" x14ac:dyDescent="0.25">
      <c r="B3" s="23" t="s">
        <v>513</v>
      </c>
      <c r="C3" s="86" t="s">
        <v>89</v>
      </c>
      <c r="D3" s="86" t="s">
        <v>515</v>
      </c>
      <c r="E3" s="86" t="s">
        <v>516</v>
      </c>
    </row>
    <row r="4" spans="2:6" ht="40.5" customHeight="1" x14ac:dyDescent="0.25">
      <c r="B4" s="107" t="s">
        <v>514</v>
      </c>
      <c r="C4" s="90">
        <f>AVERAGEIFS(tblMatrizDistanciasMínimas[D1],tblMatrizDistanciasMínimas[D1],"&gt;0",tblMatrizDistanciasMínimas[D1],"&lt;999999")</f>
        <v>1.0149661598669444</v>
      </c>
      <c r="D4" s="90" t="s">
        <v>517</v>
      </c>
      <c r="E4" s="90" t="s">
        <v>518</v>
      </c>
      <c r="F4" s="19"/>
    </row>
    <row r="5" spans="2:6" ht="40.5" customHeight="1" x14ac:dyDescent="0.25">
      <c r="B5" s="107" t="s">
        <v>519</v>
      </c>
      <c r="C5" s="90">
        <f>AVERAGEIFS(tblMatrizDistanciasMínimas[[O1]:[D1]],tblMatrizDistanciasMínimas[[O1]:[D1]],"&gt;0",tblMatrizDistanciasMínimas[[O1]:[D1]],"&lt;999999")</f>
        <v>0.7893366899612394</v>
      </c>
      <c r="D5" s="90" t="s">
        <v>520</v>
      </c>
      <c r="E5" s="90" t="s">
        <v>521</v>
      </c>
      <c r="F5" s="19"/>
    </row>
    <row r="6" spans="2:6" ht="40.5" customHeight="1" x14ac:dyDescent="0.25">
      <c r="B6" s="107" t="s">
        <v>524</v>
      </c>
      <c r="C6" s="90">
        <f>AVERAGE(tblMetricasNodos[Cercanía Armónica])</f>
        <v>6.8212868416055752</v>
      </c>
      <c r="D6" s="90" t="s">
        <v>525</v>
      </c>
      <c r="E6" s="90" t="s">
        <v>526</v>
      </c>
      <c r="F6" s="19"/>
    </row>
    <row r="7" spans="2:6" ht="40.5" customHeight="1" x14ac:dyDescent="0.25">
      <c r="B7" s="107" t="s">
        <v>527</v>
      </c>
      <c r="C7" s="90" cm="1">
        <f t="array" ref="C7">SUMPRODUCT(
 (tblMatrizDistanciasMínimas[[O1]:[D1]]&gt;0)*
 (tblMatrizDistanciasMínimas[[O1]:[D1]]&lt;999999)*
 (1/(tblMatrizDistanciasMínimas[[O1]:[D1]]+(tblMatrizDistanciasMínimas[[O1]:[D1]]=0)))
)
/
(
 ROWS(tblMatrizDistanciasMínimas[[O1]:[D1]])*
 (ROWS(tblMatrizDistanciasMínimas[[O1]:[D1]])-1)
)</f>
        <v>0.22737622805351917</v>
      </c>
      <c r="D7" s="90" t="s">
        <v>528</v>
      </c>
      <c r="E7" s="90" t="s">
        <v>529</v>
      </c>
      <c r="F7" s="19"/>
    </row>
    <row r="8" spans="2:6" ht="40.5" customHeight="1" x14ac:dyDescent="0.25">
      <c r="B8" s="107" t="s">
        <v>530</v>
      </c>
      <c r="C8" s="90" cm="1">
        <f t="array" ref="C8">SUMPRODUCT(MAX(tblMetricasNodos[Grado Ponderado Total])-tblMetricasNodos[Grado Ponderado Total])/((ROWS(tblMetricasNodos[Grado Ponderado Total])-1)*MAX(tblMetricasNodos[Grado Ponderado Total]))</f>
        <v>0.75523518976105442</v>
      </c>
      <c r="D8" s="90" t="s">
        <v>531</v>
      </c>
      <c r="E8" s="90" t="s">
        <v>532</v>
      </c>
      <c r="F8" s="19"/>
    </row>
    <row r="9" spans="2:6" ht="17.25" customHeight="1" x14ac:dyDescent="0.25">
      <c r="C9" s="19"/>
      <c r="D9" s="19"/>
      <c r="E9" s="19"/>
      <c r="F9" s="19"/>
    </row>
    <row r="10" spans="2:6" ht="17.25" customHeight="1" x14ac:dyDescent="0.25">
      <c r="C10" s="19"/>
      <c r="D10" s="19"/>
      <c r="E10" s="19"/>
      <c r="F10" s="19"/>
    </row>
    <row r="11" spans="2:6" ht="17.25" customHeight="1" x14ac:dyDescent="0.25">
      <c r="C11" s="19"/>
      <c r="D11" s="19"/>
      <c r="E11" s="19"/>
      <c r="F11" s="19"/>
    </row>
    <row r="12" spans="2:6" ht="17.25" customHeight="1" x14ac:dyDescent="0.25">
      <c r="C12" s="19"/>
      <c r="D12" s="19"/>
      <c r="E12" s="19"/>
      <c r="F12" s="19"/>
    </row>
    <row r="13" spans="2:6" ht="17.25" customHeight="1" x14ac:dyDescent="0.25">
      <c r="C13" s="19"/>
      <c r="D13" s="19"/>
      <c r="E13" s="19"/>
      <c r="F13" s="19"/>
    </row>
    <row r="14" spans="2:6" ht="17.25" customHeight="1" x14ac:dyDescent="0.25">
      <c r="C14" s="19"/>
      <c r="D14" s="19"/>
      <c r="E14" s="19"/>
      <c r="F14" s="19"/>
    </row>
    <row r="15" spans="2:6" ht="17.25" customHeight="1" x14ac:dyDescent="0.25">
      <c r="C15" s="19"/>
      <c r="D15" s="19"/>
      <c r="E15" s="19"/>
      <c r="F15" s="19"/>
    </row>
    <row r="16" spans="2:6" ht="17.25" customHeight="1" x14ac:dyDescent="0.25">
      <c r="C16" s="19"/>
      <c r="D16" s="19"/>
      <c r="E16" s="19"/>
      <c r="F16" s="19"/>
    </row>
    <row r="17" spans="3:6" ht="17.25" customHeight="1" x14ac:dyDescent="0.25">
      <c r="C17" s="19"/>
      <c r="D17" s="19"/>
      <c r="E17" s="19"/>
      <c r="F17" s="19"/>
    </row>
    <row r="18" spans="3:6" ht="17.25" customHeight="1" x14ac:dyDescent="0.25">
      <c r="C18" s="19"/>
      <c r="D18" s="19"/>
      <c r="E18" s="19"/>
      <c r="F18" s="19"/>
    </row>
    <row r="19" spans="3:6" ht="17.25" customHeight="1" x14ac:dyDescent="0.25">
      <c r="C19" s="19"/>
      <c r="D19" s="19"/>
      <c r="E19" s="19"/>
      <c r="F19" s="19"/>
    </row>
    <row r="20" spans="3:6" ht="17.25" customHeight="1" x14ac:dyDescent="0.25">
      <c r="C20" s="19"/>
      <c r="D20" s="19"/>
      <c r="E20" s="19"/>
      <c r="F20" s="19"/>
    </row>
    <row r="21" spans="3:6" ht="17.25" customHeight="1" x14ac:dyDescent="0.25">
      <c r="C21" s="19"/>
      <c r="D21" s="19"/>
      <c r="E21" s="19"/>
      <c r="F21" s="19"/>
    </row>
    <row r="22" spans="3:6" ht="17.25" customHeight="1" x14ac:dyDescent="0.25">
      <c r="C22" s="19"/>
      <c r="D22" s="19"/>
      <c r="E22" s="19"/>
      <c r="F22" s="19"/>
    </row>
    <row r="23" spans="3:6" ht="17.25" customHeight="1" x14ac:dyDescent="0.25">
      <c r="C23" s="19"/>
      <c r="D23" s="19"/>
      <c r="E23" s="19"/>
      <c r="F23" s="19"/>
    </row>
    <row r="24" spans="3:6" ht="17.25" customHeight="1" x14ac:dyDescent="0.25">
      <c r="F24" s="19"/>
    </row>
  </sheetData>
  <mergeCells count="1">
    <mergeCell ref="B2:E2"/>
  </mergeCells>
  <phoneticPr fontId="10" type="noConversion"/>
  <pageMargins left="0.75" right="0.75" top="1" bottom="1" header="0.5" footer="0.5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</vt:i4>
      </vt:variant>
    </vt:vector>
  </HeadingPairs>
  <TitlesOfParts>
    <vt:vector size="17" baseType="lpstr">
      <vt:lpstr>Portada</vt:lpstr>
      <vt:lpstr>Tipos de Nodo</vt:lpstr>
      <vt:lpstr>Nodos</vt:lpstr>
      <vt:lpstr>Prop.&amp;Pesos Canales</vt:lpstr>
      <vt:lpstr>Canales</vt:lpstr>
      <vt:lpstr>Enlaces</vt:lpstr>
      <vt:lpstr>Red</vt:lpstr>
      <vt:lpstr>Grafo Visual</vt:lpstr>
      <vt:lpstr>MatrizDeAdyacencia</vt:lpstr>
      <vt:lpstr>MatrizPonderadaCostes</vt:lpstr>
      <vt:lpstr>MatrizPonderadaValorOperativo</vt:lpstr>
      <vt:lpstr>MatrizTradeOff Valor Op-Coste</vt:lpstr>
      <vt:lpstr>MatrizDeDistanciasDirectas</vt:lpstr>
      <vt:lpstr>Métricas de Nodos</vt:lpstr>
      <vt:lpstr>MatrizDeDistanciasMínimas</vt:lpstr>
      <vt:lpstr>Métricas de Red</vt:lpstr>
      <vt:lpstr>Canales!Área_de_impresión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Francisco Sarti Fernández</cp:lastModifiedBy>
  <cp:lastPrinted>2026-03-25T19:29:19Z</cp:lastPrinted>
  <dcterms:created xsi:type="dcterms:W3CDTF">2026-03-18T17:42:29Z</dcterms:created>
  <dcterms:modified xsi:type="dcterms:W3CDTF">2026-04-19T09:27:15Z</dcterms:modified>
</cp:coreProperties>
</file>