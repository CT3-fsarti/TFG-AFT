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00_repositorios_GitHub\TFG-AFT\"/>
    </mc:Choice>
  </mc:AlternateContent>
  <xr:revisionPtr revIDLastSave="0" documentId="13_ncr:1_{F8430DBD-BF70-40A7-83D1-E9ACB62C925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Base-Nodos" sheetId="10" r:id="rId1"/>
    <sheet name="Base-Canales" sheetId="9" r:id="rId2"/>
    <sheet name="Red" sheetId="1" r:id="rId3"/>
    <sheet name="Grafo Visual" sheetId="2" r:id="rId4"/>
    <sheet name="MatrizDeAdyacencia" sheetId="3" r:id="rId5"/>
    <sheet name="MatrizPonderadaCostes" sheetId="4" r:id="rId6"/>
    <sheet name="MatrizPonderadaValorOperativo" sheetId="5" r:id="rId7"/>
    <sheet name="MatrizTradeOff Valor Op-Coste" sheetId="6" r:id="rId8"/>
    <sheet name="Métricas" sheetId="7" r:id="rId9"/>
  </sheets>
  <definedNames>
    <definedName name="_xlnm.Print_Area" localSheetId="1">'Base-Canales'!$B$1:$O$39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7" l="1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4" i="7"/>
  <c r="AA2" i="6"/>
  <c r="AB2" i="6"/>
  <c r="AC2" i="6"/>
  <c r="AD2" i="6"/>
  <c r="AE2" i="6"/>
  <c r="AF2" i="6"/>
  <c r="AG2" i="6"/>
  <c r="AH2" i="6"/>
  <c r="AI2" i="6"/>
  <c r="AJ2" i="6"/>
  <c r="AK2" i="6"/>
  <c r="AL2" i="6"/>
  <c r="AM2" i="6"/>
  <c r="AN2" i="6"/>
  <c r="AO2" i="6"/>
  <c r="AP2" i="6"/>
  <c r="AQ2" i="6"/>
  <c r="AR2" i="6"/>
  <c r="Z2" i="6"/>
  <c r="X4" i="6"/>
  <c r="X5" i="6"/>
  <c r="X6" i="6"/>
  <c r="X7" i="6"/>
  <c r="X8" i="6"/>
  <c r="X9" i="6"/>
  <c r="X10" i="6"/>
  <c r="X11" i="6"/>
  <c r="X12" i="6"/>
  <c r="X13" i="6"/>
  <c r="X14" i="6"/>
  <c r="X15" i="6"/>
  <c r="X16" i="6"/>
  <c r="X17" i="6"/>
  <c r="X18" i="6"/>
  <c r="X19" i="6"/>
  <c r="X20" i="6"/>
  <c r="X21" i="6"/>
  <c r="X22" i="6"/>
  <c r="E2" i="6"/>
  <c r="F2" i="6"/>
  <c r="G2" i="6"/>
  <c r="H2" i="6"/>
  <c r="I2" i="6"/>
  <c r="J2" i="6"/>
  <c r="K2" i="6"/>
  <c r="L2" i="6"/>
  <c r="M2" i="6"/>
  <c r="N2" i="6"/>
  <c r="O2" i="6"/>
  <c r="P2" i="6"/>
  <c r="Q2" i="6"/>
  <c r="R2" i="6"/>
  <c r="S2" i="6"/>
  <c r="T2" i="6"/>
  <c r="U2" i="6"/>
  <c r="V2" i="6"/>
  <c r="D2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V22" i="5"/>
  <c r="U22" i="5"/>
  <c r="T22" i="5"/>
  <c r="S22" i="5"/>
  <c r="R22" i="5"/>
  <c r="Q22" i="5"/>
  <c r="P22" i="5"/>
  <c r="O22" i="5"/>
  <c r="N22" i="5"/>
  <c r="M22" i="5"/>
  <c r="L22" i="5"/>
  <c r="K22" i="5"/>
  <c r="I22" i="5"/>
  <c r="H22" i="5"/>
  <c r="G22" i="5"/>
  <c r="F22" i="5"/>
  <c r="E22" i="5"/>
  <c r="D22" i="5"/>
  <c r="V21" i="5"/>
  <c r="U21" i="5"/>
  <c r="T21" i="5"/>
  <c r="S21" i="5"/>
  <c r="R21" i="5"/>
  <c r="Q21" i="5"/>
  <c r="P21" i="5"/>
  <c r="O21" i="5"/>
  <c r="N21" i="5"/>
  <c r="M21" i="5"/>
  <c r="L21" i="5"/>
  <c r="K21" i="5"/>
  <c r="I21" i="5"/>
  <c r="H21" i="5"/>
  <c r="G21" i="5"/>
  <c r="F21" i="5"/>
  <c r="E21" i="5"/>
  <c r="D21" i="5"/>
  <c r="V20" i="5"/>
  <c r="U20" i="5"/>
  <c r="T20" i="5"/>
  <c r="S20" i="5"/>
  <c r="R20" i="5"/>
  <c r="Q20" i="5"/>
  <c r="P20" i="5"/>
  <c r="O20" i="5"/>
  <c r="N20" i="5"/>
  <c r="M20" i="5"/>
  <c r="L20" i="5"/>
  <c r="K20" i="5"/>
  <c r="I20" i="5"/>
  <c r="H20" i="5"/>
  <c r="G20" i="5"/>
  <c r="F20" i="5"/>
  <c r="E20" i="5"/>
  <c r="D20" i="5"/>
  <c r="V19" i="5"/>
  <c r="U19" i="5"/>
  <c r="T19" i="5"/>
  <c r="S19" i="5"/>
  <c r="R19" i="5"/>
  <c r="Q19" i="5"/>
  <c r="P19" i="5"/>
  <c r="O19" i="5"/>
  <c r="N19" i="5"/>
  <c r="M19" i="5"/>
  <c r="L19" i="5"/>
  <c r="K19" i="5"/>
  <c r="I19" i="5"/>
  <c r="H19" i="5"/>
  <c r="G19" i="5"/>
  <c r="F19" i="5"/>
  <c r="E19" i="5"/>
  <c r="D19" i="5"/>
  <c r="V18" i="5"/>
  <c r="U18" i="5"/>
  <c r="T18" i="5"/>
  <c r="S18" i="5"/>
  <c r="R18" i="5"/>
  <c r="Q18" i="5"/>
  <c r="P18" i="5"/>
  <c r="O18" i="5"/>
  <c r="N18" i="5"/>
  <c r="M18" i="5"/>
  <c r="L18" i="5"/>
  <c r="K18" i="5"/>
  <c r="I18" i="5"/>
  <c r="H18" i="5"/>
  <c r="G18" i="5"/>
  <c r="F18" i="5"/>
  <c r="E18" i="5"/>
  <c r="D18" i="5"/>
  <c r="V17" i="5"/>
  <c r="U17" i="5"/>
  <c r="T17" i="5"/>
  <c r="S17" i="5"/>
  <c r="R17" i="5"/>
  <c r="Q17" i="5"/>
  <c r="P17" i="5"/>
  <c r="O17" i="5"/>
  <c r="N17" i="5"/>
  <c r="M17" i="5"/>
  <c r="L17" i="5"/>
  <c r="K17" i="5"/>
  <c r="I17" i="5"/>
  <c r="H17" i="5"/>
  <c r="G17" i="5"/>
  <c r="F17" i="5"/>
  <c r="E17" i="5"/>
  <c r="D17" i="5"/>
  <c r="V16" i="5"/>
  <c r="U16" i="5"/>
  <c r="T16" i="5"/>
  <c r="S16" i="5"/>
  <c r="R16" i="5"/>
  <c r="Q16" i="5"/>
  <c r="P16" i="5"/>
  <c r="O16" i="5"/>
  <c r="N16" i="5"/>
  <c r="M16" i="5"/>
  <c r="L16" i="5"/>
  <c r="K16" i="5"/>
  <c r="I16" i="5"/>
  <c r="H16" i="5"/>
  <c r="G16" i="5"/>
  <c r="F16" i="5"/>
  <c r="E16" i="5"/>
  <c r="D16" i="5"/>
  <c r="V15" i="5"/>
  <c r="U15" i="5"/>
  <c r="T15" i="5"/>
  <c r="S15" i="5"/>
  <c r="R15" i="5"/>
  <c r="Q15" i="5"/>
  <c r="P15" i="5"/>
  <c r="O15" i="5"/>
  <c r="N15" i="5"/>
  <c r="M15" i="5"/>
  <c r="L15" i="5"/>
  <c r="K15" i="5"/>
  <c r="I15" i="5"/>
  <c r="H15" i="5"/>
  <c r="G15" i="5"/>
  <c r="F15" i="5"/>
  <c r="E15" i="5"/>
  <c r="D15" i="5"/>
  <c r="V14" i="5"/>
  <c r="U14" i="5"/>
  <c r="T14" i="5"/>
  <c r="S14" i="5"/>
  <c r="R14" i="5"/>
  <c r="Q14" i="5"/>
  <c r="P14" i="5"/>
  <c r="O14" i="5"/>
  <c r="N14" i="5"/>
  <c r="M14" i="5"/>
  <c r="L14" i="5"/>
  <c r="K14" i="5"/>
  <c r="I14" i="5"/>
  <c r="H14" i="5"/>
  <c r="G14" i="5"/>
  <c r="F14" i="5"/>
  <c r="E14" i="5"/>
  <c r="D14" i="5"/>
  <c r="V13" i="5"/>
  <c r="U13" i="5"/>
  <c r="T13" i="5"/>
  <c r="S13" i="5"/>
  <c r="R13" i="5"/>
  <c r="Q13" i="5"/>
  <c r="P13" i="5"/>
  <c r="O13" i="5"/>
  <c r="N13" i="5"/>
  <c r="M13" i="5"/>
  <c r="L13" i="5"/>
  <c r="K13" i="5"/>
  <c r="I13" i="5"/>
  <c r="H13" i="5"/>
  <c r="G13" i="5"/>
  <c r="F13" i="5"/>
  <c r="E13" i="5"/>
  <c r="D13" i="5"/>
  <c r="V12" i="5"/>
  <c r="U12" i="5"/>
  <c r="T12" i="5"/>
  <c r="S12" i="5"/>
  <c r="R12" i="5"/>
  <c r="Q12" i="5"/>
  <c r="P12" i="5"/>
  <c r="O12" i="5"/>
  <c r="N12" i="5"/>
  <c r="M12" i="5"/>
  <c r="L12" i="5"/>
  <c r="K12" i="5"/>
  <c r="I12" i="5"/>
  <c r="H12" i="5"/>
  <c r="G12" i="5"/>
  <c r="F12" i="5"/>
  <c r="E12" i="5"/>
  <c r="D12" i="5"/>
  <c r="V11" i="5"/>
  <c r="U11" i="5"/>
  <c r="T11" i="5"/>
  <c r="S11" i="5"/>
  <c r="R11" i="5"/>
  <c r="Q11" i="5"/>
  <c r="P11" i="5"/>
  <c r="O11" i="5"/>
  <c r="N11" i="5"/>
  <c r="M11" i="5"/>
  <c r="L11" i="5"/>
  <c r="K11" i="5"/>
  <c r="I11" i="5"/>
  <c r="H11" i="5"/>
  <c r="G11" i="5"/>
  <c r="F11" i="5"/>
  <c r="E11" i="5"/>
  <c r="D11" i="5"/>
  <c r="V10" i="5"/>
  <c r="U10" i="5"/>
  <c r="T10" i="5"/>
  <c r="S10" i="5"/>
  <c r="R10" i="5"/>
  <c r="Q10" i="5"/>
  <c r="P10" i="5"/>
  <c r="O10" i="5"/>
  <c r="N10" i="5"/>
  <c r="M10" i="5"/>
  <c r="L10" i="5"/>
  <c r="K10" i="5"/>
  <c r="I10" i="5"/>
  <c r="H10" i="5"/>
  <c r="G10" i="5"/>
  <c r="F10" i="5"/>
  <c r="E10" i="5"/>
  <c r="D10" i="5"/>
  <c r="V9" i="5"/>
  <c r="U9" i="5"/>
  <c r="T9" i="5"/>
  <c r="S9" i="5"/>
  <c r="R9" i="5"/>
  <c r="Q9" i="5"/>
  <c r="P9" i="5"/>
  <c r="O9" i="5"/>
  <c r="N9" i="5"/>
  <c r="M9" i="5"/>
  <c r="L9" i="5"/>
  <c r="K9" i="5"/>
  <c r="I9" i="5"/>
  <c r="H9" i="5"/>
  <c r="G9" i="5"/>
  <c r="F9" i="5"/>
  <c r="E9" i="5"/>
  <c r="D9" i="5"/>
  <c r="V8" i="5"/>
  <c r="U8" i="5"/>
  <c r="T8" i="5"/>
  <c r="S8" i="5"/>
  <c r="R8" i="5"/>
  <c r="Q8" i="5"/>
  <c r="P8" i="5"/>
  <c r="O8" i="5"/>
  <c r="N8" i="5"/>
  <c r="M8" i="5"/>
  <c r="L8" i="5"/>
  <c r="K8" i="5"/>
  <c r="I8" i="5"/>
  <c r="H8" i="5"/>
  <c r="G8" i="5"/>
  <c r="F8" i="5"/>
  <c r="E8" i="5"/>
  <c r="D8" i="5"/>
  <c r="V7" i="5"/>
  <c r="U7" i="5"/>
  <c r="T7" i="5"/>
  <c r="S7" i="5"/>
  <c r="R7" i="5"/>
  <c r="Q7" i="5"/>
  <c r="P7" i="5"/>
  <c r="O7" i="5"/>
  <c r="N7" i="5"/>
  <c r="M7" i="5"/>
  <c r="L7" i="5"/>
  <c r="K7" i="5"/>
  <c r="I7" i="5"/>
  <c r="H7" i="5"/>
  <c r="G7" i="5"/>
  <c r="F7" i="5"/>
  <c r="E7" i="5"/>
  <c r="D7" i="5"/>
  <c r="V6" i="5"/>
  <c r="U6" i="5"/>
  <c r="T6" i="5"/>
  <c r="S6" i="5"/>
  <c r="R6" i="5"/>
  <c r="Q6" i="5"/>
  <c r="P6" i="5"/>
  <c r="O6" i="5"/>
  <c r="N6" i="5"/>
  <c r="M6" i="5"/>
  <c r="L6" i="5"/>
  <c r="K6" i="5"/>
  <c r="I6" i="5"/>
  <c r="H6" i="5"/>
  <c r="G6" i="5"/>
  <c r="F6" i="5"/>
  <c r="E6" i="5"/>
  <c r="D6" i="5"/>
  <c r="V5" i="5"/>
  <c r="U5" i="5"/>
  <c r="T5" i="5"/>
  <c r="S5" i="5"/>
  <c r="R5" i="5"/>
  <c r="Q5" i="5"/>
  <c r="P5" i="5"/>
  <c r="O5" i="5"/>
  <c r="N5" i="5"/>
  <c r="M5" i="5"/>
  <c r="L5" i="5"/>
  <c r="K5" i="5"/>
  <c r="I5" i="5"/>
  <c r="H5" i="5"/>
  <c r="G5" i="5"/>
  <c r="F5" i="5"/>
  <c r="E5" i="5"/>
  <c r="D5" i="5"/>
  <c r="V4" i="5"/>
  <c r="U4" i="5"/>
  <c r="T4" i="5"/>
  <c r="S4" i="5"/>
  <c r="R4" i="5"/>
  <c r="Q4" i="5"/>
  <c r="P4" i="5"/>
  <c r="O4" i="5"/>
  <c r="N4" i="5"/>
  <c r="M4" i="5"/>
  <c r="L4" i="5"/>
  <c r="K4" i="5"/>
  <c r="I4" i="5"/>
  <c r="H4" i="5"/>
  <c r="G4" i="5"/>
  <c r="F4" i="5"/>
  <c r="E4" i="5"/>
  <c r="D4" i="5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W13" i="1"/>
  <c r="W14" i="1"/>
  <c r="W15" i="1"/>
  <c r="W16" i="1"/>
  <c r="W17" i="1"/>
  <c r="W18" i="1"/>
  <c r="W5" i="1"/>
  <c r="W6" i="1"/>
  <c r="W7" i="1"/>
  <c r="W8" i="1"/>
  <c r="W9" i="1"/>
  <c r="W10" i="1"/>
  <c r="W11" i="1"/>
  <c r="W12" i="1"/>
  <c r="W27" i="1"/>
  <c r="W28" i="1"/>
  <c r="W29" i="1"/>
  <c r="W30" i="1"/>
  <c r="N5" i="1"/>
  <c r="S5" i="1" s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E2" i="5"/>
  <c r="F2" i="5"/>
  <c r="G2" i="5"/>
  <c r="H2" i="5"/>
  <c r="I2" i="5"/>
  <c r="J2" i="5"/>
  <c r="K2" i="5"/>
  <c r="L2" i="5"/>
  <c r="M2" i="5"/>
  <c r="N2" i="5"/>
  <c r="O2" i="5"/>
  <c r="P2" i="5"/>
  <c r="Q2" i="5"/>
  <c r="R2" i="5"/>
  <c r="S2" i="5"/>
  <c r="T2" i="5"/>
  <c r="U2" i="5"/>
  <c r="V2" i="5"/>
  <c r="D2" i="5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S2" i="4"/>
  <c r="T2" i="4"/>
  <c r="U2" i="4"/>
  <c r="V2" i="4"/>
  <c r="D2" i="4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E2" i="3"/>
  <c r="F2" i="3"/>
  <c r="G2" i="3"/>
  <c r="H2" i="3"/>
  <c r="I2" i="3"/>
  <c r="J2" i="3"/>
  <c r="K2" i="3"/>
  <c r="L2" i="3"/>
  <c r="M2" i="3"/>
  <c r="N2" i="3"/>
  <c r="O2" i="3"/>
  <c r="P2" i="3"/>
  <c r="Q2" i="3"/>
  <c r="R2" i="3"/>
  <c r="S2" i="3"/>
  <c r="T2" i="3"/>
  <c r="U2" i="3"/>
  <c r="V2" i="3"/>
  <c r="D2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W22" i="1" l="1"/>
  <c r="W21" i="1"/>
  <c r="W20" i="1"/>
  <c r="W19" i="1"/>
  <c r="W26" i="1"/>
  <c r="W25" i="1"/>
  <c r="W24" i="1"/>
  <c r="W23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AR22" i="6"/>
  <c r="AQ21" i="6"/>
  <c r="AP20" i="6"/>
  <c r="AO19" i="6"/>
  <c r="AN18" i="6"/>
  <c r="AM17" i="6"/>
  <c r="AL16" i="6"/>
  <c r="AK15" i="6"/>
  <c r="AJ14" i="6"/>
  <c r="AI13" i="6"/>
  <c r="AH12" i="6"/>
  <c r="AG11" i="6"/>
  <c r="AF10" i="6"/>
  <c r="AE9" i="6"/>
  <c r="AD8" i="6"/>
  <c r="AC7" i="6"/>
  <c r="AB6" i="6"/>
  <c r="AA5" i="6"/>
  <c r="Z4" i="6"/>
  <c r="Z13" i="4" l="1"/>
  <c r="Z14" i="4"/>
  <c r="V22" i="3"/>
  <c r="U22" i="3"/>
  <c r="T22" i="3"/>
  <c r="S22" i="3"/>
  <c r="R22" i="3"/>
  <c r="Q22" i="3"/>
  <c r="P22" i="3"/>
  <c r="O22" i="3"/>
  <c r="N22" i="3"/>
  <c r="M22" i="3"/>
  <c r="L22" i="3"/>
  <c r="K22" i="3"/>
  <c r="J22" i="3"/>
  <c r="I22" i="3"/>
  <c r="H22" i="3"/>
  <c r="G22" i="3"/>
  <c r="F22" i="3"/>
  <c r="E22" i="3"/>
  <c r="D22" i="3"/>
  <c r="V21" i="3"/>
  <c r="V21" i="4" s="1"/>
  <c r="U21" i="3"/>
  <c r="T21" i="3"/>
  <c r="S21" i="3"/>
  <c r="R21" i="3"/>
  <c r="R21" i="4" s="1"/>
  <c r="Q21" i="3"/>
  <c r="P21" i="3"/>
  <c r="O21" i="3"/>
  <c r="O21" i="4" s="1"/>
  <c r="N21" i="3"/>
  <c r="N21" i="4" s="1"/>
  <c r="M21" i="3"/>
  <c r="L21" i="3"/>
  <c r="K21" i="3"/>
  <c r="J21" i="3"/>
  <c r="I21" i="3"/>
  <c r="H21" i="3"/>
  <c r="G21" i="3"/>
  <c r="F21" i="3"/>
  <c r="E21" i="3"/>
  <c r="D21" i="3"/>
  <c r="V20" i="3"/>
  <c r="V20" i="4" s="1"/>
  <c r="U20" i="3"/>
  <c r="U20" i="4" s="1"/>
  <c r="T20" i="3"/>
  <c r="T20" i="4" s="1"/>
  <c r="S20" i="3"/>
  <c r="S20" i="4" s="1"/>
  <c r="R20" i="3"/>
  <c r="Q20" i="3"/>
  <c r="P20" i="3"/>
  <c r="O20" i="3"/>
  <c r="N20" i="3"/>
  <c r="M20" i="3"/>
  <c r="M20" i="4" s="1"/>
  <c r="L20" i="3"/>
  <c r="L20" i="4" s="1"/>
  <c r="K20" i="3"/>
  <c r="K20" i="4" s="1"/>
  <c r="J20" i="3"/>
  <c r="J20" i="4" s="1"/>
  <c r="I20" i="3"/>
  <c r="H20" i="3"/>
  <c r="G20" i="3"/>
  <c r="F20" i="3"/>
  <c r="E20" i="3"/>
  <c r="D20" i="3"/>
  <c r="V19" i="3"/>
  <c r="V19" i="4" s="1"/>
  <c r="U19" i="3"/>
  <c r="T19" i="3"/>
  <c r="S19" i="3"/>
  <c r="R19" i="3"/>
  <c r="Q19" i="3"/>
  <c r="P19" i="3"/>
  <c r="O19" i="3"/>
  <c r="O19" i="4" s="1"/>
  <c r="N19" i="3"/>
  <c r="M19" i="3"/>
  <c r="L19" i="3"/>
  <c r="K19" i="3"/>
  <c r="J19" i="3"/>
  <c r="J19" i="4" s="1"/>
  <c r="I19" i="3"/>
  <c r="H19" i="3"/>
  <c r="G19" i="3"/>
  <c r="F19" i="3"/>
  <c r="E19" i="3"/>
  <c r="D19" i="3"/>
  <c r="V18" i="3"/>
  <c r="U18" i="3"/>
  <c r="U18" i="4" s="1"/>
  <c r="T18" i="3"/>
  <c r="T18" i="4" s="1"/>
  <c r="S18" i="3"/>
  <c r="R18" i="3"/>
  <c r="Q18" i="3"/>
  <c r="P18" i="3"/>
  <c r="O18" i="3"/>
  <c r="N18" i="3"/>
  <c r="M18" i="3"/>
  <c r="L18" i="3"/>
  <c r="K18" i="3"/>
  <c r="J18" i="3"/>
  <c r="I18" i="3"/>
  <c r="H18" i="3"/>
  <c r="G18" i="3"/>
  <c r="F18" i="3"/>
  <c r="E18" i="3"/>
  <c r="D18" i="3"/>
  <c r="V17" i="3"/>
  <c r="U17" i="3"/>
  <c r="U17" i="4" s="1"/>
  <c r="T17" i="3"/>
  <c r="T17" i="4" s="1"/>
  <c r="S17" i="3"/>
  <c r="R17" i="3"/>
  <c r="Q17" i="3"/>
  <c r="P17" i="3"/>
  <c r="O17" i="3"/>
  <c r="N17" i="3"/>
  <c r="M17" i="3"/>
  <c r="L17" i="3"/>
  <c r="K17" i="3"/>
  <c r="J17" i="3"/>
  <c r="I17" i="3"/>
  <c r="H17" i="3"/>
  <c r="G17" i="3"/>
  <c r="F17" i="3"/>
  <c r="E17" i="3"/>
  <c r="D17" i="3"/>
  <c r="V16" i="3"/>
  <c r="U16" i="3"/>
  <c r="T16" i="3"/>
  <c r="T16" i="4" s="1"/>
  <c r="S16" i="3"/>
  <c r="R16" i="3"/>
  <c r="Q16" i="3"/>
  <c r="P16" i="3"/>
  <c r="O16" i="3"/>
  <c r="N16" i="3"/>
  <c r="M16" i="3"/>
  <c r="L16" i="3"/>
  <c r="K16" i="3"/>
  <c r="J16" i="3"/>
  <c r="I16" i="3"/>
  <c r="H16" i="3"/>
  <c r="G16" i="3"/>
  <c r="F16" i="3"/>
  <c r="E16" i="3"/>
  <c r="D16" i="3"/>
  <c r="V15" i="3"/>
  <c r="U15" i="3"/>
  <c r="U15" i="4" s="1"/>
  <c r="T15" i="3"/>
  <c r="S15" i="3"/>
  <c r="S15" i="4" s="1"/>
  <c r="R15" i="3"/>
  <c r="Q15" i="3"/>
  <c r="P15" i="3"/>
  <c r="O15" i="3"/>
  <c r="N15" i="3"/>
  <c r="M15" i="3"/>
  <c r="L15" i="3"/>
  <c r="K15" i="3"/>
  <c r="J15" i="3"/>
  <c r="I15" i="3"/>
  <c r="H15" i="3"/>
  <c r="G15" i="3"/>
  <c r="F15" i="3"/>
  <c r="E15" i="3"/>
  <c r="D15" i="3"/>
  <c r="V14" i="3"/>
  <c r="U14" i="3"/>
  <c r="U14" i="4" s="1"/>
  <c r="T14" i="3"/>
  <c r="T14" i="4" s="1"/>
  <c r="S14" i="3"/>
  <c r="R14" i="3"/>
  <c r="Q14" i="3"/>
  <c r="P14" i="3"/>
  <c r="O14" i="3"/>
  <c r="N14" i="3"/>
  <c r="M14" i="3"/>
  <c r="L14" i="3"/>
  <c r="K14" i="3"/>
  <c r="J14" i="3"/>
  <c r="I14" i="3"/>
  <c r="H14" i="3"/>
  <c r="G14" i="3"/>
  <c r="F14" i="3"/>
  <c r="E14" i="3"/>
  <c r="D14" i="3"/>
  <c r="V13" i="3"/>
  <c r="U13" i="3"/>
  <c r="T13" i="3"/>
  <c r="T13" i="4" s="1"/>
  <c r="S13" i="3"/>
  <c r="R13" i="3"/>
  <c r="Q13" i="3"/>
  <c r="P13" i="3"/>
  <c r="O13" i="3"/>
  <c r="N13" i="3"/>
  <c r="M13" i="3"/>
  <c r="L13" i="3"/>
  <c r="K13" i="3"/>
  <c r="J13" i="3"/>
  <c r="I13" i="3"/>
  <c r="H13" i="3"/>
  <c r="G13" i="3"/>
  <c r="F13" i="3"/>
  <c r="E13" i="3"/>
  <c r="D13" i="3"/>
  <c r="V12" i="3"/>
  <c r="V12" i="4" s="1"/>
  <c r="U12" i="3"/>
  <c r="U12" i="4" s="1"/>
  <c r="T12" i="3"/>
  <c r="T12" i="4" s="1"/>
  <c r="S12" i="3"/>
  <c r="R12" i="3"/>
  <c r="Q12" i="3"/>
  <c r="P12" i="3"/>
  <c r="O12" i="3"/>
  <c r="N12" i="3"/>
  <c r="M12" i="3"/>
  <c r="L12" i="3"/>
  <c r="K12" i="3"/>
  <c r="J12" i="3"/>
  <c r="I12" i="3"/>
  <c r="H12" i="3"/>
  <c r="G12" i="3"/>
  <c r="F12" i="3"/>
  <c r="E12" i="3"/>
  <c r="D12" i="3"/>
  <c r="V11" i="3"/>
  <c r="V11" i="4" s="1"/>
  <c r="U11" i="3"/>
  <c r="T11" i="3"/>
  <c r="T11" i="4" s="1"/>
  <c r="S11" i="3"/>
  <c r="S11" i="4" s="1"/>
  <c r="R11" i="3"/>
  <c r="Q11" i="3"/>
  <c r="P11" i="3"/>
  <c r="O11" i="3"/>
  <c r="N11" i="3"/>
  <c r="M11" i="3"/>
  <c r="L11" i="3"/>
  <c r="K11" i="3"/>
  <c r="J11" i="3"/>
  <c r="I11" i="3"/>
  <c r="I11" i="4" s="1"/>
  <c r="H11" i="3"/>
  <c r="H11" i="4" s="1"/>
  <c r="G11" i="3"/>
  <c r="G11" i="4" s="1"/>
  <c r="F11" i="3"/>
  <c r="E11" i="3"/>
  <c r="D11" i="3"/>
  <c r="V10" i="3"/>
  <c r="V10" i="4" s="1"/>
  <c r="U10" i="3"/>
  <c r="T10" i="3"/>
  <c r="S10" i="3"/>
  <c r="R10" i="3"/>
  <c r="R10" i="4" s="1"/>
  <c r="Q10" i="3"/>
  <c r="P10" i="3"/>
  <c r="O10" i="3"/>
  <c r="N10" i="3"/>
  <c r="M10" i="3"/>
  <c r="M10" i="4" s="1"/>
  <c r="L10" i="3"/>
  <c r="K10" i="3"/>
  <c r="K10" i="4" s="1"/>
  <c r="J10" i="3"/>
  <c r="I10" i="3"/>
  <c r="H10" i="3"/>
  <c r="G10" i="3"/>
  <c r="F10" i="3"/>
  <c r="E10" i="3"/>
  <c r="D10" i="3"/>
  <c r="V9" i="3"/>
  <c r="U9" i="3"/>
  <c r="T9" i="3"/>
  <c r="S9" i="3"/>
  <c r="R9" i="3"/>
  <c r="R9" i="4" s="1"/>
  <c r="Q9" i="3"/>
  <c r="Q9" i="4" s="1"/>
  <c r="P9" i="3"/>
  <c r="O9" i="3"/>
  <c r="N9" i="3"/>
  <c r="N9" i="4" s="1"/>
  <c r="M9" i="3"/>
  <c r="L9" i="3"/>
  <c r="L9" i="4" s="1"/>
  <c r="K9" i="3"/>
  <c r="J9" i="3"/>
  <c r="I9" i="3"/>
  <c r="H9" i="3"/>
  <c r="G9" i="3"/>
  <c r="F9" i="3"/>
  <c r="E9" i="3"/>
  <c r="E9" i="4" s="1"/>
  <c r="D9" i="3"/>
  <c r="V8" i="3"/>
  <c r="U8" i="3"/>
  <c r="T8" i="3"/>
  <c r="S8" i="3"/>
  <c r="R8" i="3"/>
  <c r="Q8" i="3"/>
  <c r="P8" i="3"/>
  <c r="O8" i="3"/>
  <c r="O8" i="4" s="1"/>
  <c r="N8" i="3"/>
  <c r="N8" i="4" s="1"/>
  <c r="M8" i="3"/>
  <c r="L8" i="3"/>
  <c r="K8" i="3"/>
  <c r="J8" i="3"/>
  <c r="J8" i="4" s="1"/>
  <c r="I8" i="3"/>
  <c r="H8" i="3"/>
  <c r="G8" i="3"/>
  <c r="F8" i="3"/>
  <c r="E8" i="3"/>
  <c r="D8" i="3"/>
  <c r="V7" i="3"/>
  <c r="U7" i="3"/>
  <c r="T7" i="3"/>
  <c r="S7" i="3"/>
  <c r="R7" i="3"/>
  <c r="Q7" i="3"/>
  <c r="P7" i="3"/>
  <c r="P7" i="4" s="1"/>
  <c r="O7" i="3"/>
  <c r="O7" i="4" s="1"/>
  <c r="N7" i="3"/>
  <c r="N7" i="4" s="1"/>
  <c r="M7" i="3"/>
  <c r="M7" i="4" s="1"/>
  <c r="L7" i="3"/>
  <c r="K7" i="3"/>
  <c r="J7" i="3"/>
  <c r="I7" i="3"/>
  <c r="H7" i="3"/>
  <c r="G7" i="3"/>
  <c r="F7" i="3"/>
  <c r="F7" i="4" s="1"/>
  <c r="E7" i="3"/>
  <c r="D7" i="3"/>
  <c r="V6" i="3"/>
  <c r="U6" i="3"/>
  <c r="T6" i="3"/>
  <c r="S6" i="3"/>
  <c r="R6" i="3"/>
  <c r="R6" i="4" s="1"/>
  <c r="Q6" i="3"/>
  <c r="P6" i="3"/>
  <c r="P6" i="4" s="1"/>
  <c r="O6" i="3"/>
  <c r="N6" i="3"/>
  <c r="M6" i="3"/>
  <c r="L6" i="3"/>
  <c r="L6" i="4" s="1"/>
  <c r="K6" i="3"/>
  <c r="K6" i="4" s="1"/>
  <c r="J6" i="3"/>
  <c r="J6" i="4" s="1"/>
  <c r="I6" i="3"/>
  <c r="H6" i="3"/>
  <c r="G6" i="3"/>
  <c r="F6" i="3"/>
  <c r="E6" i="3"/>
  <c r="D6" i="3"/>
  <c r="V5" i="3"/>
  <c r="U5" i="3"/>
  <c r="T5" i="3"/>
  <c r="S5" i="3"/>
  <c r="R5" i="3"/>
  <c r="Q5" i="3"/>
  <c r="P5" i="3"/>
  <c r="O5" i="3"/>
  <c r="N5" i="3"/>
  <c r="M5" i="3"/>
  <c r="L5" i="3"/>
  <c r="L5" i="4" s="1"/>
  <c r="K5" i="3"/>
  <c r="K5" i="4" s="1"/>
  <c r="J5" i="3"/>
  <c r="J5" i="4" s="1"/>
  <c r="I5" i="3"/>
  <c r="H5" i="3"/>
  <c r="G5" i="3"/>
  <c r="F5" i="3"/>
  <c r="E5" i="3"/>
  <c r="D5" i="3"/>
  <c r="V4" i="3"/>
  <c r="U4" i="3"/>
  <c r="T4" i="3"/>
  <c r="S4" i="3"/>
  <c r="R4" i="3"/>
  <c r="R4" i="4" s="1"/>
  <c r="Q4" i="3"/>
  <c r="P4" i="3"/>
  <c r="O4" i="3"/>
  <c r="N4" i="3"/>
  <c r="M4" i="3"/>
  <c r="M4" i="4" s="1"/>
  <c r="L4" i="3"/>
  <c r="L4" i="4" s="1"/>
  <c r="K4" i="3"/>
  <c r="K4" i="4" s="1"/>
  <c r="J4" i="3"/>
  <c r="J4" i="4" s="1"/>
  <c r="I4" i="3"/>
  <c r="H4" i="3"/>
  <c r="G4" i="3"/>
  <c r="F4" i="3"/>
  <c r="E4" i="3"/>
  <c r="D4" i="3"/>
  <c r="K16" i="4" l="1"/>
  <c r="P10" i="4"/>
  <c r="U4" i="4"/>
  <c r="M16" i="4"/>
  <c r="P9" i="4"/>
  <c r="R17" i="4"/>
  <c r="K7" i="4"/>
  <c r="S17" i="4"/>
  <c r="S17" i="6" s="1"/>
  <c r="AO17" i="6" s="1"/>
  <c r="Q16" i="4"/>
  <c r="Q16" i="6" s="1"/>
  <c r="AM16" i="6" s="1"/>
  <c r="G5" i="4"/>
  <c r="G5" i="6" s="1"/>
  <c r="AC5" i="6" s="1"/>
  <c r="P15" i="4"/>
  <c r="P15" i="6" s="1"/>
  <c r="AL15" i="6" s="1"/>
  <c r="F4" i="4"/>
  <c r="H12" i="4"/>
  <c r="G19" i="4"/>
  <c r="M21" i="4"/>
  <c r="P22" i="6"/>
  <c r="AL22" i="6" s="1"/>
  <c r="P22" i="4"/>
  <c r="G4" i="4"/>
  <c r="G4" i="6" s="1"/>
  <c r="AC4" i="6" s="1"/>
  <c r="M6" i="4"/>
  <c r="M6" i="6" s="1"/>
  <c r="AI6" i="6" s="1"/>
  <c r="S8" i="4"/>
  <c r="S8" i="6" s="1"/>
  <c r="AO8" i="6" s="1"/>
  <c r="V9" i="4"/>
  <c r="V9" i="6" s="1"/>
  <c r="AR9" i="6" s="1"/>
  <c r="F11" i="4"/>
  <c r="F11" i="6" s="1"/>
  <c r="AB11" i="6" s="1"/>
  <c r="I12" i="4"/>
  <c r="I12" i="6" s="1"/>
  <c r="AE12" i="6" s="1"/>
  <c r="L13" i="4"/>
  <c r="O14" i="4"/>
  <c r="R15" i="4"/>
  <c r="U16" i="4"/>
  <c r="E18" i="4"/>
  <c r="H19" i="4"/>
  <c r="H19" i="6" s="1"/>
  <c r="AD19" i="6" s="1"/>
  <c r="Q22" i="4"/>
  <c r="O10" i="4"/>
  <c r="T4" i="4"/>
  <c r="T4" i="6" s="1"/>
  <c r="AP4" i="6" s="1"/>
  <c r="O17" i="4"/>
  <c r="O17" i="6" s="1"/>
  <c r="AK17" i="6" s="1"/>
  <c r="Q10" i="4"/>
  <c r="Q10" i="6" s="1"/>
  <c r="AM10" i="6" s="1"/>
  <c r="V4" i="4"/>
  <c r="K15" i="4"/>
  <c r="M8" i="4"/>
  <c r="L15" i="4"/>
  <c r="I21" i="4"/>
  <c r="H13" i="4"/>
  <c r="H13" i="6" s="1"/>
  <c r="AD13" i="6" s="1"/>
  <c r="Q8" i="4"/>
  <c r="V17" i="4"/>
  <c r="V17" i="6" s="1"/>
  <c r="AR17" i="6" s="1"/>
  <c r="R8" i="4"/>
  <c r="R8" i="6" s="1"/>
  <c r="AN8" i="6" s="1"/>
  <c r="D18" i="4"/>
  <c r="D18" i="6" s="1"/>
  <c r="Z18" i="6" s="1"/>
  <c r="N6" i="4"/>
  <c r="N6" i="6" s="1"/>
  <c r="AJ6" i="6" s="1"/>
  <c r="Q7" i="4"/>
  <c r="T8" i="4"/>
  <c r="D10" i="4"/>
  <c r="J12" i="4"/>
  <c r="M13" i="4"/>
  <c r="P14" i="4"/>
  <c r="V16" i="4"/>
  <c r="V16" i="6" s="1"/>
  <c r="AR16" i="6" s="1"/>
  <c r="F18" i="4"/>
  <c r="I19" i="4"/>
  <c r="I19" i="6" s="1"/>
  <c r="AE19" i="6" s="1"/>
  <c r="R22" i="4"/>
  <c r="R22" i="6" s="1"/>
  <c r="AN22" i="6" s="1"/>
  <c r="R11" i="4"/>
  <c r="R11" i="6" s="1"/>
  <c r="AN11" i="6" s="1"/>
  <c r="R18" i="4"/>
  <c r="J15" i="4"/>
  <c r="L8" i="4"/>
  <c r="Q17" i="4"/>
  <c r="K22" i="4"/>
  <c r="J14" i="4"/>
  <c r="J14" i="6" s="1"/>
  <c r="AF14" i="6" s="1"/>
  <c r="L7" i="4"/>
  <c r="L7" i="6" s="1"/>
  <c r="AH7" i="6" s="1"/>
  <c r="D19" i="4"/>
  <c r="D19" i="6" s="1"/>
  <c r="Z19" i="6" s="1"/>
  <c r="S9" i="4"/>
  <c r="S9" i="6" s="1"/>
  <c r="AO9" i="6" s="1"/>
  <c r="E19" i="4"/>
  <c r="E19" i="6" s="1"/>
  <c r="AA19" i="6" s="1"/>
  <c r="T9" i="4"/>
  <c r="T9" i="6" s="1"/>
  <c r="AP9" i="6" s="1"/>
  <c r="L21" i="4"/>
  <c r="E11" i="4"/>
  <c r="H4" i="4"/>
  <c r="H4" i="6" s="1"/>
  <c r="AD4" i="6" s="1"/>
  <c r="I4" i="4"/>
  <c r="O6" i="6"/>
  <c r="AK6" i="6" s="1"/>
  <c r="O6" i="4"/>
  <c r="R7" i="4"/>
  <c r="R7" i="6" s="1"/>
  <c r="AN7" i="6" s="1"/>
  <c r="U8" i="4"/>
  <c r="U8" i="6" s="1"/>
  <c r="AQ8" i="6" s="1"/>
  <c r="E10" i="4"/>
  <c r="E10" i="6" s="1"/>
  <c r="AA10" i="6" s="1"/>
  <c r="K12" i="4"/>
  <c r="K12" i="6" s="1"/>
  <c r="AG12" i="6" s="1"/>
  <c r="N13" i="4"/>
  <c r="N13" i="6" s="1"/>
  <c r="AJ13" i="6" s="1"/>
  <c r="Q14" i="4"/>
  <c r="Q14" i="6" s="1"/>
  <c r="AM14" i="6" s="1"/>
  <c r="T15" i="4"/>
  <c r="D17" i="4"/>
  <c r="G18" i="4"/>
  <c r="P21" i="4"/>
  <c r="S22" i="6"/>
  <c r="AO22" i="6" s="1"/>
  <c r="S22" i="4"/>
  <c r="V5" i="4"/>
  <c r="V5" i="6" s="1"/>
  <c r="AR5" i="6" s="1"/>
  <c r="S4" i="4"/>
  <c r="S4" i="6" s="1"/>
  <c r="AO4" i="6" s="1"/>
  <c r="Q18" i="4"/>
  <c r="Q18" i="6" s="1"/>
  <c r="AM18" i="6" s="1"/>
  <c r="U11" i="4"/>
  <c r="U11" i="6" s="1"/>
  <c r="AQ11" i="6" s="1"/>
  <c r="J22" i="4"/>
  <c r="J22" i="6" s="1"/>
  <c r="AF22" i="6" s="1"/>
  <c r="I14" i="4"/>
  <c r="I14" i="6" s="1"/>
  <c r="AE14" i="6" s="1"/>
  <c r="H6" i="4"/>
  <c r="M15" i="4"/>
  <c r="I6" i="4"/>
  <c r="N15" i="4"/>
  <c r="D4" i="4"/>
  <c r="L14" i="4"/>
  <c r="L14" i="6" s="1"/>
  <c r="AH14" i="6" s="1"/>
  <c r="H5" i="4"/>
  <c r="J13" i="4"/>
  <c r="J13" i="6" s="1"/>
  <c r="AF13" i="6" s="1"/>
  <c r="I5" i="4"/>
  <c r="I5" i="6" s="1"/>
  <c r="AE5" i="6" s="1"/>
  <c r="N14" i="4"/>
  <c r="N14" i="6" s="1"/>
  <c r="E17" i="4"/>
  <c r="E17" i="6" s="1"/>
  <c r="AA17" i="6" s="1"/>
  <c r="Q21" i="4"/>
  <c r="Q6" i="4"/>
  <c r="D9" i="4"/>
  <c r="G10" i="4"/>
  <c r="J11" i="4"/>
  <c r="M12" i="4"/>
  <c r="M12" i="6" s="1"/>
  <c r="AI12" i="6" s="1"/>
  <c r="P13" i="4"/>
  <c r="P13" i="6" s="1"/>
  <c r="AL13" i="6" s="1"/>
  <c r="S14" i="4"/>
  <c r="S14" i="6" s="1"/>
  <c r="AO14" i="6" s="1"/>
  <c r="V15" i="4"/>
  <c r="V15" i="6" s="1"/>
  <c r="AR15" i="6" s="1"/>
  <c r="F17" i="4"/>
  <c r="F17" i="6" s="1"/>
  <c r="AB17" i="6" s="1"/>
  <c r="I18" i="4"/>
  <c r="I18" i="6" s="1"/>
  <c r="AE18" i="6" s="1"/>
  <c r="L19" i="4"/>
  <c r="O20" i="4"/>
  <c r="U22" i="4"/>
  <c r="D6" i="4"/>
  <c r="L16" i="4"/>
  <c r="H7" i="4"/>
  <c r="H7" i="6" s="1"/>
  <c r="AD7" i="6" s="1"/>
  <c r="S18" i="4"/>
  <c r="S18" i="6" s="1"/>
  <c r="AO18" i="6" s="1"/>
  <c r="D20" i="4"/>
  <c r="D20" i="6" s="1"/>
  <c r="Z20" i="6" s="1"/>
  <c r="S10" i="4"/>
  <c r="S10" i="6" s="1"/>
  <c r="AO10" i="6" s="1"/>
  <c r="H21" i="4"/>
  <c r="H21" i="6" s="1"/>
  <c r="AD21" i="6" s="1"/>
  <c r="T10" i="4"/>
  <c r="T10" i="6" s="1"/>
  <c r="AP10" i="6" s="1"/>
  <c r="V18" i="4"/>
  <c r="U10" i="4"/>
  <c r="G20" i="4"/>
  <c r="P8" i="4"/>
  <c r="O15" i="6"/>
  <c r="O15" i="4"/>
  <c r="E4" i="4"/>
  <c r="E4" i="6" s="1"/>
  <c r="AA4" i="6" s="1"/>
  <c r="G12" i="4"/>
  <c r="I20" i="4"/>
  <c r="I20" i="6" s="1"/>
  <c r="AE20" i="6" s="1"/>
  <c r="U9" i="4"/>
  <c r="U9" i="6" s="1"/>
  <c r="AQ9" i="6" s="1"/>
  <c r="F10" i="4"/>
  <c r="F10" i="6" s="1"/>
  <c r="AB10" i="6" s="1"/>
  <c r="N20" i="4"/>
  <c r="N20" i="6" s="1"/>
  <c r="AJ20" i="6" s="1"/>
  <c r="T7" i="4"/>
  <c r="O5" i="4"/>
  <c r="U7" i="4"/>
  <c r="H10" i="4"/>
  <c r="K11" i="4"/>
  <c r="N12" i="4"/>
  <c r="N12" i="6" s="1"/>
  <c r="AJ12" i="6" s="1"/>
  <c r="Q13" i="4"/>
  <c r="D16" i="4"/>
  <c r="D16" i="6" s="1"/>
  <c r="Z16" i="6" s="1"/>
  <c r="G17" i="4"/>
  <c r="G17" i="6" s="1"/>
  <c r="AC17" i="6" s="1"/>
  <c r="J18" i="4"/>
  <c r="J18" i="6" s="1"/>
  <c r="AF18" i="6" s="1"/>
  <c r="M19" i="4"/>
  <c r="M19" i="6" s="1"/>
  <c r="AI19" i="6" s="1"/>
  <c r="P20" i="4"/>
  <c r="S21" i="4"/>
  <c r="V22" i="4"/>
  <c r="E14" i="4"/>
  <c r="M9" i="4"/>
  <c r="E21" i="4"/>
  <c r="E21" i="6" s="1"/>
  <c r="AA21" i="6" s="1"/>
  <c r="G14" i="4"/>
  <c r="F6" i="4"/>
  <c r="E13" i="4"/>
  <c r="E13" i="6" s="1"/>
  <c r="AA13" i="6" s="1"/>
  <c r="D5" i="4"/>
  <c r="D5" i="6" s="1"/>
  <c r="Z5" i="6" s="1"/>
  <c r="F20" i="4"/>
  <c r="F20" i="6" s="1"/>
  <c r="AB20" i="6" s="1"/>
  <c r="E12" i="4"/>
  <c r="M22" i="4"/>
  <c r="I13" i="4"/>
  <c r="N22" i="4"/>
  <c r="M14" i="4"/>
  <c r="Q15" i="4"/>
  <c r="Q15" i="6" s="1"/>
  <c r="AM15" i="6" s="1"/>
  <c r="S7" i="4"/>
  <c r="L12" i="4"/>
  <c r="H18" i="4"/>
  <c r="H18" i="6" s="1"/>
  <c r="AD18" i="6" s="1"/>
  <c r="T22" i="4"/>
  <c r="T22" i="6" s="1"/>
  <c r="AP22" i="6" s="1"/>
  <c r="P5" i="4"/>
  <c r="P5" i="6" s="1"/>
  <c r="AL5" i="6" s="1"/>
  <c r="S6" i="4"/>
  <c r="V7" i="4"/>
  <c r="F9" i="4"/>
  <c r="I10" i="4"/>
  <c r="L11" i="4"/>
  <c r="O12" i="4"/>
  <c r="O12" i="6" s="1"/>
  <c r="AK12" i="6" s="1"/>
  <c r="R13" i="4"/>
  <c r="E16" i="4"/>
  <c r="E16" i="6" s="1"/>
  <c r="AA16" i="6" s="1"/>
  <c r="H17" i="4"/>
  <c r="H17" i="6" s="1"/>
  <c r="AD17" i="6" s="1"/>
  <c r="K18" i="4"/>
  <c r="K18" i="6" s="1"/>
  <c r="AG18" i="6" s="1"/>
  <c r="N19" i="4"/>
  <c r="N19" i="6" s="1"/>
  <c r="AJ19" i="6" s="1"/>
  <c r="Q20" i="4"/>
  <c r="T21" i="4"/>
  <c r="N17" i="4"/>
  <c r="N17" i="6" s="1"/>
  <c r="AJ17" i="6" s="1"/>
  <c r="E6" i="4"/>
  <c r="P17" i="6"/>
  <c r="AL17" i="6" s="1"/>
  <c r="P17" i="4"/>
  <c r="O9" i="4"/>
  <c r="O9" i="6" s="1"/>
  <c r="AK9" i="6" s="1"/>
  <c r="G21" i="4"/>
  <c r="G21" i="6" s="1"/>
  <c r="AC21" i="6" s="1"/>
  <c r="F13" i="4"/>
  <c r="F13" i="6" s="1"/>
  <c r="AB13" i="6" s="1"/>
  <c r="E5" i="4"/>
  <c r="E5" i="6" s="1"/>
  <c r="P16" i="4"/>
  <c r="P16" i="6" s="1"/>
  <c r="J21" i="4"/>
  <c r="J21" i="6" s="1"/>
  <c r="AF21" i="6" s="1"/>
  <c r="F12" i="4"/>
  <c r="K21" i="4"/>
  <c r="S16" i="4"/>
  <c r="V8" i="4"/>
  <c r="R14" i="4"/>
  <c r="K19" i="4"/>
  <c r="K19" i="6" s="1"/>
  <c r="AG19" i="6" s="1"/>
  <c r="N5" i="4"/>
  <c r="N4" i="4"/>
  <c r="N4" i="6" s="1"/>
  <c r="AJ4" i="6" s="1"/>
  <c r="Q5" i="4"/>
  <c r="Q5" i="6" s="1"/>
  <c r="AM5" i="6" s="1"/>
  <c r="T6" i="4"/>
  <c r="T6" i="6" s="1"/>
  <c r="AP6" i="6" s="1"/>
  <c r="D8" i="4"/>
  <c r="D8" i="6" s="1"/>
  <c r="Z8" i="6" s="1"/>
  <c r="G9" i="4"/>
  <c r="J10" i="4"/>
  <c r="M11" i="4"/>
  <c r="P12" i="4"/>
  <c r="P12" i="6" s="1"/>
  <c r="AL12" i="6" s="1"/>
  <c r="S13" i="4"/>
  <c r="V14" i="4"/>
  <c r="V14" i="6" s="1"/>
  <c r="AR14" i="6" s="1"/>
  <c r="F16" i="4"/>
  <c r="F16" i="6" s="1"/>
  <c r="AB16" i="6" s="1"/>
  <c r="I17" i="4"/>
  <c r="I17" i="6" s="1"/>
  <c r="AE17" i="6" s="1"/>
  <c r="L18" i="4"/>
  <c r="L18" i="6" s="1"/>
  <c r="AH18" i="6" s="1"/>
  <c r="R20" i="4"/>
  <c r="R20" i="6" s="1"/>
  <c r="AN20" i="6" s="1"/>
  <c r="U21" i="4"/>
  <c r="U21" i="6" s="1"/>
  <c r="D21" i="4"/>
  <c r="I15" i="4"/>
  <c r="I7" i="4"/>
  <c r="I7" i="6" s="1"/>
  <c r="AE7" i="6" s="1"/>
  <c r="N16" i="4"/>
  <c r="G6" i="4"/>
  <c r="E20" i="4"/>
  <c r="E20" i="6" s="1"/>
  <c r="AA20" i="6" s="1"/>
  <c r="G13" i="4"/>
  <c r="G13" i="6" s="1"/>
  <c r="AC13" i="6" s="1"/>
  <c r="F5" i="4"/>
  <c r="F5" i="6" s="1"/>
  <c r="AB5" i="6" s="1"/>
  <c r="H20" i="4"/>
  <c r="H20" i="6" s="1"/>
  <c r="AD20" i="6" s="1"/>
  <c r="D11" i="4"/>
  <c r="D11" i="6" s="1"/>
  <c r="Z11" i="6" s="1"/>
  <c r="O22" i="4"/>
  <c r="O22" i="6" s="1"/>
  <c r="AK22" i="6" s="1"/>
  <c r="K13" i="4"/>
  <c r="M5" i="4"/>
  <c r="O13" i="4"/>
  <c r="O4" i="4"/>
  <c r="R5" i="4"/>
  <c r="U6" i="4"/>
  <c r="U6" i="6" s="1"/>
  <c r="AQ6" i="6" s="1"/>
  <c r="E8" i="4"/>
  <c r="E8" i="6" s="1"/>
  <c r="AA8" i="6" s="1"/>
  <c r="H9" i="4"/>
  <c r="H9" i="6" s="1"/>
  <c r="AD9" i="6" s="1"/>
  <c r="N11" i="4"/>
  <c r="N11" i="6" s="1"/>
  <c r="AJ11" i="6" s="1"/>
  <c r="Q12" i="4"/>
  <c r="Q12" i="6" s="1"/>
  <c r="AM12" i="6" s="1"/>
  <c r="D15" i="4"/>
  <c r="D15" i="6" s="1"/>
  <c r="Z15" i="6" s="1"/>
  <c r="G16" i="6"/>
  <c r="AC16" i="6" s="1"/>
  <c r="G16" i="4"/>
  <c r="J17" i="4"/>
  <c r="M18" i="4"/>
  <c r="P19" i="4"/>
  <c r="I8" i="6"/>
  <c r="AE8" i="6" s="1"/>
  <c r="I8" i="4"/>
  <c r="T19" i="4"/>
  <c r="T19" i="6" s="1"/>
  <c r="AP19" i="6" s="1"/>
  <c r="F14" i="4"/>
  <c r="F14" i="6" s="1"/>
  <c r="AB14" i="6" s="1"/>
  <c r="K8" i="4"/>
  <c r="F21" i="4"/>
  <c r="F21" i="6" s="1"/>
  <c r="AB21" i="6" s="1"/>
  <c r="H14" i="4"/>
  <c r="H14" i="6" s="1"/>
  <c r="AD14" i="6" s="1"/>
  <c r="J7" i="4"/>
  <c r="J7" i="6" s="1"/>
  <c r="AF7" i="6" s="1"/>
  <c r="O16" i="6"/>
  <c r="AK16" i="6" s="1"/>
  <c r="O16" i="4"/>
  <c r="D12" i="4"/>
  <c r="L22" i="4"/>
  <c r="L22" i="6" s="1"/>
  <c r="AH22" i="6" s="1"/>
  <c r="K14" i="4"/>
  <c r="R16" i="4"/>
  <c r="F19" i="4"/>
  <c r="F19" i="6" s="1"/>
  <c r="AB19" i="6" s="1"/>
  <c r="P4" i="4"/>
  <c r="S5" i="4"/>
  <c r="S5" i="6" s="1"/>
  <c r="AO5" i="6" s="1"/>
  <c r="V6" i="4"/>
  <c r="V6" i="6" s="1"/>
  <c r="AR6" i="6" s="1"/>
  <c r="F8" i="4"/>
  <c r="F8" i="6" s="1"/>
  <c r="AB8" i="6" s="1"/>
  <c r="I9" i="4"/>
  <c r="I9" i="6" s="1"/>
  <c r="L10" i="6"/>
  <c r="AH10" i="6" s="1"/>
  <c r="L10" i="4"/>
  <c r="O11" i="4"/>
  <c r="R12" i="4"/>
  <c r="U13" i="4"/>
  <c r="E15" i="4"/>
  <c r="H16" i="4"/>
  <c r="H16" i="6" s="1"/>
  <c r="AD16" i="6" s="1"/>
  <c r="K17" i="4"/>
  <c r="K17" i="6" s="1"/>
  <c r="AG17" i="6" s="1"/>
  <c r="N18" i="4"/>
  <c r="N18" i="6" s="1"/>
  <c r="AJ18" i="6" s="1"/>
  <c r="Q19" i="4"/>
  <c r="Q19" i="6" s="1"/>
  <c r="AM19" i="6" s="1"/>
  <c r="D22" i="4"/>
  <c r="D22" i="6" s="1"/>
  <c r="Z22" i="6" s="1"/>
  <c r="E22" i="4"/>
  <c r="E22" i="6" s="1"/>
  <c r="AA22" i="6" s="1"/>
  <c r="H15" i="6"/>
  <c r="AD15" i="6" s="1"/>
  <c r="H15" i="4"/>
  <c r="G7" i="4"/>
  <c r="G7" i="6" s="1"/>
  <c r="U19" i="4"/>
  <c r="U19" i="6" s="1"/>
  <c r="AQ19" i="6" s="1"/>
  <c r="D13" i="4"/>
  <c r="D13" i="6" s="1"/>
  <c r="Z13" i="6" s="1"/>
  <c r="Q4" i="4"/>
  <c r="T5" i="4"/>
  <c r="T5" i="6" s="1"/>
  <c r="AP5" i="6" s="1"/>
  <c r="D7" i="4"/>
  <c r="G8" i="4"/>
  <c r="G8" i="6" s="1"/>
  <c r="AC8" i="6" s="1"/>
  <c r="J9" i="4"/>
  <c r="J9" i="6" s="1"/>
  <c r="AF9" i="6" s="1"/>
  <c r="P11" i="4"/>
  <c r="P11" i="6" s="1"/>
  <c r="AL11" i="6" s="1"/>
  <c r="S12" i="4"/>
  <c r="S12" i="6" s="1"/>
  <c r="AO12" i="6" s="1"/>
  <c r="V13" i="6"/>
  <c r="AR13" i="6" s="1"/>
  <c r="V13" i="4"/>
  <c r="F15" i="4"/>
  <c r="I16" i="4"/>
  <c r="I16" i="6" s="1"/>
  <c r="AE16" i="6" s="1"/>
  <c r="L17" i="4"/>
  <c r="O18" i="4"/>
  <c r="R19" i="4"/>
  <c r="R19" i="6" s="1"/>
  <c r="AN19" i="6" s="1"/>
  <c r="U5" i="4"/>
  <c r="E7" i="4"/>
  <c r="E7" i="6" s="1"/>
  <c r="AA7" i="6" s="1"/>
  <c r="H8" i="4"/>
  <c r="H8" i="6" s="1"/>
  <c r="K9" i="4"/>
  <c r="K9" i="6" s="1"/>
  <c r="AG9" i="6" s="1"/>
  <c r="N10" i="4"/>
  <c r="N10" i="6" s="1"/>
  <c r="AJ10" i="6" s="1"/>
  <c r="Q11" i="6"/>
  <c r="AM11" i="6" s="1"/>
  <c r="Q11" i="4"/>
  <c r="D14" i="4"/>
  <c r="D14" i="6" s="1"/>
  <c r="Z14" i="6" s="1"/>
  <c r="G15" i="4"/>
  <c r="J16" i="4"/>
  <c r="M17" i="4"/>
  <c r="P18" i="4"/>
  <c r="P18" i="6" s="1"/>
  <c r="AL18" i="6" s="1"/>
  <c r="S19" i="4"/>
  <c r="F22" i="4"/>
  <c r="F22" i="6" s="1"/>
  <c r="AB22" i="6" s="1"/>
  <c r="G22" i="4"/>
  <c r="G22" i="6" s="1"/>
  <c r="AC22" i="6" s="1"/>
  <c r="H22" i="4"/>
  <c r="H22" i="6" s="1"/>
  <c r="AD22" i="6" s="1"/>
  <c r="I22" i="4"/>
  <c r="I22" i="6" s="1"/>
  <c r="AE22" i="6" s="1"/>
  <c r="R6" i="6"/>
  <c r="AN6" i="6" s="1"/>
  <c r="F7" i="6"/>
  <c r="AB7" i="6" s="1"/>
  <c r="T20" i="6"/>
  <c r="H11" i="6"/>
  <c r="AD11" i="6" s="1"/>
  <c r="I11" i="6"/>
  <c r="AE11" i="6" s="1"/>
  <c r="G11" i="6"/>
  <c r="AC11" i="6" s="1"/>
  <c r="T11" i="6"/>
  <c r="AP11" i="6" s="1"/>
  <c r="U20" i="6"/>
  <c r="AQ20" i="6" s="1"/>
  <c r="P6" i="6"/>
  <c r="AL6" i="6" s="1"/>
  <c r="S20" i="6"/>
  <c r="AO20" i="6" s="1"/>
  <c r="E9" i="6"/>
  <c r="AA9" i="6" s="1"/>
  <c r="F6" i="6"/>
  <c r="G6" i="6"/>
  <c r="AC6" i="6" s="1"/>
  <c r="H6" i="6"/>
  <c r="AD6" i="6" s="1"/>
  <c r="I6" i="6"/>
  <c r="AE6" i="6" s="1"/>
  <c r="E14" i="6"/>
  <c r="AA14" i="6" s="1"/>
  <c r="P8" i="6"/>
  <c r="AL8" i="6" s="1"/>
  <c r="Q8" i="6"/>
  <c r="AM8" i="6" s="1"/>
  <c r="M9" i="6"/>
  <c r="AI9" i="6" s="1"/>
  <c r="K21" i="6"/>
  <c r="AG21" i="6" s="1"/>
  <c r="T21" i="6"/>
  <c r="AP21" i="6" s="1"/>
  <c r="D4" i="6"/>
  <c r="S19" i="6"/>
  <c r="K22" i="6"/>
  <c r="AG22" i="6" s="1"/>
  <c r="U4" i="6"/>
  <c r="AQ4" i="6" s="1"/>
  <c r="K7" i="6"/>
  <c r="AG7" i="6" s="1"/>
  <c r="O10" i="6"/>
  <c r="AK10" i="6" s="1"/>
  <c r="G14" i="6"/>
  <c r="AC14" i="6" s="1"/>
  <c r="V4" i="6"/>
  <c r="AR4" i="6" s="1"/>
  <c r="P10" i="6"/>
  <c r="AL10" i="6" s="1"/>
  <c r="G20" i="6"/>
  <c r="AC20" i="6" s="1"/>
  <c r="M22" i="6"/>
  <c r="AI22" i="6" s="1"/>
  <c r="G15" i="6"/>
  <c r="AC15" i="6" s="1"/>
  <c r="N22" i="6"/>
  <c r="AJ22" i="6" s="1"/>
  <c r="I15" i="6"/>
  <c r="AE15" i="6" s="1"/>
  <c r="Q20" i="6"/>
  <c r="AM20" i="6" s="1"/>
  <c r="H5" i="6"/>
  <c r="AD5" i="6" s="1"/>
  <c r="K8" i="6"/>
  <c r="AG8" i="6" s="1"/>
  <c r="U10" i="6"/>
  <c r="AQ10" i="6" s="1"/>
  <c r="J16" i="6"/>
  <c r="AF16" i="6" s="1"/>
  <c r="U5" i="6"/>
  <c r="AQ5" i="6" s="1"/>
  <c r="L8" i="6"/>
  <c r="AH8" i="6" s="1"/>
  <c r="L11" i="6"/>
  <c r="AH11" i="6" s="1"/>
  <c r="K16" i="6"/>
  <c r="AG16" i="6" s="1"/>
  <c r="M8" i="6"/>
  <c r="AI8" i="6" s="1"/>
  <c r="D6" i="6"/>
  <c r="Z6" i="6" s="1"/>
  <c r="E6" i="6"/>
  <c r="AA6" i="6" s="1"/>
  <c r="D12" i="6"/>
  <c r="Z12" i="6" s="1"/>
  <c r="M15" i="6"/>
  <c r="AI15" i="6" s="1"/>
  <c r="E12" i="6"/>
  <c r="AA12" i="6" s="1"/>
  <c r="G12" i="6"/>
  <c r="AC12" i="6" s="1"/>
  <c r="M14" i="6"/>
  <c r="AI14" i="6" s="1"/>
  <c r="S16" i="6"/>
  <c r="AO16" i="6" s="1"/>
  <c r="L21" i="6"/>
  <c r="AH21" i="6" s="1"/>
  <c r="F4" i="6"/>
  <c r="AB4" i="6" s="1"/>
  <c r="E11" i="6"/>
  <c r="AA11" i="6" s="1"/>
  <c r="H12" i="6"/>
  <c r="AD12" i="6" s="1"/>
  <c r="G19" i="6"/>
  <c r="AC19" i="6" s="1"/>
  <c r="M21" i="6"/>
  <c r="AI21" i="6" s="1"/>
  <c r="F12" i="6"/>
  <c r="AB12" i="6" s="1"/>
  <c r="L13" i="6"/>
  <c r="AH13" i="6" s="1"/>
  <c r="O14" i="6"/>
  <c r="AK14" i="6" s="1"/>
  <c r="R15" i="6"/>
  <c r="AN15" i="6" s="1"/>
  <c r="U16" i="6"/>
  <c r="AQ16" i="6" s="1"/>
  <c r="Q22" i="6"/>
  <c r="AM22" i="6" s="1"/>
  <c r="N15" i="6"/>
  <c r="AJ15" i="6" s="1"/>
  <c r="Q7" i="6"/>
  <c r="AM7" i="6" s="1"/>
  <c r="T8" i="6"/>
  <c r="AP8" i="6" s="1"/>
  <c r="D10" i="6"/>
  <c r="Z10" i="6" s="1"/>
  <c r="J12" i="6"/>
  <c r="AF12" i="6" s="1"/>
  <c r="M13" i="6"/>
  <c r="P14" i="6"/>
  <c r="AL14" i="6" s="1"/>
  <c r="F18" i="6"/>
  <c r="AB18" i="6" s="1"/>
  <c r="I4" i="6"/>
  <c r="AE4" i="6" s="1"/>
  <c r="T15" i="6"/>
  <c r="AP15" i="6" s="1"/>
  <c r="D17" i="6"/>
  <c r="Z17" i="6" s="1"/>
  <c r="G18" i="6"/>
  <c r="AC18" i="6" s="1"/>
  <c r="P21" i="6"/>
  <c r="AL21" i="6" s="1"/>
  <c r="K15" i="6"/>
  <c r="AG15" i="6" s="1"/>
  <c r="N16" i="6"/>
  <c r="AJ16" i="6" s="1"/>
  <c r="Q17" i="6"/>
  <c r="M5" i="6"/>
  <c r="AI5" i="6" s="1"/>
  <c r="S7" i="6"/>
  <c r="AO7" i="6" s="1"/>
  <c r="V8" i="6"/>
  <c r="AR8" i="6" s="1"/>
  <c r="L12" i="6"/>
  <c r="O13" i="6"/>
  <c r="AK13" i="6" s="1"/>
  <c r="Q21" i="6"/>
  <c r="AM21" i="6" s="1"/>
  <c r="N5" i="6"/>
  <c r="AJ5" i="6" s="1"/>
  <c r="Q6" i="6"/>
  <c r="AM6" i="6" s="1"/>
  <c r="T7" i="6"/>
  <c r="AP7" i="6" s="1"/>
  <c r="D9" i="6"/>
  <c r="Z9" i="6" s="1"/>
  <c r="G10" i="6"/>
  <c r="AC10" i="6" s="1"/>
  <c r="L19" i="6"/>
  <c r="AH19" i="6" s="1"/>
  <c r="O20" i="6"/>
  <c r="AK20" i="6" s="1"/>
  <c r="U22" i="6"/>
  <c r="AQ22" i="6" s="1"/>
  <c r="R18" i="6"/>
  <c r="I13" i="6"/>
  <c r="AE13" i="6" s="1"/>
  <c r="O5" i="6"/>
  <c r="AK5" i="6" s="1"/>
  <c r="U7" i="6"/>
  <c r="AQ7" i="6" s="1"/>
  <c r="H10" i="6"/>
  <c r="AD10" i="6" s="1"/>
  <c r="K11" i="6"/>
  <c r="Q13" i="6"/>
  <c r="AM13" i="6" s="1"/>
  <c r="P20" i="6"/>
  <c r="AL20" i="6" s="1"/>
  <c r="S21" i="6"/>
  <c r="AO21" i="6" s="1"/>
  <c r="V22" i="6"/>
  <c r="L16" i="6"/>
  <c r="AH16" i="6" s="1"/>
  <c r="J15" i="6"/>
  <c r="AF15" i="6" s="1"/>
  <c r="M16" i="6"/>
  <c r="AI16" i="6" s="1"/>
  <c r="V18" i="6"/>
  <c r="AR18" i="6" s="1"/>
  <c r="J10" i="6"/>
  <c r="M11" i="6"/>
  <c r="AI11" i="6" s="1"/>
  <c r="O4" i="6"/>
  <c r="AK4" i="6" s="1"/>
  <c r="R5" i="6"/>
  <c r="AN5" i="6" s="1"/>
  <c r="J17" i="6"/>
  <c r="AF17" i="6" s="1"/>
  <c r="M18" i="6"/>
  <c r="AI18" i="6" s="1"/>
  <c r="P19" i="6"/>
  <c r="AL19" i="6" s="1"/>
  <c r="R17" i="6"/>
  <c r="AN17" i="6" s="1"/>
  <c r="K14" i="6"/>
  <c r="AG14" i="6" s="1"/>
  <c r="P4" i="6"/>
  <c r="AL4" i="6" s="1"/>
  <c r="O11" i="6"/>
  <c r="AK11" i="6" s="1"/>
  <c r="R12" i="6"/>
  <c r="AN12" i="6" s="1"/>
  <c r="U13" i="6"/>
  <c r="AQ13" i="6" s="1"/>
  <c r="E15" i="6"/>
  <c r="AA15" i="6" s="1"/>
  <c r="L15" i="6"/>
  <c r="AH15" i="6" s="1"/>
  <c r="S6" i="6"/>
  <c r="AO6" i="6" s="1"/>
  <c r="V7" i="6"/>
  <c r="AR7" i="6" s="1"/>
  <c r="F9" i="6"/>
  <c r="AB9" i="6" s="1"/>
  <c r="I10" i="6"/>
  <c r="AE10" i="6" s="1"/>
  <c r="R13" i="6"/>
  <c r="AN13" i="6" s="1"/>
  <c r="Q4" i="6"/>
  <c r="AM4" i="6" s="1"/>
  <c r="D7" i="6"/>
  <c r="Z7" i="6" s="1"/>
  <c r="F15" i="6"/>
  <c r="AB15" i="6" s="1"/>
  <c r="L17" i="6"/>
  <c r="AH17" i="6" s="1"/>
  <c r="M17" i="6" l="1"/>
  <c r="AI17" i="6" s="1"/>
  <c r="O18" i="6"/>
  <c r="AK18" i="6" s="1"/>
  <c r="R16" i="6"/>
  <c r="AN16" i="6" s="1"/>
  <c r="S13" i="6"/>
  <c r="AO13" i="6" s="1"/>
  <c r="R14" i="6"/>
  <c r="AN14" i="6" s="1"/>
  <c r="J11" i="6"/>
  <c r="AF11" i="6" s="1"/>
  <c r="I21" i="6"/>
  <c r="AE21" i="6" s="1"/>
  <c r="E18" i="6"/>
  <c r="AA18" i="6" s="1"/>
  <c r="P9" i="6"/>
  <c r="AL9" i="6" s="1"/>
  <c r="K13" i="6"/>
  <c r="AG13" i="6" s="1"/>
  <c r="D21" i="6"/>
  <c r="Z21" i="6" s="1"/>
  <c r="G9" i="6"/>
  <c r="AC9" i="6" s="1"/>
  <c r="R9" i="6"/>
  <c r="AN9" i="6" s="1"/>
  <c r="K4" i="6"/>
  <c r="AG4" i="6" s="1"/>
  <c r="Q9" i="6"/>
  <c r="AM9" i="6" s="1"/>
  <c r="V10" i="6"/>
  <c r="AR10" i="6" s="1"/>
  <c r="T16" i="6"/>
  <c r="AP16" i="6" s="1"/>
  <c r="V11" i="6"/>
  <c r="AR11" i="6" s="1"/>
  <c r="K6" i="6"/>
  <c r="AG6" i="6" s="1"/>
  <c r="N9" i="6"/>
  <c r="AJ9" i="6" s="1"/>
  <c r="P7" i="6"/>
  <c r="AL7" i="6" s="1"/>
  <c r="L6" i="6"/>
  <c r="AH6" i="6" s="1"/>
  <c r="M7" i="6"/>
  <c r="AI7" i="6" s="1"/>
  <c r="U15" i="6"/>
  <c r="AQ15" i="6" s="1"/>
  <c r="J5" i="6"/>
  <c r="AF5" i="6" s="1"/>
  <c r="V12" i="6"/>
  <c r="AR12" i="6" s="1"/>
  <c r="T12" i="6"/>
  <c r="AP12" i="6" s="1"/>
  <c r="N21" i="6"/>
  <c r="AJ21" i="6" s="1"/>
  <c r="L4" i="6"/>
  <c r="AH4" i="6" s="1"/>
  <c r="T14" i="6"/>
  <c r="AP14" i="6" s="1"/>
  <c r="O8" i="6"/>
  <c r="AK8" i="6" s="1"/>
  <c r="M4" i="6"/>
  <c r="AI4" i="6" s="1"/>
  <c r="R21" i="6"/>
  <c r="AN21" i="6" s="1"/>
  <c r="U14" i="6"/>
  <c r="AQ14" i="6" s="1"/>
  <c r="N7" i="6"/>
  <c r="AJ7" i="6" s="1"/>
  <c r="N8" i="6"/>
  <c r="AJ8" i="6" s="1"/>
  <c r="M10" i="6"/>
  <c r="AI10" i="6" s="1"/>
  <c r="O21" i="6"/>
  <c r="AK21" i="6" s="1"/>
  <c r="K10" i="6"/>
  <c r="AG10" i="6" s="1"/>
  <c r="T18" i="6"/>
  <c r="AP18" i="6" s="1"/>
  <c r="S15" i="6"/>
  <c r="AO15" i="6" s="1"/>
  <c r="J4" i="6"/>
  <c r="AF4" i="6" s="1"/>
  <c r="R10" i="6"/>
  <c r="AN10" i="6" s="1"/>
  <c r="U12" i="6"/>
  <c r="AQ12" i="6" s="1"/>
  <c r="S11" i="6"/>
  <c r="AO11" i="6" s="1"/>
  <c r="V19" i="6"/>
  <c r="AR19" i="6" s="1"/>
  <c r="U17" i="6"/>
  <c r="AQ17" i="6" s="1"/>
  <c r="L9" i="6"/>
  <c r="AH9" i="6" s="1"/>
  <c r="M20" i="6"/>
  <c r="AI20" i="6" s="1"/>
  <c r="V20" i="6"/>
  <c r="AR20" i="6" s="1"/>
  <c r="T13" i="6"/>
  <c r="AP13" i="6" s="1"/>
  <c r="J19" i="6"/>
  <c r="AF19" i="6" s="1"/>
  <c r="U18" i="6"/>
  <c r="AQ18" i="6" s="1"/>
  <c r="J20" i="6"/>
  <c r="AF20" i="6" s="1"/>
  <c r="L20" i="6"/>
  <c r="AH20" i="6" s="1"/>
  <c r="K5" i="6"/>
  <c r="AG5" i="6" s="1"/>
  <c r="D4" i="7"/>
  <c r="R4" i="6"/>
  <c r="D6" i="7"/>
  <c r="K20" i="6"/>
  <c r="AG20" i="6" s="1"/>
  <c r="D9" i="7"/>
  <c r="D5" i="7"/>
  <c r="T17" i="6"/>
  <c r="AP17" i="6" s="1"/>
  <c r="O19" i="6"/>
  <c r="AK19" i="6" s="1"/>
  <c r="E22" i="7"/>
  <c r="D17" i="7"/>
  <c r="L5" i="6"/>
  <c r="AH5" i="6" s="1"/>
  <c r="J8" i="6"/>
  <c r="AF8" i="6" s="1"/>
  <c r="D8" i="7"/>
  <c r="J6" i="6"/>
  <c r="O7" i="6"/>
  <c r="AK7" i="6" s="1"/>
  <c r="V21" i="6"/>
  <c r="AR21" i="6" s="1"/>
  <c r="E16" i="7" l="1"/>
  <c r="D7" i="7"/>
  <c r="E6" i="7"/>
  <c r="F6" i="7" s="1"/>
  <c r="D16" i="7"/>
  <c r="D14" i="7"/>
  <c r="E9" i="7"/>
  <c r="G9" i="7" s="1"/>
  <c r="E17" i="7"/>
  <c r="F17" i="7" s="1"/>
  <c r="E10" i="7"/>
  <c r="E13" i="7"/>
  <c r="E12" i="7"/>
  <c r="E14" i="7"/>
  <c r="D21" i="7"/>
  <c r="D19" i="7"/>
  <c r="E15" i="7"/>
  <c r="E19" i="7"/>
  <c r="E11" i="7"/>
  <c r="D13" i="7"/>
  <c r="E18" i="7"/>
  <c r="D11" i="7"/>
  <c r="E20" i="7"/>
  <c r="E21" i="7"/>
  <c r="D15" i="7"/>
  <c r="AN4" i="6"/>
  <c r="D18" i="7"/>
  <c r="D22" i="7"/>
  <c r="AF6" i="6"/>
  <c r="D10" i="7"/>
  <c r="D20" i="7"/>
  <c r="E4" i="7"/>
  <c r="E7" i="7"/>
  <c r="E8" i="7"/>
  <c r="D12" i="7"/>
  <c r="E5" i="7"/>
  <c r="G5" i="7" s="1"/>
  <c r="G6" i="7" l="1"/>
  <c r="G7" i="7"/>
  <c r="F13" i="7"/>
  <c r="G16" i="7"/>
  <c r="F16" i="7"/>
  <c r="F12" i="7"/>
  <c r="G21" i="7"/>
  <c r="G17" i="7"/>
  <c r="F10" i="7"/>
  <c r="F19" i="7"/>
  <c r="F14" i="7"/>
  <c r="G14" i="7"/>
  <c r="F9" i="7"/>
  <c r="F11" i="7"/>
  <c r="G19" i="7"/>
  <c r="G11" i="7"/>
  <c r="G13" i="7"/>
  <c r="F15" i="7"/>
  <c r="F20" i="7"/>
  <c r="F18" i="7"/>
  <c r="F21" i="7"/>
  <c r="G15" i="7"/>
  <c r="G22" i="7"/>
  <c r="F22" i="7"/>
  <c r="G10" i="7"/>
  <c r="G20" i="7"/>
  <c r="F8" i="7"/>
  <c r="G8" i="7"/>
  <c r="F5" i="7"/>
  <c r="G18" i="7"/>
  <c r="G12" i="7"/>
  <c r="F4" i="7"/>
  <c r="G4" i="7"/>
  <c r="F7" i="7"/>
  <c r="F23" i="7" l="1"/>
  <c r="H4" i="7" s="1"/>
  <c r="H12" i="7" l="1"/>
  <c r="H13" i="7"/>
  <c r="H9" i="7"/>
  <c r="H6" i="7"/>
  <c r="H16" i="7"/>
  <c r="H18" i="7"/>
  <c r="H21" i="7"/>
  <c r="H14" i="7"/>
  <c r="H8" i="7"/>
  <c r="H10" i="7"/>
  <c r="H11" i="7"/>
  <c r="H19" i="7"/>
  <c r="H20" i="7"/>
  <c r="H17" i="7"/>
  <c r="H5" i="7"/>
  <c r="H15" i="7"/>
  <c r="H22" i="7"/>
  <c r="H7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Francisco Sarti Fernandez</author>
  </authors>
  <commentList>
    <comment ref="I4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Principal - Canal habitual / estructural
Secundario - Canal alternativo / complementario
Opcional - Canal poco frecuente o contingente</t>
        </r>
      </text>
    </comment>
    <comment ref="K4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ON / OFF</t>
        </r>
      </text>
    </comment>
    <comment ref="L4" authorId="0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 xml:space="preserve">E - Explícito (casos reales o afirmación directa en GAFI)
T - Tendencia general del informe
I - Inferencia modelada (mínima, controlada)
</t>
        </r>
      </text>
    </comment>
  </commentList>
</comments>
</file>

<file path=xl/sharedStrings.xml><?xml version="1.0" encoding="utf-8"?>
<sst xmlns="http://schemas.openxmlformats.org/spreadsheetml/2006/main" count="648" uniqueCount="211">
  <si>
    <t>GENERADOR DE MODELOS DE REDES SINTÉTICAS DE FINANCIACIÓN DEL TERRORISMO</t>
  </si>
  <si>
    <t>Marina Sarti Pineda - marzo 2026</t>
  </si>
  <si>
    <t>TIPOS DE NODO</t>
  </si>
  <si>
    <t>NODOS</t>
  </si>
  <si>
    <t>ENLACES ENTRE NODOS</t>
  </si>
  <si>
    <t>Tipo</t>
  </si>
  <si>
    <t>Descripción</t>
  </si>
  <si>
    <t>NodoID</t>
  </si>
  <si>
    <t>Nombre</t>
  </si>
  <si>
    <t>Activo</t>
  </si>
  <si>
    <t>EdgeID</t>
  </si>
  <si>
    <t>Nodo Origen</t>
  </si>
  <si>
    <t>Nodo Destino</t>
  </si>
  <si>
    <t>Tipo de Enlace</t>
  </si>
  <si>
    <t>Tipo de Justificación</t>
  </si>
  <si>
    <t>Coste</t>
  </si>
  <si>
    <t>Eficiencia</t>
  </si>
  <si>
    <t>Exposición</t>
  </si>
  <si>
    <t>Capacidad</t>
  </si>
  <si>
    <t>Resiliencia</t>
  </si>
  <si>
    <t>O</t>
  </si>
  <si>
    <t>Origen</t>
  </si>
  <si>
    <t>O1</t>
  </si>
  <si>
    <t>E001</t>
  </si>
  <si>
    <t>I1</t>
  </si>
  <si>
    <t>principal</t>
  </si>
  <si>
    <t>T</t>
  </si>
  <si>
    <t>Bajo</t>
  </si>
  <si>
    <t>Medio</t>
  </si>
  <si>
    <t>Alto</t>
  </si>
  <si>
    <t>O2</t>
  </si>
  <si>
    <t>E002</t>
  </si>
  <si>
    <t>I2</t>
  </si>
  <si>
    <t>E</t>
  </si>
  <si>
    <t>O3</t>
  </si>
  <si>
    <t>E003</t>
  </si>
  <si>
    <t>I3</t>
  </si>
  <si>
    <t>D</t>
  </si>
  <si>
    <t>Destino</t>
  </si>
  <si>
    <t>O4</t>
  </si>
  <si>
    <t>E004</t>
  </si>
  <si>
    <t>I4</t>
  </si>
  <si>
    <t>Bajo-Medio</t>
  </si>
  <si>
    <t>O5</t>
  </si>
  <si>
    <t>E005</t>
  </si>
  <si>
    <t>I9</t>
  </si>
  <si>
    <t>O6</t>
  </si>
  <si>
    <t>E006</t>
  </si>
  <si>
    <t>Efectivo</t>
  </si>
  <si>
    <t>E007</t>
  </si>
  <si>
    <t>Medio-Alto</t>
  </si>
  <si>
    <t>E008</t>
  </si>
  <si>
    <t>E009</t>
  </si>
  <si>
    <t>Dinero móvil</t>
  </si>
  <si>
    <t>E010</t>
  </si>
  <si>
    <t>I5</t>
  </si>
  <si>
    <t>E011</t>
  </si>
  <si>
    <t>I6</t>
  </si>
  <si>
    <t>E012</t>
  </si>
  <si>
    <t>I7</t>
  </si>
  <si>
    <t>E013</t>
  </si>
  <si>
    <t>I8</t>
  </si>
  <si>
    <t>E014</t>
  </si>
  <si>
    <t>Activos virtuales</t>
  </si>
  <si>
    <t>E015</t>
  </si>
  <si>
    <t>G1</t>
  </si>
  <si>
    <t>E016</t>
  </si>
  <si>
    <t>G2</t>
  </si>
  <si>
    <t>E017</t>
  </si>
  <si>
    <t>G3</t>
  </si>
  <si>
    <t>E018</t>
  </si>
  <si>
    <t>E019</t>
  </si>
  <si>
    <t>E020</t>
  </si>
  <si>
    <t>E021</t>
  </si>
  <si>
    <t>E022</t>
  </si>
  <si>
    <t>E023</t>
  </si>
  <si>
    <t>FLUJOS POSIBLES</t>
  </si>
  <si>
    <t>E024</t>
  </si>
  <si>
    <t>Origen → Intermediario → Gestión → Intermediario → Destino</t>
  </si>
  <si>
    <t>E025</t>
  </si>
  <si>
    <t>(ej. Extorsión → efectivo → hawala → centro regional → efectivo → combatiente)</t>
  </si>
  <si>
    <t>E026</t>
  </si>
  <si>
    <t>Nombre Nodo</t>
  </si>
  <si>
    <t>NodoOrigen \ NodoDestino</t>
  </si>
  <si>
    <t>La matriz es dirigida y binaria: 1 = enlace activo, 0 = no enlace.</t>
  </si>
  <si>
    <t>La hoja ENLACES es la fuente de verdad de la red.</t>
  </si>
  <si>
    <t>Pesos por Propiedad del Enlace</t>
  </si>
  <si>
    <t>Valor</t>
  </si>
  <si>
    <t>Rango del Enlace</t>
  </si>
  <si>
    <t>Total</t>
  </si>
  <si>
    <t>Mínimo posible</t>
  </si>
  <si>
    <t>Máximo posible</t>
  </si>
  <si>
    <t>🔎 Rango del valor de un Enlace (según tblPesos)</t>
  </si>
  <si>
    <t>Matriz Ponderada de Costes</t>
  </si>
  <si>
    <t>Coste (peso)</t>
  </si>
  <si>
    <t>Pesos por COSTE del Enlace</t>
  </si>
  <si>
    <t>Eficiencia (peso)</t>
  </si>
  <si>
    <t>Exposición (peso)</t>
  </si>
  <si>
    <t>Capacidad (peso)</t>
  </si>
  <si>
    <t>Resiliencia (peso)</t>
  </si>
  <si>
    <t>Matriz Ponderada de Valor Operativo</t>
  </si>
  <si>
    <t>Matriz TRADE-OFF Valor Operativo-Coste</t>
  </si>
  <si>
    <t>Nodo</t>
  </si>
  <si>
    <t>Grado Ponderado de Entrada</t>
  </si>
  <si>
    <t>Grado Ponderado de Salida</t>
  </si>
  <si>
    <t>Grado Ponderado Total</t>
  </si>
  <si>
    <t>Balance Neto</t>
  </si>
  <si>
    <t>Grado Normalizado</t>
  </si>
  <si>
    <t>Totales / Máximos / Mínimos</t>
  </si>
  <si>
    <t>METRICAS</t>
  </si>
  <si>
    <t>Mide la suma de los pesos de todas las conexiones que llegan al nodo.
Un valor alto indica que el nodo actúa como receptor o punto de concentración de relaciones operativamente eficientes dentro de la red.</t>
  </si>
  <si>
    <t>Mide la suma de los pesos de todas las conexiones que salen del nodo.
Un valor alto indica que el nodo actúa como emisor o distribuidor a través de enlaces operativamente favorables.</t>
  </si>
  <si>
    <t>Expresa el grado ponderado total del nodo en relación con el valor máximo observado en la red.
Permite comparar la centralidad relativa de los nodos en una escala común entre 0 y 1, donde 1 representa el nodo con mayor grado ponderado total.</t>
  </si>
  <si>
    <t>Se calcula como salida menos entrada.
Valores positivos indican un perfil emisor neto; valores negativos, un perfil receptor o concentrador neto; y valores próximos a cero, una posición relativamente equilibrada.</t>
  </si>
  <si>
    <t>Se obtiene sumando el grado ponderado de entrada y el de salida.
Refleja la relevancia estructural global del nodo dentro de la red, considerando tanto su capacidad de recibir como de proyectar conexiones eficientes.</t>
  </si>
  <si>
    <t>Matriz de Distancias</t>
  </si>
  <si>
    <t>Generación de fondos mediante actividades como extorsión, criminalidad, donaciones o ingresos legítimos</t>
  </si>
  <si>
    <t>C</t>
  </si>
  <si>
    <t>Colector</t>
  </si>
  <si>
    <t>Agrupa y concentra fondos procedentes de uno o varios nodos de origen</t>
  </si>
  <si>
    <t>R</t>
  </si>
  <si>
    <t>Redistribuidor</t>
  </si>
  <si>
    <t>Recibe fondos y los fragmenta o reenvía hacia otros nodos dentro de la red</t>
  </si>
  <si>
    <t>Uso final de los fondos en actividades operativas o logísticas</t>
  </si>
  <si>
    <t>Sigla</t>
  </si>
  <si>
    <t>Descripción1</t>
  </si>
  <si>
    <t>C1</t>
  </si>
  <si>
    <t>Colector local principal</t>
  </si>
  <si>
    <t>C2</t>
  </si>
  <si>
    <t>R1</t>
  </si>
  <si>
    <t>R2</t>
  </si>
  <si>
    <t>Redistribuidor principal</t>
  </si>
  <si>
    <t>R3</t>
  </si>
  <si>
    <t>D1</t>
  </si>
  <si>
    <t>Extorsión local</t>
  </si>
  <si>
    <t>Tráfico ilícito</t>
  </si>
  <si>
    <t>Donaciones externas</t>
  </si>
  <si>
    <t>Actividad comercial</t>
  </si>
  <si>
    <t>Criminalidad menor</t>
  </si>
  <si>
    <t>Aportaciones individuales</t>
  </si>
  <si>
    <t>Colector local secundario</t>
  </si>
  <si>
    <t>C3</t>
  </si>
  <si>
    <t>Colector regional</t>
  </si>
  <si>
    <t>Redistribuidor zona tránsito 1</t>
  </si>
  <si>
    <t>Redistribuidor zona tránsito 2</t>
  </si>
  <si>
    <t>R4</t>
  </si>
  <si>
    <t>Redistribuidor secundario 1</t>
  </si>
  <si>
    <t>R5</t>
  </si>
  <si>
    <t>Redistribuidor secundario 2</t>
  </si>
  <si>
    <t>R6</t>
  </si>
  <si>
    <t>R7</t>
  </si>
  <si>
    <t>R8</t>
  </si>
  <si>
    <t>Redistribuidor financiero</t>
  </si>
  <si>
    <t>R9</t>
  </si>
  <si>
    <t>Destino operativo final</t>
  </si>
  <si>
    <t>Variable</t>
  </si>
  <si>
    <t>Definición recomendada</t>
  </si>
  <si>
    <t>Recursos económicos necesarios para realizar la transferencia</t>
  </si>
  <si>
    <t>Rapidez y facilidad operativa de la transferencia</t>
  </si>
  <si>
    <t>Probabilidad de detección o trazabilidad</t>
  </si>
  <si>
    <t>Volumen de fondos que puede transferirse</t>
  </si>
  <si>
    <t>Capacidad del canal para seguir operando ante interrupciones</t>
  </si>
  <si>
    <t>PROPIEDADES DE LOS CANALES</t>
  </si>
  <si>
    <t>Físico</t>
  </si>
  <si>
    <t>Transferencia directa de dinero en metálico</t>
  </si>
  <si>
    <t>Transporte físico</t>
  </si>
  <si>
    <t>Hawala</t>
  </si>
  <si>
    <t>Informal</t>
  </si>
  <si>
    <t>Sistema informal basado en confianza</t>
  </si>
  <si>
    <t>Transferencia bancaria</t>
  </si>
  <si>
    <t>Formal</t>
  </si>
  <si>
    <t>Transferencia entre cuentas bancarias</t>
  </si>
  <si>
    <t>Remesas</t>
  </si>
  <si>
    <t>Digital</t>
  </si>
  <si>
    <t>Transferencias mediante cuentas móviles</t>
  </si>
  <si>
    <t>Pago online</t>
  </si>
  <si>
    <t>Plataformas digitales de pago</t>
  </si>
  <si>
    <t>Tarjeta prepago</t>
  </si>
  <si>
    <t>Uso de tarjetas no vinculadas directamente a cuentas bancarias</t>
  </si>
  <si>
    <t>Transferencias mediante criptomonedas</t>
  </si>
  <si>
    <t>Movimiento de efectivo mediante intermediarios</t>
  </si>
  <si>
    <t>Envío de dinero mediante proveedores especializados</t>
  </si>
  <si>
    <t>CANALES</t>
  </si>
  <si>
    <t>GAFI</t>
  </si>
  <si>
    <t>MODELO</t>
  </si>
  <si>
    <t>Coste → Bajo (no requiere infraestructura)
Eficiencia → Media (limitado físicamente)
Exposición → Bajo (poca trazabilidad)
Capacidad → Media (limitado por transporte)
Resiliencia → Alto (siempre disponible)</t>
  </si>
  <si>
    <t>Muy utilizado por su anonimato
Difícil de rastrear
Frecuente en entornos de baja formalización</t>
  </si>
  <si>
    <t>Uso de couriers para mover efectivo
Riesgo en transporte físico</t>
  </si>
  <si>
    <t>Coste → Medio (logística)
Eficiencia → Bajo-Medio (lento)
Exposición → Medio (riesgo de interceptación)
Capacidad → Medio
Resiliencia → Medio</t>
  </si>
  <si>
    <t>Sistema basado en confianza
Muy baja trazabilidad
Alta rapidez
Muy utilizado en FT</t>
  </si>
  <si>
    <t>Coste → Bajo
Eficiencia → Alto
Exposición → Bajo
Capacidad → Medio
Resiliencia → Alto</t>
  </si>
  <si>
    <t>Alto nivel de regulación
Alta trazabilidad
Mayor control AML/CFT</t>
  </si>
  <si>
    <t>Coste → Medio
Eficiencia → Medio
Exposición → Alto
Capacidad → Alto
Resiliencia → Alto</t>
  </si>
  <si>
    <t>Amplio uso en envíos transfronterizos
Menor control que banca en algunos contextos
Rápidas y accesibles</t>
  </si>
  <si>
    <t>Coste → Medio
Eficiencia → Alto
Exposición → Medio
Capacidad → Medio-Alto
Resiliencia → Alto</t>
  </si>
  <si>
    <t>Alta accesibilidad
Uso creciente en regiones con baja bancarización
Dependiente de infraestructura tecnológica</t>
  </si>
  <si>
    <t>Coste → Bajo
Eficiencia → Alto
Exposición → Medio
Capacidad → Medio
Resiliencia → Medio</t>
  </si>
  <si>
    <t>Uso de plataformas digitales
Mayor trazabilidad que efectivo
Alta velocidad</t>
  </si>
  <si>
    <t>Coste → Bajo
Eficiencia → Alto
Exposición → Medio-Alto
Capacidad → Medio
Resiliencia → Medio</t>
  </si>
  <si>
    <t>Puede ofrecer cierto anonimato
Uso en pequeñas cantidades
Regulación variable</t>
  </si>
  <si>
    <t>Coste → Bajo
Eficiencia → Medio-Alto
Exposición → Medio
Capacidad → Medio
Resiliencia → Medio</t>
  </si>
  <si>
    <t>Uso emergente
Pseudonimato
Riesgos de trazabilidad dependiendo del caso</t>
  </si>
  <si>
    <t>Coste → Bajo
Eficiencia → Alto
Exposición → Bajo-Medio
Capacidad → Medio
Resiliencia → Medio</t>
  </si>
  <si>
    <t>Canal</t>
  </si>
  <si>
    <t>alternativo</t>
  </si>
  <si>
    <t>Redistribuidor intermedio</t>
  </si>
  <si>
    <t>Redistribuidor logístico</t>
  </si>
  <si>
    <t>Redistribuidor final</t>
  </si>
  <si>
    <t>Valor Operativo (peso)</t>
  </si>
  <si>
    <t>Matriz de Adyacencia</t>
  </si>
  <si>
    <t>Capa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</si>
</sst>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9"/>
      <color theme="1"/>
      <name val="Calibri"/>
      <family val="2"/>
      <scheme val="minor"/>
    </font>
    <font>
      <b/>
      <sz val="9"/>
      <color rgb="FFFFFFFF"/>
      <name val="Calibri"/>
      <family val="2"/>
    </font>
    <font>
      <sz val="7"/>
      <color theme="1"/>
      <name val="Calibri"/>
      <family val="2"/>
      <scheme val="minor"/>
    </font>
    <font>
      <b/>
      <sz val="8"/>
      <color theme="1" tint="0.34998626667073579"/>
      <name val="Calibri"/>
      <family val="2"/>
    </font>
    <font>
      <sz val="8"/>
      <color theme="1" tint="0.34998626667073579"/>
      <name val="Calibri"/>
      <family val="2"/>
    </font>
    <font>
      <sz val="9"/>
      <color rgb="FFC00000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4"/>
      <color rgb="FFC00000"/>
      <name val="Calibri"/>
      <family val="2"/>
      <scheme val="minor"/>
    </font>
    <font>
      <sz val="9"/>
      <color theme="3"/>
      <name val="Calibri"/>
      <family val="2"/>
      <scheme val="minor"/>
    </font>
    <font>
      <b/>
      <sz val="11"/>
      <color rgb="FFFFFFFF"/>
      <name val="Calibri"/>
      <family val="2"/>
    </font>
    <font>
      <b/>
      <sz val="10"/>
      <color rgb="FFFFFFFF"/>
      <name val="Calibri"/>
      <family val="2"/>
    </font>
    <font>
      <sz val="10"/>
      <color theme="1"/>
      <name val="Calibri"/>
      <family val="2"/>
      <scheme val="minor"/>
    </font>
    <font>
      <b/>
      <sz val="9"/>
      <name val="Calibri"/>
      <family val="2"/>
    </font>
    <font>
      <sz val="11"/>
      <name val="Calibri"/>
      <family val="2"/>
      <scheme val="minor"/>
    </font>
    <font>
      <b/>
      <sz val="11"/>
      <name val="Calibri"/>
      <family val="2"/>
    </font>
    <font>
      <sz val="8"/>
      <name val="Calibri"/>
      <family val="2"/>
      <scheme val="minor"/>
    </font>
    <font>
      <b/>
      <sz val="11"/>
      <color rgb="FFFFFFFF"/>
      <name val="Calibri"/>
      <scheme val="minor"/>
    </font>
    <font>
      <b/>
      <sz val="11"/>
      <color rgb="FFFFFFFF"/>
      <name val="Calibri"/>
      <family val="2"/>
      <scheme val="minor"/>
    </font>
    <font>
      <b/>
      <sz val="11"/>
      <name val="Calibri"/>
      <family val="2"/>
      <scheme val="minor"/>
    </font>
    <font>
      <sz val="7"/>
      <color theme="1" tint="0.14999847407452621"/>
      <name val="Calibri"/>
      <family val="2"/>
      <scheme val="minor"/>
    </font>
    <font>
      <sz val="8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C00000"/>
        <bgColor indexed="64"/>
      </patternFill>
    </fill>
  </fills>
  <borders count="25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/>
      <top style="thin">
        <color rgb="FFD9D9D9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rgb="FFD9D9D9"/>
      </top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rgb="FFD9D9D9"/>
      </left>
      <right/>
      <top/>
      <bottom/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theme="0" tint="-0.14999847407452621"/>
      </left>
      <right/>
      <top/>
      <bottom style="thin">
        <color theme="0" tint="-0.14999847407452621"/>
      </bottom>
      <diagonal/>
    </border>
    <border>
      <left style="thin">
        <color theme="0" tint="-0.14999847407452621"/>
      </left>
      <right/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/>
      <diagonal/>
    </border>
    <border>
      <left style="thin">
        <color theme="0" tint="-0.14999847407452621"/>
      </left>
      <right/>
      <top style="thin">
        <color theme="0" tint="-0.14999847407452621"/>
      </top>
      <bottom/>
      <diagonal/>
    </border>
  </borders>
  <cellStyleXfs count="1">
    <xf numFmtId="0" fontId="0" fillId="0" borderId="0"/>
  </cellStyleXfs>
  <cellXfs count="93">
    <xf numFmtId="0" fontId="0" fillId="0" borderId="0" xfId="0"/>
    <xf numFmtId="0" fontId="2" fillId="0" borderId="1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1" xfId="0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1" fillId="2" borderId="7" xfId="0" applyFont="1" applyFill="1" applyBorder="1" applyAlignment="1">
      <alignment horizontal="center" vertical="center" wrapText="1"/>
    </xf>
    <xf numFmtId="0" fontId="1" fillId="2" borderId="8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1" fillId="2" borderId="9" xfId="0" applyFont="1" applyFill="1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5" fillId="0" borderId="8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2" fillId="3" borderId="10" xfId="0" applyFont="1" applyFill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left" textRotation="45" wrapText="1"/>
    </xf>
    <xf numFmtId="0" fontId="2" fillId="0" borderId="13" xfId="0" applyFont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12" fillId="6" borderId="8" xfId="0" applyFont="1" applyFill="1" applyBorder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1" fontId="2" fillId="0" borderId="0" xfId="0" applyNumberFormat="1" applyFont="1" applyAlignment="1">
      <alignment horizontal="center" vertical="center"/>
    </xf>
    <xf numFmtId="0" fontId="14" fillId="7" borderId="11" xfId="0" applyFont="1" applyFill="1" applyBorder="1" applyAlignment="1">
      <alignment horizontal="center" vertical="center"/>
    </xf>
    <xf numFmtId="0" fontId="14" fillId="7" borderId="10" xfId="0" applyFont="1" applyFill="1" applyBorder="1" applyAlignment="1">
      <alignment horizontal="center" vertical="center"/>
    </xf>
    <xf numFmtId="0" fontId="13" fillId="0" borderId="0" xfId="0" applyFont="1" applyAlignment="1">
      <alignment wrapText="1"/>
    </xf>
    <xf numFmtId="0" fontId="13" fillId="8" borderId="0" xfId="0" applyFont="1" applyFill="1" applyAlignment="1">
      <alignment horizontal="center" vertical="center" wrapText="1"/>
    </xf>
    <xf numFmtId="1" fontId="15" fillId="0" borderId="1" xfId="0" applyNumberFormat="1" applyFont="1" applyBorder="1" applyAlignment="1">
      <alignment horizontal="center" vertical="center" wrapText="1"/>
    </xf>
    <xf numFmtId="1" fontId="15" fillId="0" borderId="3" xfId="0" applyNumberFormat="1" applyFont="1" applyBorder="1" applyAlignment="1">
      <alignment horizontal="center" vertical="center" wrapText="1"/>
    </xf>
    <xf numFmtId="1" fontId="15" fillId="0" borderId="10" xfId="0" applyNumberFormat="1" applyFont="1" applyBorder="1" applyAlignment="1">
      <alignment horizontal="center" vertical="center" wrapText="1"/>
    </xf>
    <xf numFmtId="1" fontId="15" fillId="0" borderId="11" xfId="0" applyNumberFormat="1" applyFont="1" applyBorder="1" applyAlignment="1">
      <alignment horizontal="center" vertical="center" wrapText="1"/>
    </xf>
    <xf numFmtId="1" fontId="13" fillId="0" borderId="0" xfId="0" applyNumberFormat="1" applyFont="1" applyAlignment="1">
      <alignment horizontal="center"/>
    </xf>
    <xf numFmtId="0" fontId="0" fillId="0" borderId="0" xfId="0" applyAlignment="1">
      <alignment vertical="center" wrapText="1"/>
    </xf>
    <xf numFmtId="1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vertical="center" wrapText="1"/>
    </xf>
    <xf numFmtId="2" fontId="15" fillId="0" borderId="1" xfId="0" applyNumberFormat="1" applyFont="1" applyBorder="1" applyAlignment="1">
      <alignment horizontal="center" vertical="center" wrapText="1"/>
    </xf>
    <xf numFmtId="2" fontId="15" fillId="0" borderId="3" xfId="0" applyNumberFormat="1" applyFont="1" applyBorder="1" applyAlignment="1">
      <alignment horizontal="center" vertical="center" wrapText="1"/>
    </xf>
    <xf numFmtId="2" fontId="15" fillId="0" borderId="10" xfId="0" applyNumberFormat="1" applyFont="1" applyBorder="1" applyAlignment="1">
      <alignment horizontal="center" vertical="center" wrapText="1"/>
    </xf>
    <xf numFmtId="2" fontId="15" fillId="0" borderId="11" xfId="0" applyNumberFormat="1" applyFont="1" applyBorder="1" applyAlignment="1">
      <alignment horizontal="center" vertical="center" wrapText="1"/>
    </xf>
    <xf numFmtId="2" fontId="0" fillId="0" borderId="0" xfId="0" applyNumberFormat="1"/>
    <xf numFmtId="2" fontId="15" fillId="0" borderId="8" xfId="0" applyNumberFormat="1" applyFont="1" applyBorder="1" applyAlignment="1">
      <alignment horizontal="center" vertical="center" wrapText="1"/>
    </xf>
    <xf numFmtId="0" fontId="18" fillId="6" borderId="8" xfId="0" applyFont="1" applyFill="1" applyBorder="1" applyAlignment="1">
      <alignment horizontal="center" vertical="center" wrapText="1"/>
    </xf>
    <xf numFmtId="0" fontId="19" fillId="6" borderId="10" xfId="0" applyFont="1" applyFill="1" applyBorder="1" applyAlignment="1">
      <alignment horizontal="center" vertical="center" wrapText="1"/>
    </xf>
    <xf numFmtId="0" fontId="20" fillId="0" borderId="10" xfId="0" applyFont="1" applyBorder="1" applyAlignment="1">
      <alignment horizontal="center" vertical="center" wrapText="1"/>
    </xf>
    <xf numFmtId="2" fontId="20" fillId="0" borderId="10" xfId="0" applyNumberFormat="1" applyFont="1" applyBorder="1" applyAlignment="1">
      <alignment horizontal="center" vertical="center" wrapText="1"/>
    </xf>
    <xf numFmtId="2" fontId="21" fillId="0" borderId="18" xfId="0" applyNumberFormat="1" applyFont="1" applyBorder="1" applyAlignment="1">
      <alignment horizontal="center" vertical="top" wrapText="1"/>
    </xf>
    <xf numFmtId="0" fontId="3" fillId="2" borderId="7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3" fillId="2" borderId="20" xfId="0" applyFont="1" applyFill="1" applyBorder="1" applyAlignment="1">
      <alignment horizontal="center" vertical="center" wrapText="1"/>
    </xf>
    <xf numFmtId="0" fontId="3" fillId="2" borderId="21" xfId="0" applyFont="1" applyFill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2" fillId="0" borderId="22" xfId="0" applyFont="1" applyBorder="1" applyAlignment="1">
      <alignment horizontal="center" vertical="center" wrapText="1"/>
    </xf>
    <xf numFmtId="0" fontId="2" fillId="0" borderId="23" xfId="0" applyFont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 wrapText="1"/>
    </xf>
    <xf numFmtId="0" fontId="3" fillId="2" borderId="18" xfId="0" applyFont="1" applyFill="1" applyBorder="1" applyAlignment="1">
      <alignment horizontal="center" vertical="center" wrapText="1"/>
    </xf>
    <xf numFmtId="0" fontId="2" fillId="0" borderId="20" xfId="0" applyFont="1" applyBorder="1" applyAlignment="1">
      <alignment horizontal="center" vertical="center" wrapText="1"/>
    </xf>
    <xf numFmtId="0" fontId="3" fillId="6" borderId="20" xfId="0" applyFont="1" applyFill="1" applyBorder="1" applyAlignment="1">
      <alignment horizontal="center" vertical="center" wrapText="1"/>
    </xf>
    <xf numFmtId="0" fontId="22" fillId="0" borderId="0" xfId="0" applyFont="1" applyAlignment="1">
      <alignment horizontal="center" vertical="center"/>
    </xf>
    <xf numFmtId="0" fontId="22" fillId="0" borderId="13" xfId="0" applyFont="1" applyBorder="1" applyAlignment="1">
      <alignment horizontal="center" vertical="center"/>
    </xf>
    <xf numFmtId="0" fontId="8" fillId="0" borderId="12" xfId="0" applyFont="1" applyBorder="1" applyAlignment="1">
      <alignment horizontal="center" vertical="center"/>
    </xf>
    <xf numFmtId="0" fontId="3" fillId="9" borderId="20" xfId="0" applyFont="1" applyFill="1" applyBorder="1" applyAlignment="1">
      <alignment horizontal="center" vertical="center" wrapText="1"/>
    </xf>
    <xf numFmtId="0" fontId="9" fillId="4" borderId="0" xfId="0" applyFont="1" applyFill="1" applyAlignment="1">
      <alignment vertical="center"/>
    </xf>
    <xf numFmtId="0" fontId="2" fillId="0" borderId="19" xfId="0" applyFont="1" applyBorder="1" applyAlignment="1">
      <alignment vertical="center"/>
    </xf>
    <xf numFmtId="0" fontId="13" fillId="0" borderId="0" xfId="0" applyFont="1" applyAlignment="1">
      <alignment horizontal="center" vertical="center"/>
    </xf>
    <xf numFmtId="0" fontId="11" fillId="6" borderId="5" xfId="0" applyFont="1" applyFill="1" applyBorder="1" applyAlignment="1">
      <alignment horizontal="center" vertical="center" wrapText="1"/>
    </xf>
    <xf numFmtId="0" fontId="11" fillId="6" borderId="11" xfId="0" applyFont="1" applyFill="1" applyBorder="1" applyAlignment="1">
      <alignment horizontal="center" vertical="center" wrapText="1"/>
    </xf>
    <xf numFmtId="0" fontId="11" fillId="6" borderId="17" xfId="0" applyFont="1" applyFill="1" applyBorder="1" applyAlignment="1">
      <alignment horizontal="center" vertical="center" wrapText="1"/>
    </xf>
    <xf numFmtId="0" fontId="16" fillId="8" borderId="3" xfId="0" applyFont="1" applyFill="1" applyBorder="1" applyAlignment="1">
      <alignment horizontal="center" vertical="center" wrapText="1"/>
    </xf>
    <xf numFmtId="0" fontId="16" fillId="8" borderId="5" xfId="0" applyFont="1" applyFill="1" applyBorder="1" applyAlignment="1">
      <alignment horizontal="center" vertical="center" wrapText="1"/>
    </xf>
    <xf numFmtId="0" fontId="9" fillId="4" borderId="0" xfId="0" applyFont="1" applyFill="1" applyAlignment="1">
      <alignment horizontal="center" vertical="center"/>
    </xf>
    <xf numFmtId="0" fontId="3" fillId="2" borderId="18" xfId="0" applyFont="1" applyFill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6" xfId="0" applyFont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3" fillId="2" borderId="19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3" fillId="2" borderId="6" xfId="0" applyFont="1" applyFill="1" applyBorder="1" applyAlignment="1">
      <alignment horizontal="center" vertical="center"/>
    </xf>
    <xf numFmtId="0" fontId="0" fillId="0" borderId="2" xfId="0" applyBorder="1"/>
    <xf numFmtId="0" fontId="7" fillId="4" borderId="0" xfId="0" applyFont="1" applyFill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13" fillId="0" borderId="0" xfId="0" applyFont="1" applyAlignment="1">
      <alignment horizontal="left" wrapText="1"/>
    </xf>
    <xf numFmtId="0" fontId="16" fillId="8" borderId="4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247">
    <dxf>
      <font>
        <strike val="0"/>
        <outline val="0"/>
        <shadow val="0"/>
        <u val="none"/>
        <vertAlign val="baseline"/>
        <sz val="9"/>
        <name val="Calibri"/>
        <family val="2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9"/>
        <name val="Calibri"/>
        <family val="2"/>
      </font>
      <alignment horizontal="center" vertical="center" textRotation="0" indent="0" justifyLastLine="0" shrinkToFit="0" readingOrder="0"/>
    </dxf>
    <dxf>
      <font>
        <color theme="0" tint="-0.1498764000366222"/>
      </font>
    </dxf>
    <dxf>
      <font>
        <strike val="0"/>
        <color theme="0" tint="-0.1498458815271462"/>
      </font>
      <numFmt numFmtId="1" formatCode="0"/>
    </dxf>
    <dxf>
      <font>
        <color theme="0" tint="-0.1498764000366222"/>
      </font>
    </dxf>
    <dxf>
      <font>
        <color theme="0" tint="-0.1498764000366222"/>
      </font>
    </dxf>
    <dxf>
      <font>
        <color theme="0" tint="-0.1498764000366222"/>
      </font>
    </dxf>
    <dxf>
      <font>
        <color theme="0" tint="-0.1498764000366222"/>
      </font>
    </dxf>
    <dxf>
      <font>
        <color rgb="FF006100"/>
      </font>
      <fill>
        <patternFill>
          <bgColor rgb="FFC6EFCE"/>
        </patternFill>
      </fill>
    </dxf>
    <dxf>
      <font>
        <color theme="0" tint="-0.149876400036622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/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/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/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/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/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solid">
          <fgColor indexed="64"/>
          <bgColor rgb="FF1F4E78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Calibri"/>
      </font>
      <fill>
        <patternFill patternType="solid">
          <fgColor indexed="64"/>
          <bgColor rgb="FF1F4E78"/>
        </patternFill>
      </fill>
      <alignment horizontal="center" vertical="center" wrapText="1"/>
      <border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none"/>
      </font>
      <fill>
        <patternFill patternType="solid">
          <fgColor indexed="64"/>
          <bgColor rgb="FF1F4E78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strike val="0"/>
        <outline val="0"/>
        <shadow val="0"/>
        <vertAlign val="baseline"/>
        <sz val="8"/>
        <color theme="1" tint="0.34998626667073579"/>
        <name val="Calibri"/>
        <family val="2"/>
        <scheme val="none"/>
      </font>
      <numFmt numFmtId="0" formatCode="General"/>
      <fill>
        <patternFill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border outline="0">
        <top style="thin">
          <color rgb="FFD9D9D9"/>
        </top>
      </border>
    </dxf>
    <dxf>
      <border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alignment horizontal="center" vertical="center" wrapText="1"/>
    </dxf>
    <dxf>
      <border outline="0">
        <bottom style="thin">
          <color rgb="FFD9D9D9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Calibri"/>
      </font>
      <fill>
        <patternFill patternType="solid">
          <fgColor indexed="64"/>
          <bgColor rgb="FF1F4E78"/>
        </patternFill>
      </fill>
      <alignment horizontal="center" vertical="center" wrapText="1"/>
      <border outline="0">
        <left style="thin">
          <color rgb="FFD9D9D9"/>
        </left>
        <right style="thin">
          <color rgb="FFD9D9D9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/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Calibri"/>
      </font>
      <fill>
        <patternFill patternType="solid">
          <fgColor indexed="64"/>
          <bgColor rgb="FF1F4E78"/>
        </patternFill>
      </fill>
      <alignment horizontal="center" vertical="center" wrapText="1"/>
      <border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vertAlign val="baseline"/>
        <sz val="8"/>
        <color theme="1" tint="0.34998626667073579"/>
        <name val="Calibri"/>
        <family val="2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border outline="0">
        <top style="thin">
          <color rgb="FFD9D9D9"/>
        </top>
      </border>
    </dxf>
    <dxf>
      <border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alignment horizontal="center" vertical="center" wrapText="1"/>
    </dxf>
    <dxf>
      <border outline="0">
        <bottom style="thin">
          <color rgb="FFD9D9D9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Calibri"/>
      </font>
      <fill>
        <patternFill patternType="solid">
          <fgColor indexed="64"/>
          <bgColor rgb="FF1F4E78"/>
        </patternFill>
      </fill>
      <alignment horizontal="center" vertical="center" wrapText="1"/>
      <border outline="0">
        <left style="thin">
          <color rgb="FFD9D9D9"/>
        </left>
        <right style="thin">
          <color rgb="FFD9D9D9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/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Calibri"/>
      </font>
      <fill>
        <patternFill patternType="solid">
          <fgColor indexed="64"/>
          <bgColor rgb="FF1F4E78"/>
        </patternFill>
      </fill>
      <alignment horizontal="center" vertical="center" wrapText="1"/>
      <border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vertAlign val="baseline"/>
        <sz val="8"/>
        <color theme="1" tint="0.34998626667073579"/>
        <name val="Calibri"/>
        <family val="2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border outline="0">
        <top style="thin">
          <color rgb="FFD9D9D9"/>
        </top>
      </border>
    </dxf>
    <dxf>
      <border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alignment horizontal="center" vertical="center" wrapText="1"/>
    </dxf>
    <dxf>
      <border outline="0">
        <bottom style="thin">
          <color rgb="FFD9D9D9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Calibri"/>
      </font>
      <fill>
        <patternFill patternType="solid">
          <fgColor indexed="64"/>
          <bgColor rgb="FF1F4E78"/>
        </patternFill>
      </fill>
      <alignment horizontal="center" vertical="center" wrapText="1"/>
      <border outline="0">
        <left style="thin">
          <color rgb="FFD9D9D9"/>
        </left>
        <right style="thin">
          <color rgb="FFD9D9D9"/>
        </right>
        <top/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center"/>
    </dxf>
    <dxf>
      <font>
        <b/>
        <sz val="10"/>
      </font>
      <alignment horizontal="center" vertical="center" textRotation="0" wrapText="1" indent="0" justifyLastLine="0" shrinkToFit="0" readingOrder="0"/>
    </dxf>
    <dxf>
      <border outline="0"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indexed="64"/>
          <bgColor rgb="FF1F4E78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/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border outline="0">
        <top style="thin">
          <color rgb="FFD9D9D9"/>
        </top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border outline="0"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indexed="64"/>
          <bgColor rgb="FF1F4E78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/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Calibri"/>
        <scheme val="none"/>
      </font>
      <fill>
        <patternFill patternType="solid">
          <fgColor indexed="64"/>
          <bgColor rgb="FF1F4E78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strike val="0"/>
        <outline val="0"/>
        <shadow val="0"/>
        <vertAlign val="baseline"/>
        <sz val="8"/>
        <color theme="1" tint="0.34998626667073579"/>
        <name val="Calibri"/>
        <family val="2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border outline="0">
        <top style="thin">
          <color rgb="FFD9D9D9"/>
        </top>
      </border>
    </dxf>
    <dxf>
      <border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alignment horizontal="center" vertical="center" wrapText="1"/>
    </dxf>
    <dxf>
      <border outline="0">
        <bottom style="thin">
          <color rgb="FFD9D9D9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Calibri"/>
      </font>
      <fill>
        <patternFill patternType="solid">
          <fgColor indexed="64"/>
          <bgColor rgb="FF1F4E78"/>
        </patternFill>
      </fill>
      <alignment horizontal="center" vertical="center" wrapText="1"/>
      <border outline="0">
        <left style="thin">
          <color rgb="FFD9D9D9"/>
        </left>
        <right style="thin">
          <color rgb="FFD9D9D9"/>
        </right>
        <top/>
        <bottom/>
      </border>
    </dxf>
    <dxf>
      <alignment horizontal="center" vertical="center" wrapText="1"/>
      <border>
        <left style="thin">
          <color rgb="FFD9D9D9"/>
        </left>
        <right/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Calibri"/>
      </font>
      <fill>
        <patternFill patternType="solid">
          <fgColor indexed="64"/>
          <bgColor rgb="FF1F4E78"/>
        </patternFill>
      </fill>
      <alignment horizontal="center" vertical="center" wrapText="1"/>
      <border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vertAlign val="baseline"/>
        <sz val="8"/>
        <color theme="1" tint="0.34998626667073579"/>
        <name val="Calibri"/>
        <family val="2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border outline="0">
        <top style="thin">
          <color rgb="FFD9D9D9"/>
        </top>
      </border>
    </dxf>
    <dxf>
      <border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alignment horizontal="center" vertical="center" wrapText="1"/>
    </dxf>
    <dxf>
      <border outline="0">
        <bottom style="thin">
          <color rgb="FFD9D9D9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Calibri"/>
      </font>
      <fill>
        <patternFill patternType="solid">
          <fgColor indexed="64"/>
          <bgColor rgb="FF1F4E78"/>
        </patternFill>
      </fill>
      <alignment horizontal="center" vertical="center" wrapText="1"/>
      <border outline="0">
        <left style="thin">
          <color rgb="FFD9D9D9"/>
        </left>
        <right style="thin">
          <color rgb="FFD9D9D9"/>
        </right>
        <top/>
        <bottom/>
      </border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 wrapText="1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 textRotation="0" indent="0" justifyLastLine="0" shrinkToFit="0" readingOrder="0"/>
    </dxf>
    <dxf>
      <font>
        <strike val="0"/>
        <outline val="0"/>
        <shadow val="0"/>
        <vertAlign val="baseline"/>
        <sz val="9"/>
        <name val="Calibri"/>
        <family val="2"/>
      </font>
      <numFmt numFmtId="1" formatCode="0"/>
      <alignment horizontal="center" vertical="center" textRotation="0" indent="0" justifyLastLine="0" shrinkToFit="0" readingOrder="0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 textRotation="0" indent="0" justifyLastLine="0" shrinkToFit="0" readingOrder="0"/>
    </dxf>
    <dxf>
      <font>
        <strike val="0"/>
        <outline val="0"/>
        <shadow val="0"/>
        <vertAlign val="baseline"/>
        <sz val="9"/>
        <name val="Calibri"/>
        <family val="2"/>
      </font>
      <numFmt numFmtId="1" formatCode="0"/>
      <alignment horizontal="center" vertical="center" textRotation="0" indent="0" justifyLastLine="0" shrinkToFit="0" readingOrder="0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 textRotation="0" indent="0" justifyLastLine="0" shrinkToFit="0" readingOrder="0"/>
    </dxf>
    <dxf>
      <font>
        <strike val="0"/>
        <outline val="0"/>
        <shadow val="0"/>
        <vertAlign val="baseline"/>
        <sz val="9"/>
        <name val="Calibri"/>
        <family val="2"/>
      </font>
      <numFmt numFmtId="1" formatCode="0"/>
      <alignment horizontal="center" vertical="center" textRotation="0" indent="0" justifyLastLine="0" shrinkToFit="0" readingOrder="0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 textRotation="0" indent="0" justifyLastLine="0" shrinkToFit="0" readingOrder="0"/>
    </dxf>
    <dxf>
      <font>
        <strike val="0"/>
        <outline val="0"/>
        <shadow val="0"/>
        <vertAlign val="baseline"/>
        <sz val="9"/>
        <name val="Calibri"/>
        <family val="2"/>
      </font>
      <numFmt numFmtId="1" formatCode="0"/>
      <alignment horizontal="center" vertical="center" textRotation="0" indent="0" justifyLastLine="0" shrinkToFit="0" readingOrder="0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 textRotation="0" indent="0" justifyLastLine="0" shrinkToFit="0" readingOrder="0"/>
    </dxf>
    <dxf>
      <font>
        <strike val="0"/>
        <outline val="0"/>
        <shadow val="0"/>
        <vertAlign val="baseline"/>
        <sz val="9"/>
        <name val="Calibri"/>
        <family val="2"/>
      </font>
      <numFmt numFmtId="0" formatCode="General"/>
      <alignment horizontal="center" vertical="center" textRotation="0" indent="0" justifyLastLine="0" shrinkToFit="0" readingOrder="0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 textRotation="0" indent="0" justifyLastLine="0" shrinkToFit="0" readingOrder="0"/>
    </dxf>
    <dxf>
      <font>
        <strike val="0"/>
        <outline val="0"/>
        <shadow val="0"/>
        <vertAlign val="baseline"/>
        <sz val="9"/>
        <name val="Calibri"/>
        <family val="2"/>
      </font>
      <numFmt numFmtId="0" formatCode="General"/>
      <alignment horizontal="center" vertical="center" textRotation="0" indent="0" justifyLastLine="0" shrinkToFit="0" readingOrder="0"/>
    </dxf>
    <dxf>
      <font>
        <strike val="0"/>
        <condense val="0"/>
        <extend val="0"/>
        <outline val="0"/>
        <shadow val="0"/>
        <vertAlign val="baseline"/>
        <sz val="9"/>
        <color theme="1"/>
        <name val="Calibri"/>
        <family val="2"/>
        <scheme val="minor"/>
      </font>
      <numFmt numFmtId="0" formatCode="General"/>
      <alignment horizontal="center" vertical="center" textRotation="0" indent="0" justifyLastLine="0" shrinkToFit="0" readingOrder="0"/>
      <border>
        <left style="thin">
          <color rgb="FFD9D9D9"/>
        </left>
        <right style="thin">
          <color rgb="FFD9D9D9"/>
        </right>
        <top style="thin">
          <color rgb="FFD9D9D9"/>
        </top>
        <bottom/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Calibri"/>
        <family val="2"/>
        <scheme val="minor"/>
      </font>
      <numFmt numFmtId="0" formatCode="General"/>
      <alignment horizontal="center" vertical="center" textRotation="0" indent="0" justifyLastLine="0" shrinkToFit="0" readingOrder="0"/>
      <border>
        <left style="thin">
          <color rgb="FFD9D9D9"/>
        </left>
        <right/>
        <top style="thin">
          <color rgb="FFD9D9D9"/>
        </top>
        <bottom/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Calibri"/>
        <family val="2"/>
        <scheme val="minor"/>
      </font>
      <numFmt numFmtId="0" formatCode="General"/>
      <alignment horizontal="center" vertical="center" textRotation="0" indent="0" justifyLastLine="0" shrinkToFit="0" readingOrder="0"/>
      <border>
        <left style="thin">
          <color rgb="FFD9D9D9"/>
        </left>
        <right/>
        <top style="thin">
          <color rgb="FFD9D9D9"/>
        </top>
        <bottom/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Calibri"/>
        <family val="2"/>
        <scheme val="minor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9D9D9"/>
        </left>
        <right/>
        <top style="thin">
          <color rgb="FFD9D9D9"/>
        </top>
        <bottom/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Calibri"/>
        <family val="2"/>
        <scheme val="minor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9D9D9"/>
        </left>
        <right/>
        <top style="thin">
          <color rgb="FFD9D9D9"/>
        </top>
        <bottom/>
      </border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 textRotation="0" indent="0" justifyLastLine="0" shrinkToFit="0" readingOrder="0"/>
      <border outline="0">
        <right style="thin">
          <color rgb="FFD9D9D9"/>
        </right>
      </border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 textRotation="0" indent="0" justifyLastLine="0" shrinkToFit="0" readingOrder="0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 textRotation="0" indent="0" justifyLastLine="0" shrinkToFit="0" readingOrder="0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 textRotation="0" indent="0" justifyLastLine="0" shrinkToFit="0" readingOrder="0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 textRotation="0" indent="0" justifyLastLine="0" shrinkToFit="0" readingOrder="0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 textRotation="0" indent="0" justifyLastLine="0" shrinkToFit="0" readingOrder="0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 textRotation="0" indent="0" justifyLastLine="0" shrinkToFit="0" readingOrder="0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border>
        <top style="thin">
          <color rgb="FFD9D9D9"/>
        </top>
      </border>
    </dxf>
    <dxf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family val="2"/>
        <scheme val="none"/>
      </font>
      <alignment horizontal="center" vertical="center" textRotation="0" wrapText="1" indent="0" justifyLastLine="0" shrinkToFit="0" readingOrder="0"/>
    </dxf>
    <dxf>
      <border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FFFFFF"/>
        <name val="Calibri"/>
        <family val="2"/>
        <scheme val="none"/>
      </font>
      <fill>
        <patternFill patternType="solid">
          <fgColor indexed="64"/>
          <bgColor rgb="FF1F4E78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theme="0" tint="-0.14999847407452621"/>
        </left>
        <right/>
        <top style="thin">
          <color theme="0" tint="-0.14999847407452621"/>
        </top>
        <bottom style="thin">
          <color theme="0" tint="-0.14999847407452621"/>
        </bottom>
      </border>
    </dxf>
    <dxf>
      <font>
        <strike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/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</border>
    </dxf>
    <dxf>
      <border outline="0">
        <top style="thin">
          <color rgb="FFD9D9D9"/>
        </top>
      </border>
    </dxf>
    <dxf>
      <font>
        <strike val="0"/>
        <outline val="0"/>
        <shadow val="0"/>
        <u val="none"/>
        <vertAlign val="baseline"/>
        <sz val="9"/>
        <color rgb="FF000000"/>
        <name val="Calibri"/>
        <family val="2"/>
        <scheme val="none"/>
      </font>
      <alignment horizontal="center" vertical="center" textRotation="0" indent="0" justifyLastLine="0" shrinkToFit="0" readingOrder="0"/>
    </dxf>
    <dxf>
      <border outline="0"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FFFFFF"/>
        <name val="Calibri"/>
        <family val="2"/>
        <scheme val="none"/>
      </font>
      <fill>
        <patternFill patternType="solid">
          <fgColor indexed="64"/>
          <bgColor rgb="FF1F4E78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 tint="-0.14999847407452621"/>
        </left>
        <right style="thin">
          <color theme="0" tint="-0.14999847407452621"/>
        </right>
        <top/>
        <bottom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9"/>
        <name val="Calibri"/>
        <family val="2"/>
      </font>
      <alignment horizontal="center" vertical="center" textRotation="0" indent="0" justifyLastLine="0" shrinkToFit="0" readingOrder="0"/>
      <border outline="0">
        <right style="thin">
          <color rgb="FFD9D9D9"/>
        </right>
      </border>
    </dxf>
    <dxf>
      <font>
        <strike val="0"/>
        <outline val="0"/>
        <shadow val="0"/>
        <u val="none"/>
        <vertAlign val="baseline"/>
        <sz val="9"/>
        <name val="Calibri"/>
        <family val="2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9"/>
        <name val="Calibri"/>
        <family val="2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9"/>
        <name val="Calibri"/>
        <family val="2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9"/>
        <name val="Calibri"/>
        <family val="2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border outline="0"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indexed="64"/>
          <bgColor rgb="FF1F4E78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border outline="0"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indexed="64"/>
          <bgColor rgb="FF1F4E78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/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Calibri"/>
      </font>
      <fill>
        <patternFill patternType="solid">
          <fgColor indexed="64"/>
          <bgColor rgb="FF1F4E78"/>
        </patternFill>
      </fill>
      <alignment horizontal="center" vertical="center" wrapText="1"/>
      <border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vertAlign val="baseline"/>
        <sz val="8"/>
        <color theme="1" tint="0.34998626667073579"/>
        <name val="Calibri"/>
        <family val="2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border outline="0">
        <top style="thin">
          <color rgb="FFD9D9D9"/>
        </top>
      </border>
    </dxf>
    <dxf>
      <border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alignment horizontal="center" vertical="center" wrapText="1"/>
    </dxf>
    <dxf>
      <border outline="0">
        <bottom style="thin">
          <color rgb="FFD9D9D9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Calibri"/>
      </font>
      <fill>
        <patternFill patternType="solid">
          <fgColor indexed="64"/>
          <bgColor rgb="FF1F4E78"/>
        </patternFill>
      </fill>
      <alignment horizontal="center" vertical="center" wrapText="1"/>
      <border outline="0">
        <left style="thin">
          <color rgb="FFD9D9D9"/>
        </left>
        <right style="thin">
          <color rgb="FFD9D9D9"/>
        </right>
        <top/>
        <bottom/>
      </border>
    </dxf>
  </dxfs>
  <tableStyles count="0" defaultTableStyle="TableStyleMedium2" defaultPivotStyle="PivotStyleLight16"/>
  <colors>
    <mruColors>
      <color rgb="FFFFE89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517071</xdr:colOff>
      <xdr:row>6</xdr:row>
      <xdr:rowOff>40821</xdr:rowOff>
    </xdr:from>
    <xdr:ext cx="4714875" cy="3581400"/>
    <xdr:pic>
      <xdr:nvPicPr>
        <xdr:cNvPr id="3" name="Image 2" descr="Picture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6437428" y="1183821"/>
          <a:ext cx="4714875" cy="3581400"/>
        </a:xfrm>
        <a:prstGeom prst="rect">
          <a:avLst/>
        </a:prstGeom>
      </xdr:spPr>
    </xdr:pic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B2FB235A-71F0-400E-A6F0-508799095DA1}" name="tblTiposDeNodo" displayName="tblTiposDeNodo" ref="A4:D8" headerRowDxfId="203" dataDxfId="202" totalsRowDxfId="201">
  <tableColumns count="4">
    <tableColumn id="1" xr3:uid="{2D998733-2F4E-407E-BB96-65EE8D671F3E}" name="Sigla" dataDxfId="200"/>
    <tableColumn id="2" xr3:uid="{1D05F6E9-EB6D-4FA6-9F98-305486BA8372}" name="Nombre" dataDxfId="199"/>
    <tableColumn id="3" xr3:uid="{2A05B337-8674-440C-B5E6-EDF2D3E9C7EF}" name="Descripción1" dataDxfId="198"/>
    <tableColumn id="4" xr3:uid="{969BC7E1-EE89-4897-8C40-9A8A992E41A8}" name="Capa" dataDxfId="1" totalsRow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684D43B5-10F8-42CD-A78F-0A2D7790FEBB}" name="tblPropiedadesCanales" displayName="tblPropiedadesCanales" ref="B4:C9" totalsRowShown="0" headerRowDxfId="197" dataDxfId="195" headerRowBorderDxfId="196" tableBorderDxfId="194">
  <tableColumns count="2">
    <tableColumn id="1" xr3:uid="{AE28D037-8200-4290-B185-521BE4E5D98F}" name="Variable" dataDxfId="193"/>
    <tableColumn id="2" xr3:uid="{6EBF46F3-2102-4B98-9EA7-E0EC740C287C}" name="Definición recomendada" dataDxfId="192"/>
  </tableColumns>
  <tableStyleInfo name="TableStyleLight1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A4F8E1C4-8F10-4A16-A363-66F29C756757}" name="tblCanales" displayName="tblCanales" ref="E4:N13" totalsRowShown="0" headerRowDxfId="191" dataDxfId="189" headerRowBorderDxfId="190" tableBorderDxfId="188" totalsRowBorderDxfId="187">
  <tableColumns count="10">
    <tableColumn id="2" xr3:uid="{EC47E1C1-969B-40D7-A166-5065044FE8EE}" name="Nombre" dataDxfId="186"/>
    <tableColumn id="4" xr3:uid="{C51CDB64-59EA-4881-B723-18B95E872D00}" name="Descripción" dataDxfId="185"/>
    <tableColumn id="3" xr3:uid="{1CBE7731-79F9-40FF-82B5-B5E44A771838}" name="Tipo" dataDxfId="184"/>
    <tableColumn id="5" xr3:uid="{E8249A44-897D-4018-B0CA-C983252BCFC8}" name="Coste" dataDxfId="183"/>
    <tableColumn id="6" xr3:uid="{CE3CC37C-5B67-40F0-93BA-BA26DF959A93}" name="Eficiencia" dataDxfId="182"/>
    <tableColumn id="7" xr3:uid="{C41E7A4D-CE1C-4D71-B522-398A7272A699}" name="Exposición" dataDxfId="181"/>
    <tableColumn id="8" xr3:uid="{7AB4DB4D-AE68-4160-A03A-FCDB4E7546E5}" name="Capacidad" dataDxfId="180"/>
    <tableColumn id="9" xr3:uid="{1354059D-8430-454F-87FD-5887F9F6B688}" name="Resiliencia" dataDxfId="179"/>
    <tableColumn id="10" xr3:uid="{BC196392-856A-4221-9F76-9E4E7BC1F726}" name="GAFI" dataDxfId="178"/>
    <tableColumn id="11" xr3:uid="{1CE9226F-8F31-4975-BF4A-078BB1C41195}" name="MODELO" dataDxfId="177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Enlaces" displayName="tblEnlaces" ref="F4:W30" headerRowDxfId="176" dataDxfId="175" totalsRowDxfId="174">
  <sortState xmlns:xlrd2="http://schemas.microsoft.com/office/spreadsheetml/2017/richdata2" ref="F5:Q30">
    <sortCondition ref="F4:F30"/>
  </sortState>
  <tableColumns count="18">
    <tableColumn id="1" xr3:uid="{00000000-0010-0000-0200-000001000000}" name="EdgeID" dataDxfId="173"/>
    <tableColumn id="2" xr3:uid="{00000000-0010-0000-0200-000002000000}" name="Nodo Origen" dataDxfId="172"/>
    <tableColumn id="3" xr3:uid="{00000000-0010-0000-0200-000003000000}" name="Nodo Destino" dataDxfId="171"/>
    <tableColumn id="4" xr3:uid="{00000000-0010-0000-0200-000004000000}" name="Tipo de Enlace" dataDxfId="170"/>
    <tableColumn id="21" xr3:uid="{9EA0CAA5-0A23-473B-943E-3CC802BE75BA}" name="Canal" dataDxfId="169"/>
    <tableColumn id="5" xr3:uid="{00000000-0010-0000-0200-000005000000}" name="Activo" dataDxfId="168"/>
    <tableColumn id="6" xr3:uid="{00000000-0010-0000-0200-000006000000}" name="Tipo de Justificación" dataDxfId="167"/>
    <tableColumn id="11" xr3:uid="{00000000-0010-0000-0200-00000B000000}" name="Coste" dataDxfId="166">
      <calculatedColumnFormula>VLOOKUP(tblEnlaces[[#This Row],[Canal]],tblCanales[#All],4,FALSE)</calculatedColumnFormula>
    </tableColumn>
    <tableColumn id="13" xr3:uid="{00000000-0010-0000-0200-00000D000000}" name="Eficiencia" dataDxfId="165">
      <calculatedColumnFormula>VLOOKUP(tblEnlaces[[#This Row],[Canal]],tblCanales[#All],5,FALSE)</calculatedColumnFormula>
    </tableColumn>
    <tableColumn id="12" xr3:uid="{00000000-0010-0000-0200-00000C000000}" name="Exposición" dataDxfId="164">
      <calculatedColumnFormula>VLOOKUP(tblEnlaces[[#This Row],[Canal]],tblCanales[#All],6,FALSE)</calculatedColumnFormula>
    </tableColumn>
    <tableColumn id="10" xr3:uid="{00000000-0010-0000-0200-00000A000000}" name="Capacidad" dataDxfId="163">
      <calculatedColumnFormula>VLOOKUP(tblEnlaces[[#This Row],[Canal]],tblCanales[#All],7,FALSE)</calculatedColumnFormula>
    </tableColumn>
    <tableColumn id="9" xr3:uid="{00000000-0010-0000-0200-000009000000}" name="Resiliencia" dataDxfId="162">
      <calculatedColumnFormula>VLOOKUP(tblEnlaces[[#This Row],[Canal]],tblCanales[#All],8,FALSE)</calculatedColumnFormula>
    </tableColumn>
    <tableColumn id="23" xr3:uid="{D5ECEEAB-319C-416C-A120-BD842AFC8541}" name="Coste (peso)" dataDxfId="161" totalsRowDxfId="160">
      <calculatedColumnFormula>IFERROR(_xlfn.XLOOKUP(tblEnlaces[[#This Row],[Coste]],tblPesosCoste[Valor],tblPesosCoste[Coste],0),0)</calculatedColumnFormula>
    </tableColumn>
    <tableColumn id="24" xr3:uid="{38505D25-3830-4BBB-8DCF-E8583124C910}" name="Eficiencia (peso)" dataDxfId="159" totalsRowDxfId="158">
      <calculatedColumnFormula>IFERROR(_xlfn.XLOOKUP(tblEnlaces[[#This Row],[Eficiencia]],tblPesosValorOperativo[Valor],tblPesosValorOperativo[Eficiencia],0),0)</calculatedColumnFormula>
    </tableColumn>
    <tableColumn id="25" xr3:uid="{8E52D89B-D169-4F48-AD66-44B1E56CB633}" name="Exposición (peso)" dataDxfId="157" totalsRowDxfId="156">
      <calculatedColumnFormula>IFERROR(_xlfn.XLOOKUP(tblEnlaces[[#This Row],[Exposición]],tblPesosValorOperativo[Valor],tblPesosValorOperativo[Exposición],0),0)</calculatedColumnFormula>
    </tableColumn>
    <tableColumn id="26" xr3:uid="{1F2413A4-A4B8-4902-8061-3A60A70F9F2F}" name="Capacidad (peso)" dataDxfId="155" totalsRowDxfId="154">
      <calculatedColumnFormula>IFERROR(_xlfn.XLOOKUP(tblEnlaces[[#This Row],[Capacidad]],tblPesosValorOperativo[Valor],tblPesosValorOperativo[Capacidad],0),0)</calculatedColumnFormula>
    </tableColumn>
    <tableColumn id="27" xr3:uid="{67FAA096-3D2B-4E91-9E1F-AEE59F7A690B}" name="Resiliencia (peso)" dataDxfId="153" totalsRowDxfId="152">
      <calculatedColumnFormula>IFERROR(_xlfn.XLOOKUP(tblEnlaces[[#This Row],[Resiliencia]],tblPesosValorOperativo[Valor],tblPesosValorOperativo[Resiliencia],0),0)</calculatedColumnFormula>
    </tableColumn>
    <tableColumn id="28" xr3:uid="{378FBC0C-D6D1-4CC5-A688-4AE8E0EEFF15}" name="Valor Operativo (peso)" dataDxfId="151" totalsRowDxfId="150">
      <calculatedColumnFormula>tblEnlaces[[#This Row],[Eficiencia (peso)]]+tblEnlaces[[#This Row],[Resiliencia (peso)]]+tblEnlaces[[#This Row],[Capacidad (peso)]]+tblEnlaces[[#This Row],[Exposición (peso)]]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DC6F96A-F4EE-47C4-BDEE-5FEF01404F9B}" name="tblNodos" displayName="tblNodos" ref="A4:D23" headerRowDxfId="149" dataDxfId="148" totalsRowDxfId="147">
  <autoFilter ref="A4:D23" xr:uid="{EDC6F96A-F4EE-47C4-BDEE-5FEF01404F9B}"/>
  <tableColumns count="4">
    <tableColumn id="1" xr3:uid="{C216D4B9-76C9-4611-A97A-027837B07F56}" name="NodoID" dataDxfId="146"/>
    <tableColumn id="2" xr3:uid="{425384C0-D0A9-4E9A-A93C-65C1B3B77DB1}" name="Nombre" dataDxfId="145"/>
    <tableColumn id="3" xr3:uid="{434558A9-CDA8-4827-AF85-9621517F0875}" name="Tipo" dataDxfId="144"/>
    <tableColumn id="4" xr3:uid="{B0504143-65F8-445A-9B1A-9CA91BFF8129}" name="Activo" dataDxfId="143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MatrizDeAdyacencia" displayName="tblMatrizDeAdyacencia" ref="B3:V22" totalsRowShown="0" headerRowDxfId="142" dataDxfId="140" headerRowBorderDxfId="141" tableBorderDxfId="139" totalsRowBorderDxfId="138">
  <tableColumns count="21">
    <tableColumn id="21" xr3:uid="{00000000-0010-0000-0300-000015000000}" name="Nombre Nodo" dataDxfId="137">
      <calculatedColumnFormula>VLOOKUP(tblMatrizDeAdyacencia[[#This Row],[NodoOrigen \ NodoDestino]],tblNodos[],2,FALSE)</calculatedColumnFormula>
    </tableColumn>
    <tableColumn id="1" xr3:uid="{00000000-0010-0000-0300-000001000000}" name="NodoOrigen \ NodoDestino" dataDxfId="136"/>
    <tableColumn id="2" xr3:uid="{00000000-0010-0000-0300-000002000000}" name="O1" dataDxfId="135">
      <calculatedColumnFormula>IF(COUNTIFS(Red!$G$5:$G$30,$C4,Red!$H$5:$H$30,D$3,Red!$K$5:$K$30,1)&gt;0,1,0)</calculatedColumnFormula>
    </tableColumn>
    <tableColumn id="3" xr3:uid="{00000000-0010-0000-0300-000003000000}" name="O2" dataDxfId="134">
      <calculatedColumnFormula>IF(COUNTIFS(Red!$G$5:$G$30,$C4,Red!$H$5:$H$30,E$3,Red!$K$5:$K$30,1)&gt;0,1,0)</calculatedColumnFormula>
    </tableColumn>
    <tableColumn id="4" xr3:uid="{00000000-0010-0000-0300-000004000000}" name="O3" dataDxfId="133">
      <calculatedColumnFormula>IF(COUNTIFS(Red!$G$5:$G$30,$C4,Red!$H$5:$H$30,F$3,Red!$K$5:$K$30,1)&gt;0,1,0)</calculatedColumnFormula>
    </tableColumn>
    <tableColumn id="5" xr3:uid="{00000000-0010-0000-0300-000005000000}" name="O4" dataDxfId="132">
      <calculatedColumnFormula>IF(COUNTIFS(Red!$G$5:$G$30,$C4,Red!$H$5:$H$30,G$3,Red!$K$5:$K$30,1)&gt;0,1,0)</calculatedColumnFormula>
    </tableColumn>
    <tableColumn id="6" xr3:uid="{00000000-0010-0000-0300-000006000000}" name="O5" dataDxfId="131">
      <calculatedColumnFormula>IF(COUNTIFS(Red!$G$5:$G$30,$C4,Red!$H$5:$H$30,H$3,Red!$K$5:$K$30,1)&gt;0,1,0)</calculatedColumnFormula>
    </tableColumn>
    <tableColumn id="7" xr3:uid="{00000000-0010-0000-0300-000007000000}" name="O6" dataDxfId="130">
      <calculatedColumnFormula>IF(COUNTIFS(Red!$G$5:$G$30,$C4,Red!$H$5:$H$30,I$3,Red!$K$5:$K$30,1)&gt;0,1,0)</calculatedColumnFormula>
    </tableColumn>
    <tableColumn id="8" xr3:uid="{00000000-0010-0000-0300-000008000000}" name="C1" dataDxfId="129">
      <calculatedColumnFormula>IF(COUNTIFS(Red!$G$5:$G$30,$C4,Red!$H$5:$H$30,J$3,Red!$K$5:$K$30,1)&gt;0,1,0)</calculatedColumnFormula>
    </tableColumn>
    <tableColumn id="9" xr3:uid="{00000000-0010-0000-0300-000009000000}" name="C2" dataDxfId="128">
      <calculatedColumnFormula>IF(COUNTIFS(Red!$G$5:$G$30,$C4,Red!$H$5:$H$30,K$3,Red!$K$5:$K$30,1)&gt;0,1,0)</calculatedColumnFormula>
    </tableColumn>
    <tableColumn id="10" xr3:uid="{00000000-0010-0000-0300-00000A000000}" name="C3" dataDxfId="127">
      <calculatedColumnFormula>IF(COUNTIFS(Red!$G$5:$G$30,$C4,Red!$H$5:$H$30,L$3,Red!$K$5:$K$30,1)&gt;0,1,0)</calculatedColumnFormula>
    </tableColumn>
    <tableColumn id="11" xr3:uid="{00000000-0010-0000-0300-00000B000000}" name="R1" dataDxfId="126">
      <calculatedColumnFormula>IF(COUNTIFS(Red!$G$5:$G$30,$C4,Red!$H$5:$H$30,M$3,Red!$K$5:$K$30,1)&gt;0,1,0)</calculatedColumnFormula>
    </tableColumn>
    <tableColumn id="12" xr3:uid="{00000000-0010-0000-0300-00000C000000}" name="R2" dataDxfId="125">
      <calculatedColumnFormula>IF(COUNTIFS(Red!$G$5:$G$30,$C4,Red!$H$5:$H$30,N$3,Red!$K$5:$K$30,1)&gt;0,1,0)</calculatedColumnFormula>
    </tableColumn>
    <tableColumn id="13" xr3:uid="{00000000-0010-0000-0300-00000D000000}" name="R3" dataDxfId="124">
      <calculatedColumnFormula>IF(COUNTIFS(Red!$G$5:$G$30,$C4,Red!$H$5:$H$30,O$3,Red!$K$5:$K$30,1)&gt;0,1,0)</calculatedColumnFormula>
    </tableColumn>
    <tableColumn id="14" xr3:uid="{00000000-0010-0000-0300-00000E000000}" name="R4" dataDxfId="123">
      <calculatedColumnFormula>IF(COUNTIFS(Red!$G$5:$G$30,$C4,Red!$H$5:$H$30,P$3,Red!$K$5:$K$30,1)&gt;0,1,0)</calculatedColumnFormula>
    </tableColumn>
    <tableColumn id="15" xr3:uid="{00000000-0010-0000-0300-00000F000000}" name="R5" dataDxfId="122">
      <calculatedColumnFormula>IF(COUNTIFS(Red!$G$5:$G$30,$C4,Red!$H$5:$H$30,Q$3,Red!$K$5:$K$30,1)&gt;0,1,0)</calculatedColumnFormula>
    </tableColumn>
    <tableColumn id="16" xr3:uid="{00000000-0010-0000-0300-000010000000}" name="R6" dataDxfId="121">
      <calculatedColumnFormula>IF(COUNTIFS(Red!$G$5:$G$30,$C4,Red!$H$5:$H$30,R$3,Red!$K$5:$K$30,1)&gt;0,1,0)</calculatedColumnFormula>
    </tableColumn>
    <tableColumn id="17" xr3:uid="{00000000-0010-0000-0300-000011000000}" name="R7" dataDxfId="120">
      <calculatedColumnFormula>IF(COUNTIFS(Red!$G$5:$G$30,$C4,Red!$H$5:$H$30,S$3,Red!$K$5:$K$30,1)&gt;0,1,0)</calculatedColumnFormula>
    </tableColumn>
    <tableColumn id="18" xr3:uid="{00000000-0010-0000-0300-000012000000}" name="R8" dataDxfId="119">
      <calculatedColumnFormula>IF(COUNTIFS(Red!$G$5:$G$30,$C4,Red!$H$5:$H$30,T$3,Red!$K$5:$K$30,1)&gt;0,1,0)</calculatedColumnFormula>
    </tableColumn>
    <tableColumn id="19" xr3:uid="{00000000-0010-0000-0300-000013000000}" name="R9" dataDxfId="118">
      <calculatedColumnFormula>IF(COUNTIFS(Red!$G$5:$G$30,$C4,Red!$H$5:$H$30,U$3,Red!$K$5:$K$30,1)&gt;0,1,0)</calculatedColumnFormula>
    </tableColumn>
    <tableColumn id="20" xr3:uid="{00000000-0010-0000-0300-000014000000}" name="D1" dataDxfId="117">
      <calculatedColumnFormula>IF(COUNTIFS(Red!$G$5:$G$30,$C4,Red!$H$5:$H$30,V$3,Red!$K$5:$K$30,1)&gt;0,1,0)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19F938E-46CC-49F1-9A1F-6017755965D1}" name="tblMatrizPonderadaCostes" displayName="tblMatrizPonderadaCostes" ref="B3:V22" totalsRowShown="0" headerRowDxfId="116" dataDxfId="114" headerRowBorderDxfId="115" tableBorderDxfId="113" totalsRowBorderDxfId="112">
  <tableColumns count="21">
    <tableColumn id="21" xr3:uid="{2A9AC9D7-CC14-4058-8CF2-7CDFEC15F78F}" name="Nombre Nodo" dataDxfId="111">
      <calculatedColumnFormula>VLOOKUP(tblMatrizDeAdyacencia[[#This Row],[NodoOrigen \ NodoDestino]],tblNodos[],2,FALSE)</calculatedColumnFormula>
    </tableColumn>
    <tableColumn id="1" xr3:uid="{3A911174-7F39-43D0-8D1B-0D1A251C78CF}" name="NodoOrigen \ NodoDestino" dataDxfId="110"/>
    <tableColumn id="2" xr3:uid="{79E6108F-3B54-4663-83BD-0E9A6288B0A8}" name="O1" dataDxfId="109">
      <calculatedColumnFormula>IF(MatrizDeAdyacencia!D4=1,SUMIFS(tblEnlaces[Coste (peso)],tblEnlaces[Nodo Origen],$C4,tblEnlaces[Nodo Destino],D$3,tblEnlaces[Activo],1),0)</calculatedColumnFormula>
    </tableColumn>
    <tableColumn id="3" xr3:uid="{74BBA163-10F6-4D74-863C-C4517633500F}" name="O2" dataDxfId="108">
      <calculatedColumnFormula>IF(MatrizDeAdyacencia!E4=1,SUMIFS(tblEnlaces[Coste (peso)],tblEnlaces[Nodo Origen],$C4,tblEnlaces[Nodo Destino],E$3,tblEnlaces[Activo],1),0)</calculatedColumnFormula>
    </tableColumn>
    <tableColumn id="4" xr3:uid="{5D6ADA5C-E165-41EC-803D-18F7A270611C}" name="O3" dataDxfId="107">
      <calculatedColumnFormula>IF(MatrizDeAdyacencia!F4=1,SUMIFS(tblEnlaces[Coste (peso)],tblEnlaces[Nodo Origen],$C4,tblEnlaces[Nodo Destino],F$3,tblEnlaces[Activo],1),0)</calculatedColumnFormula>
    </tableColumn>
    <tableColumn id="5" xr3:uid="{035B34FA-1623-4B86-B0EE-0CC6694FFD7C}" name="O4" dataDxfId="106">
      <calculatedColumnFormula>IF(MatrizDeAdyacencia!G4=1,SUMIFS(tblEnlaces[Coste (peso)],tblEnlaces[Nodo Origen],$C4,tblEnlaces[Nodo Destino],G$3,tblEnlaces[Activo],1),0)</calculatedColumnFormula>
    </tableColumn>
    <tableColumn id="6" xr3:uid="{27739639-E082-4698-9A4C-15EDA8612A83}" name="O5" dataDxfId="105">
      <calculatedColumnFormula>IF(MatrizDeAdyacencia!H4=1,SUMIFS(tblEnlaces[Coste (peso)],tblEnlaces[Nodo Origen],$C4,tblEnlaces[Nodo Destino],H$3,tblEnlaces[Activo],1),0)</calculatedColumnFormula>
    </tableColumn>
    <tableColumn id="7" xr3:uid="{ED768978-7E7B-49CD-A202-FE8EBE9E64E0}" name="O6" dataDxfId="104">
      <calculatedColumnFormula>IF(MatrizDeAdyacencia!I4=1,SUMIFS(tblEnlaces[Coste (peso)],tblEnlaces[Nodo Origen],$C4,tblEnlaces[Nodo Destino],I$3,tblEnlaces[Activo],1),0)</calculatedColumnFormula>
    </tableColumn>
    <tableColumn id="8" xr3:uid="{37684012-4DC0-48DA-8E67-185403ABB81C}" name="C1" dataDxfId="103">
      <calculatedColumnFormula>IF(MatrizDeAdyacencia!J4=1,SUMIFS(tblEnlaces[Coste (peso)],tblEnlaces[Nodo Origen],$C4,tblEnlaces[Nodo Destino],J$3,tblEnlaces[Activo],1),0)</calculatedColumnFormula>
    </tableColumn>
    <tableColumn id="9" xr3:uid="{E3684910-7769-4AEF-8800-33DC2F8D7ABC}" name="C2" dataDxfId="102">
      <calculatedColumnFormula>IF(MatrizDeAdyacencia!K4=1,SUMIFS(tblEnlaces[Coste (peso)],tblEnlaces[Nodo Origen],$C4,tblEnlaces[Nodo Destino],K$3,tblEnlaces[Activo],1),0)</calculatedColumnFormula>
    </tableColumn>
    <tableColumn id="10" xr3:uid="{A095B3C4-5019-4082-93A5-E12BDE733061}" name="C3" dataDxfId="101">
      <calculatedColumnFormula>IF(MatrizDeAdyacencia!L4=1,SUMIFS(tblEnlaces[Coste (peso)],tblEnlaces[Nodo Origen],$C4,tblEnlaces[Nodo Destino],L$3,tblEnlaces[Activo],1),0)</calculatedColumnFormula>
    </tableColumn>
    <tableColumn id="11" xr3:uid="{C5072B89-856A-4694-9D8B-17C4DB67DFF8}" name="R1" dataDxfId="100">
      <calculatedColumnFormula>IF(MatrizDeAdyacencia!M4=1,SUMIFS(tblEnlaces[Coste (peso)],tblEnlaces[Nodo Origen],$C4,tblEnlaces[Nodo Destino],M$3,tblEnlaces[Activo],1),0)</calculatedColumnFormula>
    </tableColumn>
    <tableColumn id="12" xr3:uid="{0BD76649-1EE0-46D9-8718-F9A6F67BE379}" name="R2" dataDxfId="99">
      <calculatedColumnFormula>IF(MatrizDeAdyacencia!N4=1,SUMIFS(tblEnlaces[Coste (peso)],tblEnlaces[Nodo Origen],$C4,tblEnlaces[Nodo Destino],N$3,tblEnlaces[Activo],1),0)</calculatedColumnFormula>
    </tableColumn>
    <tableColumn id="13" xr3:uid="{263255E9-BE7D-4E45-A463-5AD358998CB9}" name="R3" dataDxfId="98">
      <calculatedColumnFormula>IF(MatrizDeAdyacencia!O4=1,SUMIFS(tblEnlaces[Coste (peso)],tblEnlaces[Nodo Origen],$C4,tblEnlaces[Nodo Destino],O$3,tblEnlaces[Activo],1),0)</calculatedColumnFormula>
    </tableColumn>
    <tableColumn id="14" xr3:uid="{7AF510BB-CB1B-461F-8746-C7133DC25996}" name="R4" dataDxfId="97">
      <calculatedColumnFormula>IF(MatrizDeAdyacencia!P4=1,SUMIFS(tblEnlaces[Coste (peso)],tblEnlaces[Nodo Origen],$C4,tblEnlaces[Nodo Destino],P$3,tblEnlaces[Activo],1),0)</calculatedColumnFormula>
    </tableColumn>
    <tableColumn id="15" xr3:uid="{42A7B19E-8A6C-4FA9-A2E9-2B83EC8917D4}" name="R5" dataDxfId="96">
      <calculatedColumnFormula>IF(MatrizDeAdyacencia!Q4=1,SUMIFS(tblEnlaces[Coste (peso)],tblEnlaces[Nodo Origen],$C4,tblEnlaces[Nodo Destino],Q$3,tblEnlaces[Activo],1),0)</calculatedColumnFormula>
    </tableColumn>
    <tableColumn id="16" xr3:uid="{C9AE28B0-4117-4A3D-8381-F7E9417F1616}" name="R6" dataDxfId="95">
      <calculatedColumnFormula>IF(MatrizDeAdyacencia!R4=1,SUMIFS(tblEnlaces[Coste (peso)],tblEnlaces[Nodo Origen],$C4,tblEnlaces[Nodo Destino],R$3,tblEnlaces[Activo],1),0)</calculatedColumnFormula>
    </tableColumn>
    <tableColumn id="17" xr3:uid="{92A0B734-1347-429D-A2CB-8D857E4CD34E}" name="R7" dataDxfId="94">
      <calculatedColumnFormula>IF(MatrizDeAdyacencia!S4=1,SUMIFS(tblEnlaces[Coste (peso)],tblEnlaces[Nodo Origen],$C4,tblEnlaces[Nodo Destino],S$3,tblEnlaces[Activo],1),0)</calculatedColumnFormula>
    </tableColumn>
    <tableColumn id="18" xr3:uid="{667134D2-C221-4A4D-9FB1-909ACDC0DDB5}" name="R8" dataDxfId="93">
      <calculatedColumnFormula>IF(MatrizDeAdyacencia!T4=1,SUMIFS(tblEnlaces[Coste (peso)],tblEnlaces[Nodo Origen],$C4,tblEnlaces[Nodo Destino],T$3,tblEnlaces[Activo],1),0)</calculatedColumnFormula>
    </tableColumn>
    <tableColumn id="19" xr3:uid="{338C87EB-B9DD-49EE-9C5C-4BCE63EF4744}" name="R9" dataDxfId="92">
      <calculatedColumnFormula>IF(MatrizDeAdyacencia!U4=1,SUMIFS(tblEnlaces[Coste (peso)],tblEnlaces[Nodo Origen],$C4,tblEnlaces[Nodo Destino],U$3,tblEnlaces[Activo],1),0)</calculatedColumnFormula>
    </tableColumn>
    <tableColumn id="20" xr3:uid="{6E3807F5-486A-4D01-9C7A-D8CBDABFB157}" name="D1" dataDxfId="91">
      <calculatedColumnFormula>IF(MatrizDeAdyacencia!V4=1,SUMIFS(tblEnlaces[Coste (peso)],tblEnlaces[Nodo Origen],$C4,tblEnlaces[Nodo Destino],V$3,tblEnlaces[Activo],1),0)</calculatedColumnFormula>
    </tableColumn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3A860C4-F3F6-438A-94ED-DFA95D98100E}" name="tblPesosCoste" displayName="tblPesosCoste" ref="Y4:Z9" totalsRowShown="0" headerRowDxfId="90" dataDxfId="88" headerRowBorderDxfId="89" tableBorderDxfId="87">
  <autoFilter ref="Y4:Z9" xr:uid="{53A860C4-F3F6-438A-94ED-DFA95D98100E}">
    <filterColumn colId="0" hiddenButton="1"/>
    <filterColumn colId="1" hiddenButton="1"/>
  </autoFilter>
  <tableColumns count="2">
    <tableColumn id="1" xr3:uid="{E1E6CBAC-71D7-49B4-97B4-D7CD1992E449}" name="Valor" dataDxfId="86"/>
    <tableColumn id="4" xr3:uid="{5D97B706-55F4-46C7-B8B4-663F39805E8B}" name="Coste" dataDxfId="85"/>
  </tableColumns>
  <tableStyleInfo name="TableStyleMedium16" showFirstColumn="0" showLastColumn="0" showRowStripes="0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6EEA98C-81AE-44A3-B7B7-DDC02BD7FDF3}" name="tblRangoEnlace" displayName="tblRangoEnlace" ref="Y12:Z14" totalsRowShown="0" headerRowDxfId="84" headerRowBorderDxfId="83">
  <tableColumns count="2">
    <tableColumn id="1" xr3:uid="{241E10B4-3B7B-4E19-92EA-AA4D53964641}" name="Rango del Enlace" dataDxfId="82"/>
    <tableColumn id="2" xr3:uid="{20B4E6FB-3DB7-4113-AD20-5780FA4D1775}" name="Coste" dataDxfId="81"/>
  </tableColumns>
  <tableStyleInfo name="TableStyleMedium16" showFirstColumn="0" showLastColumn="0" showRowStripes="0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3763AE3-0C07-44F8-B723-CD50D544B597}" name="tblMatrizPonderadaValorOperativo" displayName="tblMatrizPonderadaValorOperativo" ref="B3:V22" totalsRowShown="0" headerRowDxfId="246" dataDxfId="244" headerRowBorderDxfId="245" tableBorderDxfId="243" totalsRowBorderDxfId="242">
  <tableColumns count="21">
    <tableColumn id="21" xr3:uid="{AB0E4632-ED12-49C5-876A-D0C45597103C}" name="Nombre Nodo" dataDxfId="241">
      <calculatedColumnFormula>VLOOKUP(tblMatrizDeAdyacencia[[#This Row],[NodoOrigen \ NodoDestino]],tblNodos[],2,FALSE)</calculatedColumnFormula>
    </tableColumn>
    <tableColumn id="1" xr3:uid="{1F5E2E88-3C78-4615-A934-EA38CE88F1DA}" name="NodoOrigen \ NodoDestino" dataDxfId="240"/>
    <tableColumn id="2" xr3:uid="{7A66295D-CA43-492F-8775-35115F7A44EA}" name="O1" dataDxfId="239">
      <calculatedColumnFormula>IF(MatrizDeAdyacencia!D4=1,SUMIFS(tblEnlaces[Valor Operativo (peso)],tblEnlaces[Nodo Origen],$C4,tblEnlaces[Nodo Destino],D$3,tblEnlaces[Activo],1),0)</calculatedColumnFormula>
    </tableColumn>
    <tableColumn id="3" xr3:uid="{B8A230F9-7293-4177-956A-4E8B8C3CDA07}" name="O2" dataDxfId="238">
      <calculatedColumnFormula>IF(MatrizDeAdyacencia!E4=1,SUMIFS(tblEnlaces[Valor Operativo (peso)],tblEnlaces[Nodo Origen],$C4,tblEnlaces[Nodo Destino],E$3,tblEnlaces[Activo],1),0)</calculatedColumnFormula>
    </tableColumn>
    <tableColumn id="4" xr3:uid="{58464D2B-4CD6-441D-AB43-966A10F72197}" name="O3" dataDxfId="237">
      <calculatedColumnFormula>IF(MatrizDeAdyacencia!F4=1,SUMIFS(tblEnlaces[Valor Operativo (peso)],tblEnlaces[Nodo Origen],$C4,tblEnlaces[Nodo Destino],F$3,tblEnlaces[Activo],1),0)</calculatedColumnFormula>
    </tableColumn>
    <tableColumn id="5" xr3:uid="{B54A5E25-CEE0-4DA6-8517-04ED3BBF73C6}" name="O4" dataDxfId="236">
      <calculatedColumnFormula>IF(MatrizDeAdyacencia!G4=1,SUMIFS(tblEnlaces[Valor Operativo (peso)],tblEnlaces[Nodo Origen],$C4,tblEnlaces[Nodo Destino],G$3,tblEnlaces[Activo],1),0)</calculatedColumnFormula>
    </tableColumn>
    <tableColumn id="6" xr3:uid="{6A0BB34B-830D-4E04-B8C9-46624641D569}" name="O5" dataDxfId="235">
      <calculatedColumnFormula>IF(MatrizDeAdyacencia!H4=1,SUMIFS(tblEnlaces[Valor Operativo (peso)],tblEnlaces[Nodo Origen],$C4,tblEnlaces[Nodo Destino],H$3,tblEnlaces[Activo],1),0)</calculatedColumnFormula>
    </tableColumn>
    <tableColumn id="7" xr3:uid="{00DB80CE-0309-4FD9-950E-24D1DFDD9FFF}" name="O6" dataDxfId="234">
      <calculatedColumnFormula>IF(MatrizDeAdyacencia!I4=1,SUMIFS(tblEnlaces[Valor Operativo (peso)],tblEnlaces[Nodo Origen],$C4,tblEnlaces[Nodo Destino],I$3,tblEnlaces[Activo],1),0)</calculatedColumnFormula>
    </tableColumn>
    <tableColumn id="8" xr3:uid="{7AA5A8CA-1E8D-4093-864B-7D03F5756DC4}" name="C1" dataDxfId="233">
      <calculatedColumnFormula>IF(MatrizDeAdyacencia!J4=1,SUMIFS(tblEnlaces[Valor Operativo (peso)],tblEnlaces[Nodo Origen],$C4,tblEnlaces[Nodo Destino],J$3,tblEnlaces[Activo],1),0)</calculatedColumnFormula>
    </tableColumn>
    <tableColumn id="9" xr3:uid="{03497B6C-E6A2-42BB-B97E-C56E12C9418F}" name="C2" dataDxfId="232">
      <calculatedColumnFormula>IF(MatrizDeAdyacencia!K4=1,SUMIFS(tblEnlaces[Valor Operativo (peso)],tblEnlaces[Nodo Origen],$C4,tblEnlaces[Nodo Destino],K$3,tblEnlaces[Activo],1),0)</calculatedColumnFormula>
    </tableColumn>
    <tableColumn id="10" xr3:uid="{0FA96BFD-FC30-4C99-86C3-1B3F7728768B}" name="C3" dataDxfId="231">
      <calculatedColumnFormula>IF(MatrizDeAdyacencia!L4=1,SUMIFS(tblEnlaces[Valor Operativo (peso)],tblEnlaces[Nodo Origen],$C4,tblEnlaces[Nodo Destino],L$3,tblEnlaces[Activo],1),0)</calculatedColumnFormula>
    </tableColumn>
    <tableColumn id="11" xr3:uid="{F3EDBB22-EAE5-496E-8608-9EED6CF8096A}" name="R1" dataDxfId="230">
      <calculatedColumnFormula>IF(MatrizDeAdyacencia!M4=1,SUMIFS(tblEnlaces[Valor Operativo (peso)],tblEnlaces[Nodo Origen],$C4,tblEnlaces[Nodo Destino],M$3,tblEnlaces[Activo],1),0)</calculatedColumnFormula>
    </tableColumn>
    <tableColumn id="12" xr3:uid="{EE195140-EF30-4914-AEA7-9A979743FE44}" name="R2" dataDxfId="229">
      <calculatedColumnFormula>IF(MatrizDeAdyacencia!N4=1,SUMIFS(tblEnlaces[Valor Operativo (peso)],tblEnlaces[Nodo Origen],$C4,tblEnlaces[Nodo Destino],N$3,tblEnlaces[Activo],1),0)</calculatedColumnFormula>
    </tableColumn>
    <tableColumn id="13" xr3:uid="{940C992B-DC9E-4078-B43B-AD2A2ADF88AA}" name="R3" dataDxfId="228">
      <calculatedColumnFormula>IF(MatrizDeAdyacencia!O4=1,SUMIFS(tblEnlaces[Valor Operativo (peso)],tblEnlaces[Nodo Origen],$C4,tblEnlaces[Nodo Destino],O$3,tblEnlaces[Activo],1),0)</calculatedColumnFormula>
    </tableColumn>
    <tableColumn id="14" xr3:uid="{542FFF8E-DD7B-4C4C-9B1B-C885472540BA}" name="R4" dataDxfId="227">
      <calculatedColumnFormula>IF(MatrizDeAdyacencia!P4=1,SUMIFS(tblEnlaces[Valor Operativo (peso)],tblEnlaces[Nodo Origen],$C4,tblEnlaces[Nodo Destino],P$3,tblEnlaces[Activo],1),0)</calculatedColumnFormula>
    </tableColumn>
    <tableColumn id="15" xr3:uid="{054CF94A-1A1E-4D9F-8BA6-8813EF51323B}" name="R5" dataDxfId="226">
      <calculatedColumnFormula>IF(MatrizDeAdyacencia!Q4=1,SUMIFS(tblEnlaces[Valor Operativo (peso)],tblEnlaces[Nodo Origen],$C4,tblEnlaces[Nodo Destino],Q$3,tblEnlaces[Activo],1),0)</calculatedColumnFormula>
    </tableColumn>
    <tableColumn id="16" xr3:uid="{7ED93D8E-5836-4A3E-9935-FBC89CD3F932}" name="R6" dataDxfId="225">
      <calculatedColumnFormula>IF(MatrizDeAdyacencia!R4=1,SUMIFS(tblEnlaces[Valor Operativo (peso)],tblEnlaces[Nodo Origen],$C4,tblEnlaces[Nodo Destino],R$3,tblEnlaces[Activo],1),0)</calculatedColumnFormula>
    </tableColumn>
    <tableColumn id="17" xr3:uid="{164A5867-1655-4663-992A-899F25195899}" name="R7" dataDxfId="224">
      <calculatedColumnFormula>IF(MatrizDeAdyacencia!S4=1,SUMIFS(tblEnlaces[Valor Operativo (peso)],tblEnlaces[Nodo Origen],$C4,tblEnlaces[Nodo Destino],S$3,tblEnlaces[Activo],1),0)</calculatedColumnFormula>
    </tableColumn>
    <tableColumn id="18" xr3:uid="{E33E9D43-CAE7-4043-AE20-D5AC6983C7DD}" name="R8" dataDxfId="223">
      <calculatedColumnFormula>IF(MatrizDeAdyacencia!T4=1,SUMIFS(tblEnlaces[Valor Operativo (peso)],tblEnlaces[Nodo Origen],$C4,tblEnlaces[Nodo Destino],T$3,tblEnlaces[Activo],1),0)</calculatedColumnFormula>
    </tableColumn>
    <tableColumn id="19" xr3:uid="{5758BF82-052C-40CF-8505-1FBCD9CE2809}" name="R9" dataDxfId="222">
      <calculatedColumnFormula>IF(MatrizDeAdyacencia!U4=1,SUMIFS(tblEnlaces[Valor Operativo (peso)],tblEnlaces[Nodo Origen],$C4,tblEnlaces[Nodo Destino],U$3,tblEnlaces[Activo],1),0)</calculatedColumnFormula>
    </tableColumn>
    <tableColumn id="20" xr3:uid="{B734CB8C-660E-449E-8793-5B1787F00081}" name="D1" dataDxfId="221">
      <calculatedColumnFormula>IF(MatrizDeAdyacencia!V4=1,SUMIFS(tblEnlaces[Valor Operativo (peso)],tblEnlaces[Nodo Origen],$C4,tblEnlaces[Nodo Destino],V$3,tblEnlaces[Activo],1),0)</calculatedColumnFormula>
    </tableColumn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5D156EC0-C7DA-458D-93D7-E916A2987C0A}" name="tblPesosValorOperativo" displayName="tblPesosValorOperativo" ref="Y4:AC9" totalsRowShown="0" headerRowDxfId="220" dataDxfId="218" headerRowBorderDxfId="219">
  <tableColumns count="5">
    <tableColumn id="1" xr3:uid="{B21AD536-482D-4B9A-AB5E-37E015551681}" name="Valor" dataDxfId="217"/>
    <tableColumn id="2" xr3:uid="{F200399A-6022-47BF-9665-7A71F541FDA5}" name="Eficiencia" dataDxfId="216"/>
    <tableColumn id="3" xr3:uid="{FF663B4E-11C8-434F-A1B1-0562E8F7FB14}" name="Exposición" dataDxfId="215"/>
    <tableColumn id="4" xr3:uid="{D5B0977C-E15F-4467-A561-675FCAB097AB}" name="Capacidad" dataDxfId="214"/>
    <tableColumn id="5" xr3:uid="{A82F60D0-C02D-4214-9AB5-F7EDAD97FCF6}" name="Resiliencia" dataDxfId="213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9318777C-0265-4E44-A0BA-CFC469B6C744}" name="tblRangoEnlace1ValorOpertivo" displayName="tblRangoEnlace1ValorOpertivo" ref="Y12:AD14" totalsRowShown="0" headerRowDxfId="212" dataDxfId="210" headerRowBorderDxfId="211">
  <tableColumns count="6">
    <tableColumn id="1" xr3:uid="{753333F3-816E-431E-BB43-7A7927A7163F}" name="Rango del Enlace" dataDxfId="209"/>
    <tableColumn id="2" xr3:uid="{72E9BB48-4FA1-4371-A282-0262F904FF9A}" name="Eficiencia" dataDxfId="208"/>
    <tableColumn id="3" xr3:uid="{87F86AC7-35A2-437C-87BC-FB7CF221D935}" name="Exposición" dataDxfId="207"/>
    <tableColumn id="4" xr3:uid="{3BA6459E-1C77-4D92-88F9-A4DA307EB1FF}" name="Capacidad" dataDxfId="206"/>
    <tableColumn id="5" xr3:uid="{CED3CA81-A959-4820-A212-1AB6D2F76092}" name="Resiliencia" dataDxfId="205"/>
    <tableColumn id="6" xr3:uid="{AFD0E7F4-AEB0-480B-BEDB-0D56FC9A258D}" name="Total" dataDxfId="204"/>
  </tableColumns>
  <tableStyleInfo name="TableStyleLight9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CB388D3-5907-4F27-B1F2-50F7C3CEFD03}" name="tblMatrizTradeOff" displayName="tblMatrizTradeOff" ref="B3:V22" totalsRowShown="0" headerRowDxfId="80" dataDxfId="78" headerRowBorderDxfId="79" tableBorderDxfId="77" totalsRowBorderDxfId="76">
  <tableColumns count="21">
    <tableColumn id="21" xr3:uid="{AA1E6080-4E20-4F11-BF7D-BCF3B7198FDD}" name="Nombre Nodo" dataDxfId="75">
      <calculatedColumnFormula>VLOOKUP(tblMatrizDeAdyacencia[[#This Row],[NodoOrigen \ NodoDestino]],tblNodos[],2,FALSE)</calculatedColumnFormula>
    </tableColumn>
    <tableColumn id="1" xr3:uid="{894C4500-CF7B-4D11-8AA7-3C7C1BD512C6}" name="NodoOrigen \ NodoDestino" dataDxfId="74"/>
    <tableColumn id="2" xr3:uid="{9F705910-1DB5-40FC-A6DE-98805525ACF0}" name="O1" dataDxfId="73">
      <calculatedColumnFormula>IF(OR(MatrizPonderadaCostes!D4=0,MatrizPonderadaValorOperativo!D4=0),0,MatrizPonderadaValorOperativo!D4/MatrizPonderadaCostes!D4)</calculatedColumnFormula>
    </tableColumn>
    <tableColumn id="3" xr3:uid="{50058AD6-7468-4AC7-97C5-05F954228EC1}" name="O2" dataDxfId="72">
      <calculatedColumnFormula>IF(OR(MatrizPonderadaCostes!E4=0,MatrizPonderadaValorOperativo!E4=0),0,MatrizPonderadaValorOperativo!E4/MatrizPonderadaCostes!E4)</calculatedColumnFormula>
    </tableColumn>
    <tableColumn id="4" xr3:uid="{7C94D72A-7710-415D-86F3-659E59F93C96}" name="O3" dataDxfId="71">
      <calculatedColumnFormula>IF(OR(MatrizPonderadaCostes!F4=0,MatrizPonderadaValorOperativo!F4=0),0,MatrizPonderadaValorOperativo!F4/MatrizPonderadaCostes!F4)</calculatedColumnFormula>
    </tableColumn>
    <tableColumn id="5" xr3:uid="{532BA85E-D317-4F75-A439-3A5B03302C28}" name="O4" dataDxfId="70">
      <calculatedColumnFormula>IF(OR(MatrizPonderadaCostes!G4=0,MatrizPonderadaValorOperativo!G4=0),0,MatrizPonderadaValorOperativo!G4/MatrizPonderadaCostes!G4)</calculatedColumnFormula>
    </tableColumn>
    <tableColumn id="6" xr3:uid="{063CA99D-B02A-474E-BF88-15CCC8190E67}" name="O5" dataDxfId="69">
      <calculatedColumnFormula>IF(OR(MatrizPonderadaCostes!H4=0,MatrizPonderadaValorOperativo!H4=0),0,MatrizPonderadaValorOperativo!H4/MatrizPonderadaCostes!H4)</calculatedColumnFormula>
    </tableColumn>
    <tableColumn id="7" xr3:uid="{7BAB99D6-E0DD-44E8-812E-F31B042D5A8F}" name="O6" dataDxfId="68">
      <calculatedColumnFormula>IF(OR(MatrizPonderadaCostes!I4=0,MatrizPonderadaValorOperativo!I4=0),0,MatrizPonderadaValorOperativo!I4/MatrizPonderadaCostes!I4)</calculatedColumnFormula>
    </tableColumn>
    <tableColumn id="8" xr3:uid="{7A6532A5-C6A7-497A-9950-E4CF326FB1D0}" name="I1" dataDxfId="67">
      <calculatedColumnFormula>IF(OR(MatrizPonderadaCostes!J4=0,MatrizPonderadaValorOperativo!J4=0),0,MatrizPonderadaValorOperativo!J4/MatrizPonderadaCostes!J4)</calculatedColumnFormula>
    </tableColumn>
    <tableColumn id="9" xr3:uid="{7D782904-1F98-40F1-90DB-B287194DD5EC}" name="I2" dataDxfId="66">
      <calculatedColumnFormula>IF(OR(MatrizPonderadaCostes!K4=0,MatrizPonderadaValorOperativo!K4=0),0,MatrizPonderadaValorOperativo!K4/MatrizPonderadaCostes!K4)</calculatedColumnFormula>
    </tableColumn>
    <tableColumn id="10" xr3:uid="{F8DFA04B-3F58-4A4C-84F2-C08ECA18C8D0}" name="I3" dataDxfId="65">
      <calculatedColumnFormula>IF(OR(MatrizPonderadaCostes!L4=0,MatrizPonderadaValorOperativo!L4=0),0,MatrizPonderadaValorOperativo!L4/MatrizPonderadaCostes!L4)</calculatedColumnFormula>
    </tableColumn>
    <tableColumn id="11" xr3:uid="{BEE1D8C4-0249-4AEB-85C7-3C1964171690}" name="I4" dataDxfId="64">
      <calculatedColumnFormula>IF(OR(MatrizPonderadaCostes!M4=0,MatrizPonderadaValorOperativo!M4=0),0,MatrizPonderadaValorOperativo!M4/MatrizPonderadaCostes!M4)</calculatedColumnFormula>
    </tableColumn>
    <tableColumn id="12" xr3:uid="{5E8D8652-5E54-4316-9F7E-FE077E7F3845}" name="I5" dataDxfId="63">
      <calculatedColumnFormula>IF(OR(MatrizPonderadaCostes!N4=0,MatrizPonderadaValorOperativo!N4=0),0,MatrizPonderadaValorOperativo!N4/MatrizPonderadaCostes!N4)</calculatedColumnFormula>
    </tableColumn>
    <tableColumn id="13" xr3:uid="{19070E8B-9ED0-4B66-9707-071DEBF3C994}" name="I6" dataDxfId="62">
      <calculatedColumnFormula>IF(OR(MatrizPonderadaCostes!O4=0,MatrizPonderadaValorOperativo!O4=0),0,MatrizPonderadaValorOperativo!O4/MatrizPonderadaCostes!O4)</calculatedColumnFormula>
    </tableColumn>
    <tableColumn id="14" xr3:uid="{76F2DA9F-DAF7-439A-84BF-1733FA9657FD}" name="I7" dataDxfId="61">
      <calculatedColumnFormula>IF(OR(MatrizPonderadaCostes!P4=0,MatrizPonderadaValorOperativo!P4=0),0,MatrizPonderadaValorOperativo!P4/MatrizPonderadaCostes!P4)</calculatedColumnFormula>
    </tableColumn>
    <tableColumn id="15" xr3:uid="{7D6FF674-D8C7-4CDC-B88A-E9A853759EB2}" name="I8" dataDxfId="60">
      <calculatedColumnFormula>IF(OR(MatrizPonderadaCostes!Q4=0,MatrizPonderadaValorOperativo!Q4=0),0,MatrizPonderadaValorOperativo!Q4/MatrizPonderadaCostes!Q4)</calculatedColumnFormula>
    </tableColumn>
    <tableColumn id="16" xr3:uid="{4874BEF7-C26F-4D06-BE1E-88E85D5250AC}" name="I9" dataDxfId="59">
      <calculatedColumnFormula>IF(OR(MatrizPonderadaCostes!R4=0,MatrizPonderadaValorOperativo!R4=0),0,MatrizPonderadaValorOperativo!R4/MatrizPonderadaCostes!R4)</calculatedColumnFormula>
    </tableColumn>
    <tableColumn id="17" xr3:uid="{A372A997-A44F-44EB-AAED-77C0B6E13538}" name="G1" dataDxfId="58">
      <calculatedColumnFormula>IF(OR(MatrizPonderadaCostes!S4=0,MatrizPonderadaValorOperativo!S4=0),0,MatrizPonderadaValorOperativo!S4/MatrizPonderadaCostes!S4)</calculatedColumnFormula>
    </tableColumn>
    <tableColumn id="18" xr3:uid="{0F8CF6FF-ABAA-4A01-AD38-A32A28F3744E}" name="G2" dataDxfId="57">
      <calculatedColumnFormula>IF(OR(MatrizPonderadaCostes!T4=0,MatrizPonderadaValorOperativo!T4=0),0,MatrizPonderadaValorOperativo!T4/MatrizPonderadaCostes!T4)</calculatedColumnFormula>
    </tableColumn>
    <tableColumn id="19" xr3:uid="{AB7C5AA0-D767-454C-BA7B-5A2B55F42FB8}" name="G3" dataDxfId="56">
      <calculatedColumnFormula>IF(OR(MatrizPonderadaCostes!U4=0,MatrizPonderadaValorOperativo!U4=0),0,MatrizPonderadaValorOperativo!U4/MatrizPonderadaCostes!U4)</calculatedColumnFormula>
    </tableColumn>
    <tableColumn id="20" xr3:uid="{23B65986-1386-4DD0-B9E1-CF1D12F9896F}" name="D" dataDxfId="55">
      <calculatedColumnFormula>IF(OR(MatrizPonderadaCostes!V4=0,MatrizPonderadaValorOperativo!V4=0),0,MatrizPonderadaValorOperativo!V4/MatrizPonderadaCostes!V4)</calculatedColumnFormula>
    </tableColumn>
  </tableColumns>
  <tableStyleInfo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873A7B6-81FB-4D79-A0FB-9D6FB64CE88D}" name="tblMatrizDistancias" displayName="tblMatrizDistancias" ref="X3:AR22" totalsRowShown="0" headerRowDxfId="54" dataDxfId="52" headerRowBorderDxfId="53" tableBorderDxfId="51" totalsRowBorderDxfId="50">
  <tableColumns count="21">
    <tableColumn id="21" xr3:uid="{1BAD8E49-23F7-4BE2-B973-AA604F8B446D}" name="Nombre Nodo" dataDxfId="49">
      <calculatedColumnFormula>VLOOKUP(tblMatrizDeAdyacencia[[#This Row],[NodoOrigen \ NodoDestino]],tblNodos[],2,FALSE)</calculatedColumnFormula>
    </tableColumn>
    <tableColumn id="1" xr3:uid="{CCA43D7E-3A02-4B90-B8B1-A5C2C1770B89}" name="NodoOrigen \ NodoDestino" dataDxfId="48"/>
    <tableColumn id="2" xr3:uid="{258A9219-735F-4D5E-96CD-61C2192DE988}" name="O1" dataDxfId="47">
      <calculatedColumnFormula>IF(tblMatrizDistancias[[#This Row],[NodoOrigen \ NodoDestino]]="O1",0,IF(tblMatrizTradeOff[[#This Row],[O1]]=0,9999,1/tblMatrizTradeOff[[#This Row],[O1]]))</calculatedColumnFormula>
    </tableColumn>
    <tableColumn id="3" xr3:uid="{A742D52A-B21E-494D-9BEC-A3E5CC2D1787}" name="O2" dataDxfId="46">
      <calculatedColumnFormula>IF(tblMatrizDistancias[[#This Row],[NodoOrigen \ NodoDestino]]="O2",0,IF(tblMatrizTradeOff[[#This Row],[O2]]=0,9999,1/tblMatrizTradeOff[[#This Row],[O2]]))</calculatedColumnFormula>
    </tableColumn>
    <tableColumn id="4" xr3:uid="{E3462037-DD10-4D8C-B6A1-5ADBA379FEB1}" name="O3" dataDxfId="45">
      <calculatedColumnFormula>IF(tblMatrizDistancias[[#This Row],[NodoOrigen \ NodoDestino]]="O3",0,IF(tblMatrizTradeOff[[#This Row],[O3]]=0,9999,1/tblMatrizTradeOff[[#This Row],[O3]]))</calculatedColumnFormula>
    </tableColumn>
    <tableColumn id="5" xr3:uid="{E48B988C-DC5A-4772-9E34-F71B68D92DCB}" name="O4" dataDxfId="44">
      <calculatedColumnFormula>IF(tblMatrizDistancias[[#This Row],[NodoOrigen \ NodoDestino]]="O4",0,IF(tblMatrizTradeOff[[#This Row],[O4]]=0,9999,1/tblMatrizTradeOff[[#This Row],[O4]]))</calculatedColumnFormula>
    </tableColumn>
    <tableColumn id="6" xr3:uid="{43CEAEF6-D25A-41BD-B40B-81780EA42997}" name="O5" dataDxfId="43">
      <calculatedColumnFormula>IF(tblMatrizDistancias[[#This Row],[NodoOrigen \ NodoDestino]]="O5",0,IF(tblMatrizTradeOff[[#This Row],[O5]]=0,9999,1/tblMatrizTradeOff[[#This Row],[O5]]))</calculatedColumnFormula>
    </tableColumn>
    <tableColumn id="7" xr3:uid="{3924F7A5-FD83-43F2-A080-29822934E0BE}" name="O6" dataDxfId="42">
      <calculatedColumnFormula>IF(tblMatrizDistancias[[#This Row],[NodoOrigen \ NodoDestino]]="O6",0,IF(tblMatrizTradeOff[[#This Row],[O6]]=0,9999,1/tblMatrizTradeOff[[#This Row],[O6]]))</calculatedColumnFormula>
    </tableColumn>
    <tableColumn id="8" xr3:uid="{7547ECC7-C391-409A-A35D-75672D9B0DFF}" name="I1" dataDxfId="41">
      <calculatedColumnFormula>IF(tblMatrizDistancias[[#This Row],[NodoOrigen \ NodoDestino]]="I1",0,IF(tblMatrizTradeOff[[#This Row],[I1]]=0,9999,1/tblMatrizTradeOff[[#This Row],[I1]]))</calculatedColumnFormula>
    </tableColumn>
    <tableColumn id="9" xr3:uid="{10E4BD07-2311-4179-8574-4C902D93606E}" name="I2" dataDxfId="40">
      <calculatedColumnFormula>IF(tblMatrizDistancias[[#This Row],[NodoOrigen \ NodoDestino]]="I2",0,IF(tblMatrizTradeOff[[#This Row],[I2]]=0,9999,1/tblMatrizTradeOff[[#This Row],[I2]]))</calculatedColumnFormula>
    </tableColumn>
    <tableColumn id="10" xr3:uid="{C7634E23-202A-42C0-8E82-749F13342982}" name="I3" dataDxfId="39">
      <calculatedColumnFormula>IF(tblMatrizDistancias[[#This Row],[NodoOrigen \ NodoDestino]]="I3",0,IF(tblMatrizTradeOff[[#This Row],[I3]]=0,9999,1/tblMatrizTradeOff[[#This Row],[I3]]))</calculatedColumnFormula>
    </tableColumn>
    <tableColumn id="11" xr3:uid="{80F89DAB-DC38-4E1B-8C6E-ABAE0670FA4C}" name="I4" dataDxfId="38">
      <calculatedColumnFormula>IF(tblMatrizDistancias[[#This Row],[NodoOrigen \ NodoDestino]]="I4",0,IF(tblMatrizTradeOff[[#This Row],[I4]]=0,9999,1/tblMatrizTradeOff[[#This Row],[I4]]))</calculatedColumnFormula>
    </tableColumn>
    <tableColumn id="12" xr3:uid="{1690E7CA-C688-4A77-B2E4-78675EA5F6AF}" name="I5" dataDxfId="37">
      <calculatedColumnFormula>IF(tblMatrizDistancias[[#This Row],[NodoOrigen \ NodoDestino]]="I5",0,IF(tblMatrizTradeOff[[#This Row],[I5]]=0,9999,1/tblMatrizTradeOff[[#This Row],[I5]]))</calculatedColumnFormula>
    </tableColumn>
    <tableColumn id="13" xr3:uid="{3A1E36E4-69D3-406F-91FA-CE9683D234A1}" name="I6" dataDxfId="36">
      <calculatedColumnFormula>IF(tblMatrizDistancias[[#This Row],[NodoOrigen \ NodoDestino]]="I6",0,IF(tblMatrizTradeOff[[#This Row],[I6]]=0,9999,1/tblMatrizTradeOff[[#This Row],[I6]]))</calculatedColumnFormula>
    </tableColumn>
    <tableColumn id="14" xr3:uid="{37A3FAD7-64EF-4C10-A216-8F4121D763FE}" name="I7" dataDxfId="35">
      <calculatedColumnFormula>IF(tblMatrizDistancias[[#This Row],[NodoOrigen \ NodoDestino]]="I7",0,IF(tblMatrizTradeOff[[#This Row],[I7]]=0,9999,1/tblMatrizTradeOff[[#This Row],[I7]]))</calculatedColumnFormula>
    </tableColumn>
    <tableColumn id="15" xr3:uid="{C79CE9F5-E392-4C54-A368-4072A211349B}" name="I8" dataDxfId="34">
      <calculatedColumnFormula>IF(tblMatrizDistancias[[#This Row],[NodoOrigen \ NodoDestino]]="I8",0,IF(tblMatrizTradeOff[[#This Row],[I8]]=0,9999,1/tblMatrizTradeOff[[#This Row],[I8]]))</calculatedColumnFormula>
    </tableColumn>
    <tableColumn id="16" xr3:uid="{AF9AF109-E8FC-499B-B541-D049A2CD781D}" name="I9" dataDxfId="33">
      <calculatedColumnFormula>IF(tblMatrizDistancias[[#This Row],[NodoOrigen \ NodoDestino]]="I9",0,IF(tblMatrizTradeOff[[#This Row],[I9]]=0,9999,1/tblMatrizTradeOff[[#This Row],[I9]]))</calculatedColumnFormula>
    </tableColumn>
    <tableColumn id="17" xr3:uid="{C49A9B94-D73C-40C2-9773-A0B40E4AAC62}" name="G1" dataDxfId="32">
      <calculatedColumnFormula>IF(tblMatrizDistancias[[#This Row],[NodoOrigen \ NodoDestino]]="G1",0,IF(tblMatrizTradeOff[[#This Row],[G1]]=0,9999,1/tblMatrizTradeOff[[#This Row],[G1]]))</calculatedColumnFormula>
    </tableColumn>
    <tableColumn id="18" xr3:uid="{37DF13C5-7088-4645-80B8-632B4668B1C6}" name="G2" dataDxfId="31">
      <calculatedColumnFormula>IF(tblMatrizDistancias[[#This Row],[NodoOrigen \ NodoDestino]]="G2",0,IF(tblMatrizTradeOff[[#This Row],[G2]]=0,9999,1/tblMatrizTradeOff[[#This Row],[G2]]))</calculatedColumnFormula>
    </tableColumn>
    <tableColumn id="19" xr3:uid="{0C6F5759-0A04-44DB-ABD3-792D0DD2FD39}" name="G3" dataDxfId="30">
      <calculatedColumnFormula>IF(tblMatrizDistancias[[#This Row],[NodoOrigen \ NodoDestino]]="G3",0,IF(tblMatrizTradeOff[[#This Row],[G3]]=0,9999,1/tblMatrizTradeOff[[#This Row],[G3]]))</calculatedColumnFormula>
    </tableColumn>
    <tableColumn id="20" xr3:uid="{08ECC6AD-B105-48DC-B6EF-5213E3FB7C76}" name="D" dataDxfId="29">
      <calculatedColumnFormula>IF(tblMatrizDistancias[[#This Row],[NodoOrigen \ NodoDestino]]="D",0,IF(tblMatrizTradeOff[[#This Row],[D]]=0,9999,1/tblMatrizTradeOff[[#This Row],[D]]))</calculatedColumnFormula>
    </tableColumn>
  </tableColumns>
  <tableStyleInfo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7B2B6549-1979-4B25-A35A-52BA4A0A39EE}" name="tblGradoPonderado" displayName="tblGradoPonderado" ref="B3:H23" totalsRowCount="1" headerRowDxfId="28" dataDxfId="26" headerRowBorderDxfId="27" tableBorderDxfId="25" totalsRowBorderDxfId="24">
  <tableColumns count="7">
    <tableColumn id="21" xr3:uid="{77F6B8A9-151C-415D-A901-35466078EF18}" name="Nombre Nodo" totalsRowLabel="Totales / Máximos / Mínimos" dataDxfId="23" totalsRowDxfId="22">
      <calculatedColumnFormula>VLOOKUP(tblMatrizDeAdyacencia[[#This Row],[NodoOrigen \ NodoDestino]],tblNodos[],2,FALSE)</calculatedColumnFormula>
    </tableColumn>
    <tableColumn id="1" xr3:uid="{253666FE-A069-4260-AC52-8AE7DE9B8F38}" name="Nodo" dataDxfId="21" totalsRowDxfId="20"/>
    <tableColumn id="2" xr3:uid="{AA42A750-6BE0-4870-A26E-410A2BC2C73B}" name="Grado Ponderado de Entrada" dataDxfId="19" totalsRowDxfId="18">
      <calculatedColumnFormula>_xlfn.LET(_xlpm.n,tblGradoPonderado[[#This Row],[Nodo]],_xlpm.col,_xlfn.XLOOKUP(_xlpm.n,tblMatrizTradeOff[#Headers],tblMatrizTradeOff[#Data]),SUM(_xlpm.col))</calculatedColumnFormula>
    </tableColumn>
    <tableColumn id="3" xr3:uid="{378B0278-AE86-49A4-8668-271111E0777E}" name="Grado Ponderado de Salida" dataDxfId="17" totalsRowDxfId="16">
      <calculatedColumnFormula>_xlfn.LET(_xlpm.n,tblGradoPonderado[[#This Row],[Nodo]],_xlpm.row,_xlfn.XLOOKUP(_xlpm.n,tblMatrizTradeOff[NodoOrigen \ NodoDestino],tblMatrizTradeOff[[O1]:[D]]),SUM(_xlpm.row))</calculatedColumnFormula>
    </tableColumn>
    <tableColumn id="4" xr3:uid="{3C52036B-2CF5-484C-8203-C94636D157F9}" name="Grado Ponderado Total" totalsRowFunction="max" dataDxfId="15" totalsRowDxfId="14">
      <calculatedColumnFormula>tblGradoPonderado[[#This Row],[Grado Ponderado de Entrada]]+tblGradoPonderado[[#This Row],[Grado Ponderado de Salida]]</calculatedColumnFormula>
    </tableColumn>
    <tableColumn id="5" xr3:uid="{FFBA1243-72FC-40D4-AE6E-AE5864D502FB}" name="Balance Neto" dataDxfId="13" totalsRowDxfId="12">
      <calculatedColumnFormula>tblGradoPonderado[[#This Row],[Grado Ponderado de Salida]]-tblGradoPonderado[[#This Row],[Grado Ponderado de Entrada]]</calculatedColumnFormula>
    </tableColumn>
    <tableColumn id="6" xr3:uid="{94B10867-99D5-439C-B33C-5612EB83F5A4}" name="Grado Normalizado" dataDxfId="11" totalsRowDxfId="10">
      <calculatedColumnFormula>tblGradoPonderado[[#This Row],[Grado Ponderado Total]]/tblGradoPonderado[[#Totals],[Grado Ponderado Total]]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3.bin"/><Relationship Id="rId4" Type="http://schemas.openxmlformats.org/officeDocument/2006/relationships/table" Target="../tables/table9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4.bin"/><Relationship Id="rId4" Type="http://schemas.openxmlformats.org/officeDocument/2006/relationships/table" Target="../tables/table1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4.xml"/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A4C81-5040-4C91-A390-FADCE72863BE}">
  <sheetPr>
    <pageSetUpPr fitToPage="1"/>
  </sheetPr>
  <dimension ref="A1:D20"/>
  <sheetViews>
    <sheetView showGridLines="0" tabSelected="1" zoomScaleNormal="100" workbookViewId="0">
      <selection activeCell="F7" sqref="F7"/>
    </sheetView>
  </sheetViews>
  <sheetFormatPr baseColWidth="10" defaultRowHeight="16.5" customHeight="1" x14ac:dyDescent="0.25"/>
  <cols>
    <col min="1" max="1" width="11.42578125" style="16" customWidth="1"/>
    <col min="2" max="2" width="19.85546875" style="16" customWidth="1"/>
    <col min="3" max="3" width="51.42578125" style="16" customWidth="1"/>
    <col min="4" max="16384" width="11.42578125" style="16"/>
  </cols>
  <sheetData>
    <row r="1" spans="1:4" ht="27.75" customHeight="1" x14ac:dyDescent="0.25">
      <c r="A1" s="77" t="s">
        <v>0</v>
      </c>
      <c r="B1" s="77"/>
      <c r="C1" s="77"/>
    </row>
    <row r="2" spans="1:4" ht="19.5" customHeight="1" x14ac:dyDescent="0.25"/>
    <row r="3" spans="1:4" ht="16.5" customHeight="1" x14ac:dyDescent="0.25">
      <c r="A3" s="85" t="s">
        <v>2</v>
      </c>
      <c r="B3" s="92"/>
      <c r="C3" s="92"/>
      <c r="D3" s="92"/>
    </row>
    <row r="4" spans="1:4" s="17" customFormat="1" ht="30.75" customHeight="1" x14ac:dyDescent="0.25">
      <c r="A4" s="2" t="s">
        <v>124</v>
      </c>
      <c r="B4" s="2" t="s">
        <v>8</v>
      </c>
      <c r="C4" s="2" t="s">
        <v>125</v>
      </c>
      <c r="D4" s="2" t="s">
        <v>210</v>
      </c>
    </row>
    <row r="5" spans="1:4" ht="30.75" customHeight="1" x14ac:dyDescent="0.25">
      <c r="A5" s="1" t="s">
        <v>20</v>
      </c>
      <c r="B5" s="1" t="s">
        <v>21</v>
      </c>
      <c r="C5" s="55" t="s">
        <v>116</v>
      </c>
      <c r="D5" s="16">
        <v>1</v>
      </c>
    </row>
    <row r="6" spans="1:4" ht="30.75" customHeight="1" x14ac:dyDescent="0.25">
      <c r="A6" s="1" t="s">
        <v>117</v>
      </c>
      <c r="B6" s="1" t="s">
        <v>118</v>
      </c>
      <c r="C6" s="55" t="s">
        <v>119</v>
      </c>
      <c r="D6" s="16">
        <v>2</v>
      </c>
    </row>
    <row r="7" spans="1:4" ht="30.75" customHeight="1" x14ac:dyDescent="0.25">
      <c r="A7" s="1" t="s">
        <v>120</v>
      </c>
      <c r="B7" s="1" t="s">
        <v>121</v>
      </c>
      <c r="C7" s="55" t="s">
        <v>122</v>
      </c>
      <c r="D7" s="16">
        <v>3</v>
      </c>
    </row>
    <row r="8" spans="1:4" ht="30.75" customHeight="1" x14ac:dyDescent="0.25">
      <c r="A8" s="1" t="s">
        <v>37</v>
      </c>
      <c r="B8" s="1" t="s">
        <v>38</v>
      </c>
      <c r="C8" s="55" t="s">
        <v>123</v>
      </c>
      <c r="D8" s="16">
        <v>4</v>
      </c>
    </row>
    <row r="9" spans="1:4" ht="30.75" customHeight="1" x14ac:dyDescent="0.25"/>
    <row r="10" spans="1:4" ht="63" customHeight="1" x14ac:dyDescent="0.25"/>
    <row r="11" spans="1:4" ht="63" customHeight="1" x14ac:dyDescent="0.25"/>
    <row r="12" spans="1:4" ht="63" customHeight="1" x14ac:dyDescent="0.25"/>
    <row r="13" spans="1:4" ht="63" customHeight="1" x14ac:dyDescent="0.25"/>
    <row r="14" spans="1:4" ht="64.5" customHeight="1" x14ac:dyDescent="0.25"/>
    <row r="15" spans="1:4" ht="64.5" customHeight="1" x14ac:dyDescent="0.25"/>
    <row r="16" spans="1:4" ht="64.5" customHeight="1" x14ac:dyDescent="0.25"/>
    <row r="17" ht="64.5" customHeight="1" x14ac:dyDescent="0.25"/>
    <row r="18" ht="64.5" customHeight="1" x14ac:dyDescent="0.25"/>
    <row r="19" ht="64.5" customHeight="1" x14ac:dyDescent="0.25"/>
    <row r="20" ht="64.5" customHeight="1" x14ac:dyDescent="0.25"/>
  </sheetData>
  <mergeCells count="2">
    <mergeCell ref="A1:C1"/>
    <mergeCell ref="A3:D3"/>
  </mergeCells>
  <pageMargins left="0.23622047244094491" right="0.23622047244094491" top="0.74803149606299213" bottom="0.74803149606299213" header="0.31496062992125984" footer="0.31496062992125984"/>
  <pageSetup paperSize="8" fitToHeight="0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DB3F89-BA2D-4D51-A84B-F302E077485A}">
  <sheetPr>
    <pageSetUpPr fitToPage="1"/>
  </sheetPr>
  <dimension ref="B1:O39"/>
  <sheetViews>
    <sheetView showGridLines="0" zoomScale="85" zoomScaleNormal="85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C10" sqref="C10"/>
    </sheetView>
  </sheetViews>
  <sheetFormatPr baseColWidth="10" defaultRowHeight="16.5" customHeight="1" x14ac:dyDescent="0.25"/>
  <cols>
    <col min="1" max="1" width="11.42578125" style="16"/>
    <col min="2" max="2" width="19.85546875" style="16" customWidth="1"/>
    <col min="3" max="3" width="28.85546875" style="16" customWidth="1"/>
    <col min="4" max="4" width="7.140625" style="16" customWidth="1"/>
    <col min="5" max="5" width="11" style="16" customWidth="1"/>
    <col min="6" max="6" width="15.28515625" style="16" customWidth="1"/>
    <col min="7" max="7" width="18.28515625" style="16" customWidth="1"/>
    <col min="8" max="10" width="12" style="16" customWidth="1"/>
    <col min="11" max="11" width="12" style="65" customWidth="1"/>
    <col min="12" max="12" width="12" style="16" customWidth="1"/>
    <col min="13" max="13" width="29.28515625" style="16" customWidth="1"/>
    <col min="14" max="14" width="39.5703125" style="16" customWidth="1"/>
    <col min="15" max="15" width="40.5703125" style="16" customWidth="1"/>
    <col min="16" max="16384" width="11.42578125" style="16"/>
  </cols>
  <sheetData>
    <row r="1" spans="2:15" ht="27.75" customHeight="1" x14ac:dyDescent="0.25">
      <c r="B1" s="69"/>
      <c r="C1" s="69"/>
      <c r="D1" s="69"/>
      <c r="E1" s="69" t="s">
        <v>0</v>
      </c>
      <c r="F1" s="69"/>
      <c r="G1" s="69"/>
      <c r="H1" s="69"/>
      <c r="I1" s="69"/>
      <c r="J1" s="69"/>
      <c r="K1" s="69"/>
      <c r="L1" s="69"/>
      <c r="M1" s="69"/>
      <c r="N1" s="69"/>
      <c r="O1" s="69"/>
    </row>
    <row r="2" spans="2:15" ht="19.5" customHeight="1" x14ac:dyDescent="0.25"/>
    <row r="3" spans="2:15" ht="16.5" customHeight="1" x14ac:dyDescent="0.25">
      <c r="B3" s="78" t="s">
        <v>162</v>
      </c>
      <c r="C3" s="78"/>
      <c r="D3" s="70"/>
      <c r="E3" s="83" t="s">
        <v>182</v>
      </c>
      <c r="F3" s="84"/>
      <c r="G3" s="84"/>
      <c r="H3" s="84"/>
      <c r="I3" s="84"/>
      <c r="J3" s="84"/>
      <c r="K3" s="84"/>
      <c r="L3" s="84"/>
      <c r="M3" s="84"/>
      <c r="N3" s="84"/>
      <c r="O3" s="17"/>
    </row>
    <row r="4" spans="2:15" s="17" customFormat="1" ht="27" customHeight="1" x14ac:dyDescent="0.25">
      <c r="B4" s="62" t="s">
        <v>155</v>
      </c>
      <c r="C4" s="62" t="s">
        <v>156</v>
      </c>
      <c r="D4" s="70"/>
      <c r="E4" s="56" t="s">
        <v>8</v>
      </c>
      <c r="F4" s="56" t="s">
        <v>6</v>
      </c>
      <c r="G4" s="56" t="s">
        <v>5</v>
      </c>
      <c r="H4" s="68" t="s">
        <v>15</v>
      </c>
      <c r="I4" s="56" t="s">
        <v>16</v>
      </c>
      <c r="J4" s="56" t="s">
        <v>17</v>
      </c>
      <c r="K4" s="56" t="s">
        <v>18</v>
      </c>
      <c r="L4" s="57" t="s">
        <v>19</v>
      </c>
      <c r="M4" s="64" t="s">
        <v>183</v>
      </c>
      <c r="N4" s="64" t="s">
        <v>184</v>
      </c>
    </row>
    <row r="5" spans="2:15" ht="75.75" customHeight="1" x14ac:dyDescent="0.25">
      <c r="B5" s="58" t="s">
        <v>15</v>
      </c>
      <c r="C5" s="58" t="s">
        <v>157</v>
      </c>
      <c r="D5" s="70"/>
      <c r="E5" s="58" t="s">
        <v>48</v>
      </c>
      <c r="F5" s="58" t="s">
        <v>164</v>
      </c>
      <c r="G5" s="58" t="s">
        <v>163</v>
      </c>
      <c r="H5" s="58" t="s">
        <v>27</v>
      </c>
      <c r="I5" s="58" t="s">
        <v>28</v>
      </c>
      <c r="J5" s="58" t="s">
        <v>27</v>
      </c>
      <c r="K5" s="58" t="s">
        <v>28</v>
      </c>
      <c r="L5" s="59" t="s">
        <v>29</v>
      </c>
      <c r="M5" s="63" t="s">
        <v>186</v>
      </c>
      <c r="N5" s="63" t="s">
        <v>185</v>
      </c>
    </row>
    <row r="6" spans="2:15" ht="75.75" customHeight="1" x14ac:dyDescent="0.25">
      <c r="B6" s="58" t="s">
        <v>16</v>
      </c>
      <c r="C6" s="58" t="s">
        <v>158</v>
      </c>
      <c r="D6" s="70"/>
      <c r="E6" s="58" t="s">
        <v>165</v>
      </c>
      <c r="F6" s="58" t="s">
        <v>180</v>
      </c>
      <c r="G6" s="58" t="s">
        <v>163</v>
      </c>
      <c r="H6" s="58" t="s">
        <v>28</v>
      </c>
      <c r="I6" s="58" t="s">
        <v>42</v>
      </c>
      <c r="J6" s="58" t="s">
        <v>28</v>
      </c>
      <c r="K6" s="58" t="s">
        <v>28</v>
      </c>
      <c r="L6" s="59" t="s">
        <v>28</v>
      </c>
      <c r="M6" s="58" t="s">
        <v>187</v>
      </c>
      <c r="N6" s="58" t="s">
        <v>188</v>
      </c>
    </row>
    <row r="7" spans="2:15" ht="75.75" customHeight="1" x14ac:dyDescent="0.25">
      <c r="B7" s="58" t="s">
        <v>17</v>
      </c>
      <c r="C7" s="58" t="s">
        <v>159</v>
      </c>
      <c r="D7" s="70"/>
      <c r="E7" s="58" t="s">
        <v>166</v>
      </c>
      <c r="F7" s="58" t="s">
        <v>168</v>
      </c>
      <c r="G7" s="58" t="s">
        <v>167</v>
      </c>
      <c r="H7" s="58" t="s">
        <v>27</v>
      </c>
      <c r="I7" s="58" t="s">
        <v>29</v>
      </c>
      <c r="J7" s="58" t="s">
        <v>27</v>
      </c>
      <c r="K7" s="58" t="s">
        <v>28</v>
      </c>
      <c r="L7" s="59" t="s">
        <v>29</v>
      </c>
      <c r="M7" s="58" t="s">
        <v>189</v>
      </c>
      <c r="N7" s="58" t="s">
        <v>190</v>
      </c>
    </row>
    <row r="8" spans="2:15" ht="75.75" customHeight="1" x14ac:dyDescent="0.25">
      <c r="B8" s="58" t="s">
        <v>18</v>
      </c>
      <c r="C8" s="58" t="s">
        <v>160</v>
      </c>
      <c r="D8" s="70"/>
      <c r="E8" s="58" t="s">
        <v>169</v>
      </c>
      <c r="F8" s="58" t="s">
        <v>171</v>
      </c>
      <c r="G8" s="58" t="s">
        <v>170</v>
      </c>
      <c r="H8" s="58" t="s">
        <v>28</v>
      </c>
      <c r="I8" s="58" t="s">
        <v>28</v>
      </c>
      <c r="J8" s="58" t="s">
        <v>29</v>
      </c>
      <c r="K8" s="58" t="s">
        <v>29</v>
      </c>
      <c r="L8" s="59" t="s">
        <v>29</v>
      </c>
      <c r="M8" s="58" t="s">
        <v>191</v>
      </c>
      <c r="N8" s="58" t="s">
        <v>192</v>
      </c>
    </row>
    <row r="9" spans="2:15" ht="75.75" customHeight="1" x14ac:dyDescent="0.25">
      <c r="B9" s="58" t="s">
        <v>19</v>
      </c>
      <c r="C9" s="58" t="s">
        <v>161</v>
      </c>
      <c r="E9" s="58" t="s">
        <v>172</v>
      </c>
      <c r="F9" s="58" t="s">
        <v>181</v>
      </c>
      <c r="G9" s="58" t="s">
        <v>170</v>
      </c>
      <c r="H9" s="58" t="s">
        <v>28</v>
      </c>
      <c r="I9" s="58" t="s">
        <v>29</v>
      </c>
      <c r="J9" s="58" t="s">
        <v>28</v>
      </c>
      <c r="K9" s="58" t="s">
        <v>50</v>
      </c>
      <c r="L9" s="59" t="s">
        <v>29</v>
      </c>
      <c r="M9" s="58" t="s">
        <v>193</v>
      </c>
      <c r="N9" s="58" t="s">
        <v>194</v>
      </c>
    </row>
    <row r="10" spans="2:15" ht="75.75" customHeight="1" x14ac:dyDescent="0.25">
      <c r="E10" s="58" t="s">
        <v>53</v>
      </c>
      <c r="F10" s="58" t="s">
        <v>174</v>
      </c>
      <c r="G10" s="58" t="s">
        <v>173</v>
      </c>
      <c r="H10" s="58" t="s">
        <v>27</v>
      </c>
      <c r="I10" s="58" t="s">
        <v>29</v>
      </c>
      <c r="J10" s="58" t="s">
        <v>28</v>
      </c>
      <c r="K10" s="58" t="s">
        <v>28</v>
      </c>
      <c r="L10" s="59" t="s">
        <v>28</v>
      </c>
      <c r="M10" s="58" t="s">
        <v>195</v>
      </c>
      <c r="N10" s="58" t="s">
        <v>196</v>
      </c>
    </row>
    <row r="11" spans="2:15" ht="75.75" customHeight="1" x14ac:dyDescent="0.25">
      <c r="E11" s="58" t="s">
        <v>175</v>
      </c>
      <c r="F11" s="58" t="s">
        <v>176</v>
      </c>
      <c r="G11" s="58" t="s">
        <v>173</v>
      </c>
      <c r="H11" s="58" t="s">
        <v>27</v>
      </c>
      <c r="I11" s="58" t="s">
        <v>29</v>
      </c>
      <c r="J11" s="58" t="s">
        <v>50</v>
      </c>
      <c r="K11" s="58" t="s">
        <v>28</v>
      </c>
      <c r="L11" s="59" t="s">
        <v>28</v>
      </c>
      <c r="M11" s="58" t="s">
        <v>197</v>
      </c>
      <c r="N11" s="58" t="s">
        <v>198</v>
      </c>
    </row>
    <row r="12" spans="2:15" ht="75.75" customHeight="1" x14ac:dyDescent="0.25">
      <c r="E12" s="58" t="s">
        <v>177</v>
      </c>
      <c r="F12" s="58" t="s">
        <v>178</v>
      </c>
      <c r="G12" s="58" t="s">
        <v>173</v>
      </c>
      <c r="H12" s="58" t="s">
        <v>27</v>
      </c>
      <c r="I12" s="58" t="s">
        <v>50</v>
      </c>
      <c r="J12" s="58" t="s">
        <v>28</v>
      </c>
      <c r="K12" s="58" t="s">
        <v>28</v>
      </c>
      <c r="L12" s="59" t="s">
        <v>28</v>
      </c>
      <c r="M12" s="58" t="s">
        <v>199</v>
      </c>
      <c r="N12" s="58" t="s">
        <v>200</v>
      </c>
    </row>
    <row r="13" spans="2:15" ht="75.75" customHeight="1" x14ac:dyDescent="0.25">
      <c r="E13" s="60" t="s">
        <v>63</v>
      </c>
      <c r="F13" s="60" t="s">
        <v>179</v>
      </c>
      <c r="G13" s="60" t="s">
        <v>173</v>
      </c>
      <c r="H13" s="60" t="s">
        <v>27</v>
      </c>
      <c r="I13" s="60" t="s">
        <v>29</v>
      </c>
      <c r="J13" s="60" t="s">
        <v>42</v>
      </c>
      <c r="K13" s="60" t="s">
        <v>28</v>
      </c>
      <c r="L13" s="61" t="s">
        <v>28</v>
      </c>
      <c r="M13" s="60" t="s">
        <v>201</v>
      </c>
      <c r="N13" s="60" t="s">
        <v>202</v>
      </c>
    </row>
    <row r="14" spans="2:15" ht="64.5" customHeight="1" x14ac:dyDescent="0.25">
      <c r="K14" s="16"/>
      <c r="L14" s="17"/>
    </row>
    <row r="15" spans="2:15" ht="64.5" customHeight="1" x14ac:dyDescent="0.25">
      <c r="F15" s="71"/>
      <c r="K15" s="16"/>
      <c r="L15" s="17"/>
    </row>
    <row r="16" spans="2:15" ht="64.5" customHeight="1" x14ac:dyDescent="0.25">
      <c r="K16" s="16"/>
      <c r="L16" s="17"/>
    </row>
    <row r="17" spans="4:12" ht="64.5" customHeight="1" x14ac:dyDescent="0.25">
      <c r="K17" s="16"/>
      <c r="L17" s="17"/>
    </row>
    <row r="18" spans="4:12" ht="64.5" customHeight="1" x14ac:dyDescent="0.25">
      <c r="K18" s="16"/>
      <c r="L18" s="17"/>
    </row>
    <row r="19" spans="4:12" ht="64.5" customHeight="1" x14ac:dyDescent="0.25">
      <c r="K19" s="16"/>
      <c r="L19" s="17"/>
    </row>
    <row r="20" spans="4:12" ht="64.5" customHeight="1" x14ac:dyDescent="0.25">
      <c r="K20" s="16"/>
      <c r="L20" s="17"/>
    </row>
    <row r="21" spans="4:12" ht="16.5" customHeight="1" x14ac:dyDescent="0.25">
      <c r="D21" s="17"/>
      <c r="E21" s="17"/>
      <c r="F21" s="17"/>
      <c r="G21" s="17"/>
      <c r="H21" s="17"/>
    </row>
    <row r="22" spans="4:12" ht="16.5" customHeight="1" x14ac:dyDescent="0.25">
      <c r="D22" s="17"/>
      <c r="E22" s="17"/>
      <c r="F22" s="17"/>
      <c r="G22" s="17"/>
      <c r="H22" s="17"/>
    </row>
    <row r="23" spans="4:12" ht="16.5" customHeight="1" x14ac:dyDescent="0.25">
      <c r="D23" s="17"/>
      <c r="E23" s="17"/>
      <c r="F23" s="17"/>
      <c r="G23" s="17"/>
      <c r="H23" s="17"/>
    </row>
    <row r="24" spans="4:12" ht="16.5" customHeight="1" x14ac:dyDescent="0.25">
      <c r="D24" s="17"/>
      <c r="E24" s="17"/>
      <c r="F24" s="17"/>
      <c r="G24" s="17"/>
      <c r="H24" s="17"/>
    </row>
    <row r="25" spans="4:12" ht="16.5" customHeight="1" x14ac:dyDescent="0.25">
      <c r="D25" s="17"/>
      <c r="E25" s="17"/>
      <c r="F25" s="17"/>
      <c r="G25" s="17"/>
      <c r="H25" s="17"/>
    </row>
    <row r="26" spans="4:12" ht="16.5" customHeight="1" x14ac:dyDescent="0.25">
      <c r="D26" s="17"/>
      <c r="E26" s="17"/>
      <c r="F26" s="17"/>
      <c r="G26" s="17"/>
      <c r="K26" s="16"/>
    </row>
    <row r="32" spans="4:12" ht="12" x14ac:dyDescent="0.25"/>
    <row r="37" spans="2:12" ht="16.5" customHeight="1" x14ac:dyDescent="0.25">
      <c r="B37" s="67" t="s">
        <v>76</v>
      </c>
      <c r="C37" s="25"/>
      <c r="D37" s="25"/>
      <c r="E37" s="25"/>
      <c r="F37" s="25"/>
      <c r="G37" s="25"/>
      <c r="H37" s="25"/>
      <c r="I37" s="25"/>
      <c r="J37" s="25"/>
      <c r="K37" s="66"/>
      <c r="L37" s="25"/>
    </row>
    <row r="38" spans="2:12" ht="16.5" customHeight="1" x14ac:dyDescent="0.25">
      <c r="B38" s="79" t="s">
        <v>78</v>
      </c>
      <c r="C38" s="80"/>
      <c r="D38" s="80"/>
      <c r="E38" s="80"/>
      <c r="F38" s="80"/>
      <c r="G38" s="80"/>
      <c r="H38" s="80"/>
      <c r="I38" s="80"/>
      <c r="J38" s="80"/>
      <c r="K38" s="80"/>
      <c r="L38" s="80"/>
    </row>
    <row r="39" spans="2:12" ht="16.5" customHeight="1" x14ac:dyDescent="0.25">
      <c r="B39" s="81" t="s">
        <v>80</v>
      </c>
      <c r="C39" s="82"/>
      <c r="D39" s="82"/>
      <c r="E39" s="82"/>
      <c r="F39" s="82"/>
      <c r="G39" s="82"/>
      <c r="H39" s="82"/>
      <c r="I39" s="82"/>
      <c r="J39" s="82"/>
      <c r="K39" s="82"/>
      <c r="L39" s="82"/>
    </row>
  </sheetData>
  <mergeCells count="4">
    <mergeCell ref="B3:C3"/>
    <mergeCell ref="B38:L38"/>
    <mergeCell ref="B39:L39"/>
    <mergeCell ref="E3:N3"/>
  </mergeCells>
  <pageMargins left="0.25" right="0.25" top="0.75" bottom="0.75" header="0.3" footer="0.3"/>
  <pageSetup paperSize="8" scale="75" fitToHeight="0" orientation="landscape" r:id="rId1"/>
  <rowBreaks count="1" manualBreakCount="1">
    <brk id="13" max="16383" man="1"/>
  </rowBreaks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30"/>
  <sheetViews>
    <sheetView showGridLines="0" zoomScale="85" zoomScaleNormal="85" workbookViewId="0">
      <pane ySplit="4" topLeftCell="A5" activePane="bottomLeft" state="frozen"/>
      <selection activeCell="B1" sqref="B1"/>
      <selection pane="bottomLeft" activeCell="I15" sqref="I15"/>
    </sheetView>
  </sheetViews>
  <sheetFormatPr baseColWidth="10" defaultRowHeight="16.5" customHeight="1" x14ac:dyDescent="0.25"/>
  <cols>
    <col min="1" max="1" width="11.42578125" style="16"/>
    <col min="2" max="2" width="39.5703125" style="16" customWidth="1"/>
    <col min="3" max="5" width="11.42578125" style="16"/>
    <col min="6" max="6" width="10.7109375" style="16" customWidth="1"/>
    <col min="7" max="7" width="11.5703125" style="16" customWidth="1"/>
    <col min="8" max="8" width="10.7109375" style="16" customWidth="1"/>
    <col min="9" max="9" width="15.140625" style="16" customWidth="1"/>
    <col min="10" max="10" width="21.42578125" style="16" customWidth="1"/>
    <col min="11" max="11" width="13.5703125" style="16" customWidth="1"/>
    <col min="12" max="12" width="16.140625" style="16" bestFit="1" customWidth="1"/>
    <col min="13" max="13" width="20.42578125" style="18" customWidth="1"/>
    <col min="14" max="14" width="14.7109375" style="16" customWidth="1"/>
    <col min="15" max="15" width="14.42578125" style="16" customWidth="1"/>
    <col min="16" max="16" width="13.42578125" style="16" customWidth="1"/>
    <col min="17" max="17" width="16" style="16" customWidth="1"/>
    <col min="18" max="22" width="11.42578125" style="16"/>
    <col min="23" max="23" width="19.140625" style="16" customWidth="1"/>
    <col min="24" max="24" width="16.140625" style="16" customWidth="1"/>
    <col min="25" max="16384" width="11.42578125" style="16"/>
  </cols>
  <sheetData>
    <row r="1" spans="1:24" ht="16.5" customHeight="1" x14ac:dyDescent="0.25">
      <c r="A1" s="77" t="s">
        <v>0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87" t="s">
        <v>1</v>
      </c>
      <c r="P1" s="80"/>
      <c r="Q1" s="80"/>
    </row>
    <row r="3" spans="1:24" ht="16.5" customHeight="1" x14ac:dyDescent="0.25">
      <c r="A3" s="85" t="s">
        <v>3</v>
      </c>
      <c r="B3" s="86"/>
      <c r="C3" s="86"/>
      <c r="D3" s="86"/>
      <c r="F3" s="83" t="s">
        <v>4</v>
      </c>
      <c r="G3" s="84"/>
      <c r="H3" s="84"/>
      <c r="I3" s="84"/>
      <c r="J3" s="84"/>
      <c r="K3" s="84"/>
      <c r="L3" s="84"/>
      <c r="M3" s="84"/>
      <c r="N3" s="84"/>
      <c r="O3" s="84"/>
      <c r="P3" s="84"/>
      <c r="Q3" s="84"/>
      <c r="R3" s="84"/>
      <c r="S3" s="84"/>
      <c r="T3" s="84"/>
      <c r="U3" s="84"/>
      <c r="V3" s="84"/>
      <c r="W3" s="84"/>
    </row>
    <row r="4" spans="1:24" s="17" customFormat="1" ht="30" customHeight="1" x14ac:dyDescent="0.25">
      <c r="A4" s="2" t="s">
        <v>7</v>
      </c>
      <c r="B4" s="2" t="s">
        <v>8</v>
      </c>
      <c r="C4" s="2" t="s">
        <v>5</v>
      </c>
      <c r="D4" s="2" t="s">
        <v>9</v>
      </c>
      <c r="F4" s="2" t="s">
        <v>10</v>
      </c>
      <c r="G4" s="2" t="s">
        <v>11</v>
      </c>
      <c r="H4" s="2" t="s">
        <v>12</v>
      </c>
      <c r="I4" s="2" t="s">
        <v>13</v>
      </c>
      <c r="J4" s="2" t="s">
        <v>203</v>
      </c>
      <c r="K4" s="2" t="s">
        <v>9</v>
      </c>
      <c r="L4" s="2" t="s">
        <v>14</v>
      </c>
      <c r="M4" s="26" t="s">
        <v>15</v>
      </c>
      <c r="N4" s="31" t="s">
        <v>16</v>
      </c>
      <c r="O4" s="31" t="s">
        <v>17</v>
      </c>
      <c r="P4" s="31" t="s">
        <v>18</v>
      </c>
      <c r="Q4" s="32" t="s">
        <v>19</v>
      </c>
      <c r="R4" s="29" t="s">
        <v>94</v>
      </c>
      <c r="S4" s="29" t="s">
        <v>96</v>
      </c>
      <c r="T4" s="29" t="s">
        <v>97</v>
      </c>
      <c r="U4" s="29" t="s">
        <v>98</v>
      </c>
      <c r="V4" s="29" t="s">
        <v>99</v>
      </c>
      <c r="W4" s="29" t="s">
        <v>208</v>
      </c>
      <c r="X4" s="16"/>
    </row>
    <row r="5" spans="1:24" ht="19.5" customHeight="1" x14ac:dyDescent="0.25">
      <c r="A5" s="1" t="s">
        <v>22</v>
      </c>
      <c r="B5" s="1" t="s">
        <v>134</v>
      </c>
      <c r="C5" s="1" t="s">
        <v>20</v>
      </c>
      <c r="D5" s="1">
        <v>1</v>
      </c>
      <c r="F5" s="1" t="s">
        <v>23</v>
      </c>
      <c r="G5" s="1" t="s">
        <v>22</v>
      </c>
      <c r="H5" s="1" t="s">
        <v>126</v>
      </c>
      <c r="I5" s="1" t="s">
        <v>25</v>
      </c>
      <c r="J5" s="1" t="s">
        <v>48</v>
      </c>
      <c r="K5" s="1">
        <v>1</v>
      </c>
      <c r="L5" s="1" t="s">
        <v>26</v>
      </c>
      <c r="M5" s="19" t="s">
        <v>27</v>
      </c>
      <c r="N5" s="19" t="str">
        <f>VLOOKUP(tblEnlaces[[#This Row],[Canal]],tblCanales[#All],5,FALSE)</f>
        <v>Medio</v>
      </c>
      <c r="O5" s="19" t="str">
        <f>VLOOKUP(tblEnlaces[[#This Row],[Canal]],tblCanales[#All],6,FALSE)</f>
        <v>Bajo</v>
      </c>
      <c r="P5" s="19" t="str">
        <f>VLOOKUP(tblEnlaces[[#This Row],[Canal]],tblCanales[#All],7,FALSE)</f>
        <v>Medio</v>
      </c>
      <c r="Q5" s="20" t="str">
        <f>VLOOKUP(tblEnlaces[[#This Row],[Canal]],tblCanales[#All],8,FALSE)</f>
        <v>Alto</v>
      </c>
      <c r="R5" s="16">
        <f>IFERROR(_xlfn.XLOOKUP(tblEnlaces[[#This Row],[Coste]],tblPesosCoste[Valor],tblPesosCoste[Coste],0),0)</f>
        <v>5</v>
      </c>
      <c r="S5" s="16">
        <f>IFERROR(_xlfn.XLOOKUP(tblEnlaces[[#This Row],[Eficiencia]],tblPesosValorOperativo[Valor],tblPesosValorOperativo[Eficiencia],0),0)</f>
        <v>3</v>
      </c>
      <c r="T5" s="30">
        <f>IFERROR(_xlfn.XLOOKUP(tblEnlaces[[#This Row],[Exposición]],tblPesosValorOperativo[Valor],tblPesosValorOperativo[Exposición],0),0)</f>
        <v>5</v>
      </c>
      <c r="U5" s="30">
        <f>IFERROR(_xlfn.XLOOKUP(tblEnlaces[[#This Row],[Capacidad]],tblPesosValorOperativo[Valor],tblPesosValorOperativo[Capacidad],0),0)</f>
        <v>3</v>
      </c>
      <c r="V5" s="30">
        <f>IFERROR(_xlfn.XLOOKUP(tblEnlaces[[#This Row],[Resiliencia]],tblPesosValorOperativo[Valor],tblPesosValorOperativo[Resiliencia],0),0)</f>
        <v>5</v>
      </c>
      <c r="W5" s="30">
        <f>tblEnlaces[[#This Row],[Eficiencia (peso)]]+tblEnlaces[[#This Row],[Resiliencia (peso)]]+tblEnlaces[[#This Row],[Capacidad (peso)]]+tblEnlaces[[#This Row],[Exposición (peso)]]</f>
        <v>16</v>
      </c>
    </row>
    <row r="6" spans="1:24" ht="19.5" customHeight="1" x14ac:dyDescent="0.25">
      <c r="A6" s="1" t="s">
        <v>30</v>
      </c>
      <c r="B6" s="1" t="s">
        <v>135</v>
      </c>
      <c r="C6" s="1" t="s">
        <v>20</v>
      </c>
      <c r="D6" s="1">
        <v>1</v>
      </c>
      <c r="F6" s="1" t="s">
        <v>31</v>
      </c>
      <c r="G6" s="1" t="s">
        <v>30</v>
      </c>
      <c r="H6" s="1" t="s">
        <v>126</v>
      </c>
      <c r="I6" s="1" t="s">
        <v>25</v>
      </c>
      <c r="J6" s="1" t="s">
        <v>48</v>
      </c>
      <c r="K6" s="1">
        <v>1</v>
      </c>
      <c r="L6" s="1" t="s">
        <v>26</v>
      </c>
      <c r="M6" s="21" t="str">
        <f>VLOOKUP(tblEnlaces[[#This Row],[Canal]],tblCanales[#All],4,FALSE)</f>
        <v>Bajo</v>
      </c>
      <c r="N6" s="21" t="str">
        <f>VLOOKUP(tblEnlaces[[#This Row],[Canal]],tblCanales[#All],5,FALSE)</f>
        <v>Medio</v>
      </c>
      <c r="O6" s="21" t="str">
        <f>VLOOKUP(tblEnlaces[[#This Row],[Canal]],tblCanales[#All],6,FALSE)</f>
        <v>Bajo</v>
      </c>
      <c r="P6" s="21" t="str">
        <f>VLOOKUP(tblEnlaces[[#This Row],[Canal]],tblCanales[#All],7,FALSE)</f>
        <v>Medio</v>
      </c>
      <c r="Q6" s="22" t="str">
        <f>VLOOKUP(tblEnlaces[[#This Row],[Canal]],tblCanales[#All],8,FALSE)</f>
        <v>Alto</v>
      </c>
      <c r="R6" s="16">
        <f>IFERROR(_xlfn.XLOOKUP(tblEnlaces[[#This Row],[Coste]],tblPesosCoste[Valor],tblPesosCoste[Coste],0),0)</f>
        <v>5</v>
      </c>
      <c r="S6" s="16">
        <f>IFERROR(_xlfn.XLOOKUP(tblEnlaces[[#This Row],[Eficiencia]],tblPesosValorOperativo[Valor],tblPesosValorOperativo[Eficiencia],0),0)</f>
        <v>3</v>
      </c>
      <c r="T6" s="30">
        <f>IFERROR(_xlfn.XLOOKUP(tblEnlaces[[#This Row],[Exposición]],tblPesosValorOperativo[Valor],tblPesosValorOperativo[Exposición],0),0)</f>
        <v>5</v>
      </c>
      <c r="U6" s="30">
        <f>IFERROR(_xlfn.XLOOKUP(tblEnlaces[[#This Row],[Capacidad]],tblPesosValorOperativo[Valor],tblPesosValorOperativo[Capacidad],0),0)</f>
        <v>3</v>
      </c>
      <c r="V6" s="30">
        <f>IFERROR(_xlfn.XLOOKUP(tblEnlaces[[#This Row],[Resiliencia]],tblPesosValorOperativo[Valor],tblPesosValorOperativo[Resiliencia],0),0)</f>
        <v>5</v>
      </c>
      <c r="W6" s="30">
        <f>tblEnlaces[[#This Row],[Eficiencia (peso)]]+tblEnlaces[[#This Row],[Resiliencia (peso)]]+tblEnlaces[[#This Row],[Capacidad (peso)]]+tblEnlaces[[#This Row],[Exposición (peso)]]</f>
        <v>16</v>
      </c>
    </row>
    <row r="7" spans="1:24" ht="19.5" customHeight="1" x14ac:dyDescent="0.25">
      <c r="A7" s="1" t="s">
        <v>34</v>
      </c>
      <c r="B7" s="1" t="s">
        <v>136</v>
      </c>
      <c r="C7" s="1" t="s">
        <v>20</v>
      </c>
      <c r="D7" s="1">
        <v>1</v>
      </c>
      <c r="F7" s="1" t="s">
        <v>35</v>
      </c>
      <c r="G7" s="1" t="s">
        <v>34</v>
      </c>
      <c r="H7" s="1" t="s">
        <v>128</v>
      </c>
      <c r="I7" s="1" t="s">
        <v>25</v>
      </c>
      <c r="J7" s="1" t="s">
        <v>169</v>
      </c>
      <c r="K7" s="1">
        <v>1</v>
      </c>
      <c r="L7" s="1" t="s">
        <v>33</v>
      </c>
      <c r="M7" s="19" t="str">
        <f>VLOOKUP(tblEnlaces[[#This Row],[Canal]],tblCanales[#All],4,FALSE)</f>
        <v>Medio</v>
      </c>
      <c r="N7" s="19" t="str">
        <f>VLOOKUP(tblEnlaces[[#This Row],[Canal]],tblCanales[#All],5,FALSE)</f>
        <v>Medio</v>
      </c>
      <c r="O7" s="19" t="str">
        <f>VLOOKUP(tblEnlaces[[#This Row],[Canal]],tblCanales[#All],6,FALSE)</f>
        <v>Alto</v>
      </c>
      <c r="P7" s="19" t="str">
        <f>VLOOKUP(tblEnlaces[[#This Row],[Canal]],tblCanales[#All],7,FALSE)</f>
        <v>Alto</v>
      </c>
      <c r="Q7" s="20" t="str">
        <f>VLOOKUP(tblEnlaces[[#This Row],[Canal]],tblCanales[#All],8,FALSE)</f>
        <v>Alto</v>
      </c>
      <c r="R7" s="16">
        <f>IFERROR(_xlfn.XLOOKUP(tblEnlaces[[#This Row],[Coste]],tblPesosCoste[Valor],tblPesosCoste[Coste],0),0)</f>
        <v>3</v>
      </c>
      <c r="S7" s="16">
        <f>IFERROR(_xlfn.XLOOKUP(tblEnlaces[[#This Row],[Eficiencia]],tblPesosValorOperativo[Valor],tblPesosValorOperativo[Eficiencia],0),0)</f>
        <v>3</v>
      </c>
      <c r="T7" s="30">
        <f>IFERROR(_xlfn.XLOOKUP(tblEnlaces[[#This Row],[Exposición]],tblPesosValorOperativo[Valor],tblPesosValorOperativo[Exposición],0),0)</f>
        <v>1</v>
      </c>
      <c r="U7" s="30">
        <f>IFERROR(_xlfn.XLOOKUP(tblEnlaces[[#This Row],[Capacidad]],tblPesosValorOperativo[Valor],tblPesosValorOperativo[Capacidad],0),0)</f>
        <v>5</v>
      </c>
      <c r="V7" s="30">
        <f>IFERROR(_xlfn.XLOOKUP(tblEnlaces[[#This Row],[Resiliencia]],tblPesosValorOperativo[Valor],tblPesosValorOperativo[Resiliencia],0),0)</f>
        <v>5</v>
      </c>
      <c r="W7" s="30">
        <f>tblEnlaces[[#This Row],[Eficiencia (peso)]]+tblEnlaces[[#This Row],[Resiliencia (peso)]]+tblEnlaces[[#This Row],[Capacidad (peso)]]+tblEnlaces[[#This Row],[Exposición (peso)]]</f>
        <v>14</v>
      </c>
    </row>
    <row r="8" spans="1:24" ht="19.5" customHeight="1" x14ac:dyDescent="0.25">
      <c r="A8" s="1" t="s">
        <v>39</v>
      </c>
      <c r="B8" s="1" t="s">
        <v>137</v>
      </c>
      <c r="C8" s="1" t="s">
        <v>20</v>
      </c>
      <c r="D8" s="1">
        <v>1</v>
      </c>
      <c r="F8" s="1" t="s">
        <v>40</v>
      </c>
      <c r="G8" s="1" t="s">
        <v>39</v>
      </c>
      <c r="H8" s="1" t="s">
        <v>128</v>
      </c>
      <c r="I8" s="1" t="s">
        <v>25</v>
      </c>
      <c r="J8" s="1" t="s">
        <v>175</v>
      </c>
      <c r="K8" s="1">
        <v>1</v>
      </c>
      <c r="L8" s="1" t="s">
        <v>33</v>
      </c>
      <c r="M8" s="21" t="str">
        <f>VLOOKUP(tblEnlaces[[#This Row],[Canal]],tblCanales[#All],4,FALSE)</f>
        <v>Bajo</v>
      </c>
      <c r="N8" s="21" t="str">
        <f>VLOOKUP(tblEnlaces[[#This Row],[Canal]],tblCanales[#All],5,FALSE)</f>
        <v>Alto</v>
      </c>
      <c r="O8" s="21" t="str">
        <f>VLOOKUP(tblEnlaces[[#This Row],[Canal]],tblCanales[#All],6,FALSE)</f>
        <v>Medio-Alto</v>
      </c>
      <c r="P8" s="21" t="str">
        <f>VLOOKUP(tblEnlaces[[#This Row],[Canal]],tblCanales[#All],7,FALSE)</f>
        <v>Medio</v>
      </c>
      <c r="Q8" s="22" t="str">
        <f>VLOOKUP(tblEnlaces[[#This Row],[Canal]],tblCanales[#All],8,FALSE)</f>
        <v>Medio</v>
      </c>
      <c r="R8" s="16">
        <f>IFERROR(_xlfn.XLOOKUP(tblEnlaces[[#This Row],[Coste]],tblPesosCoste[Valor],tblPesosCoste[Coste],0),0)</f>
        <v>5</v>
      </c>
      <c r="S8" s="16">
        <f>IFERROR(_xlfn.XLOOKUP(tblEnlaces[[#This Row],[Eficiencia]],tblPesosValorOperativo[Valor],tblPesosValorOperativo[Eficiencia],0),0)</f>
        <v>5</v>
      </c>
      <c r="T8" s="30">
        <f>IFERROR(_xlfn.XLOOKUP(tblEnlaces[[#This Row],[Exposición]],tblPesosValorOperativo[Valor],tblPesosValorOperativo[Exposición],0),0)</f>
        <v>2</v>
      </c>
      <c r="U8" s="30">
        <f>IFERROR(_xlfn.XLOOKUP(tblEnlaces[[#This Row],[Capacidad]],tblPesosValorOperativo[Valor],tblPesosValorOperativo[Capacidad],0),0)</f>
        <v>3</v>
      </c>
      <c r="V8" s="30">
        <f>IFERROR(_xlfn.XLOOKUP(tblEnlaces[[#This Row],[Resiliencia]],tblPesosValorOperativo[Valor],tblPesosValorOperativo[Resiliencia],0),0)</f>
        <v>3</v>
      </c>
      <c r="W8" s="30">
        <f>tblEnlaces[[#This Row],[Eficiencia (peso)]]+tblEnlaces[[#This Row],[Resiliencia (peso)]]+tblEnlaces[[#This Row],[Capacidad (peso)]]+tblEnlaces[[#This Row],[Exposición (peso)]]</f>
        <v>13</v>
      </c>
    </row>
    <row r="9" spans="1:24" ht="19.5" customHeight="1" x14ac:dyDescent="0.25">
      <c r="A9" s="1" t="s">
        <v>43</v>
      </c>
      <c r="B9" s="1" t="s">
        <v>138</v>
      </c>
      <c r="C9" s="1" t="s">
        <v>20</v>
      </c>
      <c r="D9" s="1">
        <v>1</v>
      </c>
      <c r="F9" s="1" t="s">
        <v>44</v>
      </c>
      <c r="G9" s="1" t="s">
        <v>43</v>
      </c>
      <c r="H9" s="1" t="s">
        <v>141</v>
      </c>
      <c r="I9" s="1" t="s">
        <v>25</v>
      </c>
      <c r="J9" s="1" t="s">
        <v>48</v>
      </c>
      <c r="K9" s="1">
        <v>1</v>
      </c>
      <c r="L9" s="1" t="s">
        <v>26</v>
      </c>
      <c r="M9" s="19" t="str">
        <f>VLOOKUP(tblEnlaces[[#This Row],[Canal]],tblCanales[#All],4,FALSE)</f>
        <v>Bajo</v>
      </c>
      <c r="N9" s="19" t="str">
        <f>VLOOKUP(tblEnlaces[[#This Row],[Canal]],tblCanales[#All],5,FALSE)</f>
        <v>Medio</v>
      </c>
      <c r="O9" s="19" t="str">
        <f>VLOOKUP(tblEnlaces[[#This Row],[Canal]],tblCanales[#All],6,FALSE)</f>
        <v>Bajo</v>
      </c>
      <c r="P9" s="19" t="str">
        <f>VLOOKUP(tblEnlaces[[#This Row],[Canal]],tblCanales[#All],7,FALSE)</f>
        <v>Medio</v>
      </c>
      <c r="Q9" s="20" t="str">
        <f>VLOOKUP(tblEnlaces[[#This Row],[Canal]],tblCanales[#All],8,FALSE)</f>
        <v>Alto</v>
      </c>
      <c r="R9" s="16">
        <f>IFERROR(_xlfn.XLOOKUP(tblEnlaces[[#This Row],[Coste]],tblPesosCoste[Valor],tblPesosCoste[Coste],0),0)</f>
        <v>5</v>
      </c>
      <c r="S9" s="16">
        <f>IFERROR(_xlfn.XLOOKUP(tblEnlaces[[#This Row],[Eficiencia]],tblPesosValorOperativo[Valor],tblPesosValorOperativo[Eficiencia],0),0)</f>
        <v>3</v>
      </c>
      <c r="T9" s="30">
        <f>IFERROR(_xlfn.XLOOKUP(tblEnlaces[[#This Row],[Exposición]],tblPesosValorOperativo[Valor],tblPesosValorOperativo[Exposición],0),0)</f>
        <v>5</v>
      </c>
      <c r="U9" s="30">
        <f>IFERROR(_xlfn.XLOOKUP(tblEnlaces[[#This Row],[Capacidad]],tblPesosValorOperativo[Valor],tblPesosValorOperativo[Capacidad],0),0)</f>
        <v>3</v>
      </c>
      <c r="V9" s="30">
        <f>IFERROR(_xlfn.XLOOKUP(tblEnlaces[[#This Row],[Resiliencia]],tblPesosValorOperativo[Valor],tblPesosValorOperativo[Resiliencia],0),0)</f>
        <v>5</v>
      </c>
      <c r="W9" s="30">
        <f>tblEnlaces[[#This Row],[Eficiencia (peso)]]+tblEnlaces[[#This Row],[Resiliencia (peso)]]+tblEnlaces[[#This Row],[Capacidad (peso)]]+tblEnlaces[[#This Row],[Exposición (peso)]]</f>
        <v>16</v>
      </c>
    </row>
    <row r="10" spans="1:24" ht="19.5" customHeight="1" x14ac:dyDescent="0.25">
      <c r="A10" s="1" t="s">
        <v>46</v>
      </c>
      <c r="B10" s="1" t="s">
        <v>139</v>
      </c>
      <c r="C10" s="1" t="s">
        <v>20</v>
      </c>
      <c r="D10" s="1">
        <v>1</v>
      </c>
      <c r="F10" s="1" t="s">
        <v>47</v>
      </c>
      <c r="G10" s="1" t="s">
        <v>46</v>
      </c>
      <c r="H10" s="1" t="s">
        <v>141</v>
      </c>
      <c r="I10" s="1" t="s">
        <v>25</v>
      </c>
      <c r="J10" s="1" t="s">
        <v>53</v>
      </c>
      <c r="K10" s="1">
        <v>1</v>
      </c>
      <c r="L10" s="1" t="s">
        <v>33</v>
      </c>
      <c r="M10" s="21" t="str">
        <f>VLOOKUP(tblEnlaces[[#This Row],[Canal]],tblCanales[#All],4,FALSE)</f>
        <v>Bajo</v>
      </c>
      <c r="N10" s="21" t="str">
        <f>VLOOKUP(tblEnlaces[[#This Row],[Canal]],tblCanales[#All],5,FALSE)</f>
        <v>Alto</v>
      </c>
      <c r="O10" s="21" t="str">
        <f>VLOOKUP(tblEnlaces[[#This Row],[Canal]],tblCanales[#All],6,FALSE)</f>
        <v>Medio</v>
      </c>
      <c r="P10" s="21" t="str">
        <f>VLOOKUP(tblEnlaces[[#This Row],[Canal]],tblCanales[#All],7,FALSE)</f>
        <v>Medio</v>
      </c>
      <c r="Q10" s="22" t="str">
        <f>VLOOKUP(tblEnlaces[[#This Row],[Canal]],tblCanales[#All],8,FALSE)</f>
        <v>Medio</v>
      </c>
      <c r="R10" s="16">
        <f>IFERROR(_xlfn.XLOOKUP(tblEnlaces[[#This Row],[Coste]],tblPesosCoste[Valor],tblPesosCoste[Coste],0),0)</f>
        <v>5</v>
      </c>
      <c r="S10" s="16">
        <f>IFERROR(_xlfn.XLOOKUP(tblEnlaces[[#This Row],[Eficiencia]],tblPesosValorOperativo[Valor],tblPesosValorOperativo[Eficiencia],0),0)</f>
        <v>5</v>
      </c>
      <c r="T10" s="30">
        <f>IFERROR(_xlfn.XLOOKUP(tblEnlaces[[#This Row],[Exposición]],tblPesosValorOperativo[Valor],tblPesosValorOperativo[Exposición],0),0)</f>
        <v>3</v>
      </c>
      <c r="U10" s="30">
        <f>IFERROR(_xlfn.XLOOKUP(tblEnlaces[[#This Row],[Capacidad]],tblPesosValorOperativo[Valor],tblPesosValorOperativo[Capacidad],0),0)</f>
        <v>3</v>
      </c>
      <c r="V10" s="30">
        <f>IFERROR(_xlfn.XLOOKUP(tblEnlaces[[#This Row],[Resiliencia]],tblPesosValorOperativo[Valor],tblPesosValorOperativo[Resiliencia],0),0)</f>
        <v>3</v>
      </c>
      <c r="W10" s="30">
        <f>tblEnlaces[[#This Row],[Eficiencia (peso)]]+tblEnlaces[[#This Row],[Resiliencia (peso)]]+tblEnlaces[[#This Row],[Capacidad (peso)]]+tblEnlaces[[#This Row],[Exposición (peso)]]</f>
        <v>14</v>
      </c>
    </row>
    <row r="11" spans="1:24" ht="19.5" customHeight="1" x14ac:dyDescent="0.25">
      <c r="A11" s="1" t="s">
        <v>126</v>
      </c>
      <c r="B11" s="1" t="s">
        <v>127</v>
      </c>
      <c r="C11" s="1" t="s">
        <v>117</v>
      </c>
      <c r="D11" s="1">
        <v>1</v>
      </c>
      <c r="F11" s="1" t="s">
        <v>49</v>
      </c>
      <c r="G11" s="1" t="s">
        <v>126</v>
      </c>
      <c r="H11" s="1" t="s">
        <v>129</v>
      </c>
      <c r="I11" s="1" t="s">
        <v>25</v>
      </c>
      <c r="J11" s="1" t="s">
        <v>166</v>
      </c>
      <c r="K11" s="1">
        <v>1</v>
      </c>
      <c r="L11" s="1" t="s">
        <v>33</v>
      </c>
      <c r="M11" s="19" t="str">
        <f>VLOOKUP(tblEnlaces[[#This Row],[Canal]],tblCanales[#All],4,FALSE)</f>
        <v>Bajo</v>
      </c>
      <c r="N11" s="19" t="str">
        <f>VLOOKUP(tblEnlaces[[#This Row],[Canal]],tblCanales[#All],5,FALSE)</f>
        <v>Alto</v>
      </c>
      <c r="O11" s="19" t="str">
        <f>VLOOKUP(tblEnlaces[[#This Row],[Canal]],tblCanales[#All],6,FALSE)</f>
        <v>Bajo</v>
      </c>
      <c r="P11" s="19" t="str">
        <f>VLOOKUP(tblEnlaces[[#This Row],[Canal]],tblCanales[#All],7,FALSE)</f>
        <v>Medio</v>
      </c>
      <c r="Q11" s="20" t="str">
        <f>VLOOKUP(tblEnlaces[[#This Row],[Canal]],tblCanales[#All],8,FALSE)</f>
        <v>Alto</v>
      </c>
      <c r="R11" s="16">
        <f>IFERROR(_xlfn.XLOOKUP(tblEnlaces[[#This Row],[Coste]],tblPesosCoste[Valor],tblPesosCoste[Coste],0),0)</f>
        <v>5</v>
      </c>
      <c r="S11" s="16">
        <f>IFERROR(_xlfn.XLOOKUP(tblEnlaces[[#This Row],[Eficiencia]],tblPesosValorOperativo[Valor],tblPesosValorOperativo[Eficiencia],0),0)</f>
        <v>5</v>
      </c>
      <c r="T11" s="30">
        <f>IFERROR(_xlfn.XLOOKUP(tblEnlaces[[#This Row],[Exposición]],tblPesosValorOperativo[Valor],tblPesosValorOperativo[Exposición],0),0)</f>
        <v>5</v>
      </c>
      <c r="U11" s="30">
        <f>IFERROR(_xlfn.XLOOKUP(tblEnlaces[[#This Row],[Capacidad]],tblPesosValorOperativo[Valor],tblPesosValorOperativo[Capacidad],0),0)</f>
        <v>3</v>
      </c>
      <c r="V11" s="30">
        <f>IFERROR(_xlfn.XLOOKUP(tblEnlaces[[#This Row],[Resiliencia]],tblPesosValorOperativo[Valor],tblPesosValorOperativo[Resiliencia],0),0)</f>
        <v>5</v>
      </c>
      <c r="W11" s="30">
        <f>tblEnlaces[[#This Row],[Eficiencia (peso)]]+tblEnlaces[[#This Row],[Resiliencia (peso)]]+tblEnlaces[[#This Row],[Capacidad (peso)]]+tblEnlaces[[#This Row],[Exposición (peso)]]</f>
        <v>18</v>
      </c>
    </row>
    <row r="12" spans="1:24" ht="19.5" customHeight="1" x14ac:dyDescent="0.25">
      <c r="A12" s="1" t="s">
        <v>128</v>
      </c>
      <c r="B12" s="1" t="s">
        <v>140</v>
      </c>
      <c r="C12" s="1" t="s">
        <v>117</v>
      </c>
      <c r="D12" s="1">
        <v>1</v>
      </c>
      <c r="F12" s="1" t="s">
        <v>51</v>
      </c>
      <c r="G12" s="1" t="s">
        <v>126</v>
      </c>
      <c r="H12" s="1" t="s">
        <v>130</v>
      </c>
      <c r="I12" s="1" t="s">
        <v>204</v>
      </c>
      <c r="J12" s="1" t="s">
        <v>165</v>
      </c>
      <c r="K12" s="1">
        <v>1</v>
      </c>
      <c r="L12" s="1" t="s">
        <v>26</v>
      </c>
      <c r="M12" s="21" t="str">
        <f>VLOOKUP(tblEnlaces[[#This Row],[Canal]],tblCanales[#All],4,FALSE)</f>
        <v>Medio</v>
      </c>
      <c r="N12" s="21" t="str">
        <f>VLOOKUP(tblEnlaces[[#This Row],[Canal]],tblCanales[#All],5,FALSE)</f>
        <v>Bajo-Medio</v>
      </c>
      <c r="O12" s="21" t="str">
        <f>VLOOKUP(tblEnlaces[[#This Row],[Canal]],tblCanales[#All],6,FALSE)</f>
        <v>Medio</v>
      </c>
      <c r="P12" s="21" t="str">
        <f>VLOOKUP(tblEnlaces[[#This Row],[Canal]],tblCanales[#All],7,FALSE)</f>
        <v>Medio</v>
      </c>
      <c r="Q12" s="22" t="str">
        <f>VLOOKUP(tblEnlaces[[#This Row],[Canal]],tblCanales[#All],8,FALSE)</f>
        <v>Medio</v>
      </c>
      <c r="R12" s="16">
        <f>IFERROR(_xlfn.XLOOKUP(tblEnlaces[[#This Row],[Coste]],tblPesosCoste[Valor],tblPesosCoste[Coste],0),0)</f>
        <v>3</v>
      </c>
      <c r="S12" s="16">
        <f>IFERROR(_xlfn.XLOOKUP(tblEnlaces[[#This Row],[Eficiencia]],tblPesosValorOperativo[Valor],tblPesosValorOperativo[Eficiencia],0),0)</f>
        <v>2</v>
      </c>
      <c r="T12" s="30">
        <f>IFERROR(_xlfn.XLOOKUP(tblEnlaces[[#This Row],[Exposición]],tblPesosValorOperativo[Valor],tblPesosValorOperativo[Exposición],0),0)</f>
        <v>3</v>
      </c>
      <c r="U12" s="30">
        <f>IFERROR(_xlfn.XLOOKUP(tblEnlaces[[#This Row],[Capacidad]],tblPesosValorOperativo[Valor],tblPesosValorOperativo[Capacidad],0),0)</f>
        <v>3</v>
      </c>
      <c r="V12" s="30">
        <f>IFERROR(_xlfn.XLOOKUP(tblEnlaces[[#This Row],[Resiliencia]],tblPesosValorOperativo[Valor],tblPesosValorOperativo[Resiliencia],0),0)</f>
        <v>3</v>
      </c>
      <c r="W12" s="30">
        <f>tblEnlaces[[#This Row],[Eficiencia (peso)]]+tblEnlaces[[#This Row],[Resiliencia (peso)]]+tblEnlaces[[#This Row],[Capacidad (peso)]]+tblEnlaces[[#This Row],[Exposición (peso)]]</f>
        <v>11</v>
      </c>
    </row>
    <row r="13" spans="1:24" ht="19.5" customHeight="1" x14ac:dyDescent="0.25">
      <c r="A13" s="1" t="s">
        <v>141</v>
      </c>
      <c r="B13" s="1" t="s">
        <v>142</v>
      </c>
      <c r="C13" s="1" t="s">
        <v>117</v>
      </c>
      <c r="D13" s="1">
        <v>1</v>
      </c>
      <c r="F13" s="1" t="s">
        <v>52</v>
      </c>
      <c r="G13" s="1" t="s">
        <v>128</v>
      </c>
      <c r="H13" s="1" t="s">
        <v>129</v>
      </c>
      <c r="I13" s="1" t="s">
        <v>25</v>
      </c>
      <c r="J13" s="1" t="s">
        <v>172</v>
      </c>
      <c r="K13" s="1">
        <v>1</v>
      </c>
      <c r="L13" s="1" t="s">
        <v>33</v>
      </c>
      <c r="M13" s="19" t="str">
        <f>VLOOKUP(tblEnlaces[[#This Row],[Canal]],tblCanales[#All],4,FALSE)</f>
        <v>Medio</v>
      </c>
      <c r="N13" s="19" t="str">
        <f>VLOOKUP(tblEnlaces[[#This Row],[Canal]],tblCanales[#All],5,FALSE)</f>
        <v>Alto</v>
      </c>
      <c r="O13" s="19" t="str">
        <f>VLOOKUP(tblEnlaces[[#This Row],[Canal]],tblCanales[#All],6,FALSE)</f>
        <v>Medio</v>
      </c>
      <c r="P13" s="19" t="str">
        <f>VLOOKUP(tblEnlaces[[#This Row],[Canal]],tblCanales[#All],7,FALSE)</f>
        <v>Medio-Alto</v>
      </c>
      <c r="Q13" s="20" t="str">
        <f>VLOOKUP(tblEnlaces[[#This Row],[Canal]],tblCanales[#All],8,FALSE)</f>
        <v>Alto</v>
      </c>
      <c r="R13" s="16">
        <f>IFERROR(_xlfn.XLOOKUP(tblEnlaces[[#This Row],[Coste]],tblPesosCoste[Valor],tblPesosCoste[Coste],0),0)</f>
        <v>3</v>
      </c>
      <c r="S13" s="16">
        <f>IFERROR(_xlfn.XLOOKUP(tblEnlaces[[#This Row],[Eficiencia]],tblPesosValorOperativo[Valor],tblPesosValorOperativo[Eficiencia],0),0)</f>
        <v>5</v>
      </c>
      <c r="T13" s="30">
        <f>IFERROR(_xlfn.XLOOKUP(tblEnlaces[[#This Row],[Exposición]],tblPesosValorOperativo[Valor],tblPesosValorOperativo[Exposición],0),0)</f>
        <v>3</v>
      </c>
      <c r="U13" s="30">
        <f>IFERROR(_xlfn.XLOOKUP(tblEnlaces[[#This Row],[Capacidad]],tblPesosValorOperativo[Valor],tblPesosValorOperativo[Capacidad],0),0)</f>
        <v>4</v>
      </c>
      <c r="V13" s="30">
        <f>IFERROR(_xlfn.XLOOKUP(tblEnlaces[[#This Row],[Resiliencia]],tblPesosValorOperativo[Valor],tblPesosValorOperativo[Resiliencia],0),0)</f>
        <v>5</v>
      </c>
      <c r="W13" s="30">
        <f>tblEnlaces[[#This Row],[Eficiencia (peso)]]+tblEnlaces[[#This Row],[Resiliencia (peso)]]+tblEnlaces[[#This Row],[Capacidad (peso)]]+tblEnlaces[[#This Row],[Exposición (peso)]]</f>
        <v>17</v>
      </c>
    </row>
    <row r="14" spans="1:24" ht="19.5" customHeight="1" x14ac:dyDescent="0.25">
      <c r="A14" s="1" t="s">
        <v>129</v>
      </c>
      <c r="B14" s="1" t="s">
        <v>143</v>
      </c>
      <c r="C14" s="1" t="s">
        <v>120</v>
      </c>
      <c r="D14" s="1">
        <v>1</v>
      </c>
      <c r="F14" s="1" t="s">
        <v>54</v>
      </c>
      <c r="G14" s="1" t="s">
        <v>128</v>
      </c>
      <c r="H14" s="1" t="s">
        <v>132</v>
      </c>
      <c r="I14" s="1" t="s">
        <v>204</v>
      </c>
      <c r="J14" s="1" t="s">
        <v>169</v>
      </c>
      <c r="K14" s="1">
        <v>1</v>
      </c>
      <c r="L14" s="1" t="s">
        <v>33</v>
      </c>
      <c r="M14" s="21" t="str">
        <f>VLOOKUP(tblEnlaces[[#This Row],[Canal]],tblCanales[#All],4,FALSE)</f>
        <v>Medio</v>
      </c>
      <c r="N14" s="21" t="str">
        <f>VLOOKUP(tblEnlaces[[#This Row],[Canal]],tblCanales[#All],5,FALSE)</f>
        <v>Medio</v>
      </c>
      <c r="O14" s="21" t="str">
        <f>VLOOKUP(tblEnlaces[[#This Row],[Canal]],tblCanales[#All],6,FALSE)</f>
        <v>Alto</v>
      </c>
      <c r="P14" s="21" t="str">
        <f>VLOOKUP(tblEnlaces[[#This Row],[Canal]],tblCanales[#All],7,FALSE)</f>
        <v>Alto</v>
      </c>
      <c r="Q14" s="22" t="str">
        <f>VLOOKUP(tblEnlaces[[#This Row],[Canal]],tblCanales[#All],8,FALSE)</f>
        <v>Alto</v>
      </c>
      <c r="R14" s="16">
        <f>IFERROR(_xlfn.XLOOKUP(tblEnlaces[[#This Row],[Coste]],tblPesosCoste[Valor],tblPesosCoste[Coste],0),0)</f>
        <v>3</v>
      </c>
      <c r="S14" s="16">
        <f>IFERROR(_xlfn.XLOOKUP(tblEnlaces[[#This Row],[Eficiencia]],tblPesosValorOperativo[Valor],tblPesosValorOperativo[Eficiencia],0),0)</f>
        <v>3</v>
      </c>
      <c r="T14" s="30">
        <f>IFERROR(_xlfn.XLOOKUP(tblEnlaces[[#This Row],[Exposición]],tblPesosValorOperativo[Valor],tblPesosValorOperativo[Exposición],0),0)</f>
        <v>1</v>
      </c>
      <c r="U14" s="30">
        <f>IFERROR(_xlfn.XLOOKUP(tblEnlaces[[#This Row],[Capacidad]],tblPesosValorOperativo[Valor],tblPesosValorOperativo[Capacidad],0),0)</f>
        <v>5</v>
      </c>
      <c r="V14" s="30">
        <f>IFERROR(_xlfn.XLOOKUP(tblEnlaces[[#This Row],[Resiliencia]],tblPesosValorOperativo[Valor],tblPesosValorOperativo[Resiliencia],0),0)</f>
        <v>5</v>
      </c>
      <c r="W14" s="30">
        <f>tblEnlaces[[#This Row],[Eficiencia (peso)]]+tblEnlaces[[#This Row],[Resiliencia (peso)]]+tblEnlaces[[#This Row],[Capacidad (peso)]]+tblEnlaces[[#This Row],[Exposición (peso)]]</f>
        <v>14</v>
      </c>
    </row>
    <row r="15" spans="1:24" ht="19.5" customHeight="1" x14ac:dyDescent="0.25">
      <c r="A15" s="1" t="s">
        <v>130</v>
      </c>
      <c r="B15" s="1" t="s">
        <v>144</v>
      </c>
      <c r="C15" s="1" t="s">
        <v>120</v>
      </c>
      <c r="D15" s="1">
        <v>1</v>
      </c>
      <c r="F15" s="1" t="s">
        <v>56</v>
      </c>
      <c r="G15" s="1" t="s">
        <v>141</v>
      </c>
      <c r="H15" s="1" t="s">
        <v>130</v>
      </c>
      <c r="I15" s="1" t="s">
        <v>25</v>
      </c>
      <c r="J15" s="1" t="s">
        <v>166</v>
      </c>
      <c r="K15" s="1">
        <v>1</v>
      </c>
      <c r="L15" s="1" t="s">
        <v>33</v>
      </c>
      <c r="M15" s="19" t="str">
        <f>VLOOKUP(tblEnlaces[[#This Row],[Canal]],tblCanales[#All],4,FALSE)</f>
        <v>Bajo</v>
      </c>
      <c r="N15" s="19" t="str">
        <f>VLOOKUP(tblEnlaces[[#This Row],[Canal]],tblCanales[#All],5,FALSE)</f>
        <v>Alto</v>
      </c>
      <c r="O15" s="19" t="str">
        <f>VLOOKUP(tblEnlaces[[#This Row],[Canal]],tblCanales[#All],6,FALSE)</f>
        <v>Bajo</v>
      </c>
      <c r="P15" s="19" t="str">
        <f>VLOOKUP(tblEnlaces[[#This Row],[Canal]],tblCanales[#All],7,FALSE)</f>
        <v>Medio</v>
      </c>
      <c r="Q15" s="20" t="str">
        <f>VLOOKUP(tblEnlaces[[#This Row],[Canal]],tblCanales[#All],8,FALSE)</f>
        <v>Alto</v>
      </c>
      <c r="R15" s="16">
        <f>IFERROR(_xlfn.XLOOKUP(tblEnlaces[[#This Row],[Coste]],tblPesosCoste[Valor],tblPesosCoste[Coste],0),0)</f>
        <v>5</v>
      </c>
      <c r="S15" s="16">
        <f>IFERROR(_xlfn.XLOOKUP(tblEnlaces[[#This Row],[Eficiencia]],tblPesosValorOperativo[Valor],tblPesosValorOperativo[Eficiencia],0),0)</f>
        <v>5</v>
      </c>
      <c r="T15" s="30">
        <f>IFERROR(_xlfn.XLOOKUP(tblEnlaces[[#This Row],[Exposición]],tblPesosValorOperativo[Valor],tblPesosValorOperativo[Exposición],0),0)</f>
        <v>5</v>
      </c>
      <c r="U15" s="30">
        <f>IFERROR(_xlfn.XLOOKUP(tblEnlaces[[#This Row],[Capacidad]],tblPesosValorOperativo[Valor],tblPesosValorOperativo[Capacidad],0),0)</f>
        <v>3</v>
      </c>
      <c r="V15" s="30">
        <f>IFERROR(_xlfn.XLOOKUP(tblEnlaces[[#This Row],[Resiliencia]],tblPesosValorOperativo[Valor],tblPesosValorOperativo[Resiliencia],0),0)</f>
        <v>5</v>
      </c>
      <c r="W15" s="30">
        <f>tblEnlaces[[#This Row],[Eficiencia (peso)]]+tblEnlaces[[#This Row],[Resiliencia (peso)]]+tblEnlaces[[#This Row],[Capacidad (peso)]]+tblEnlaces[[#This Row],[Exposición (peso)]]</f>
        <v>18</v>
      </c>
    </row>
    <row r="16" spans="1:24" ht="19.5" customHeight="1" x14ac:dyDescent="0.25">
      <c r="A16" s="1" t="s">
        <v>132</v>
      </c>
      <c r="B16" s="1" t="s">
        <v>131</v>
      </c>
      <c r="C16" s="1" t="s">
        <v>120</v>
      </c>
      <c r="D16" s="1">
        <v>1</v>
      </c>
      <c r="F16" s="1" t="s">
        <v>58</v>
      </c>
      <c r="G16" s="1" t="s">
        <v>141</v>
      </c>
      <c r="H16" s="1" t="s">
        <v>145</v>
      </c>
      <c r="I16" s="1" t="s">
        <v>204</v>
      </c>
      <c r="J16" s="1" t="s">
        <v>53</v>
      </c>
      <c r="K16" s="1">
        <v>1</v>
      </c>
      <c r="L16" s="1" t="s">
        <v>33</v>
      </c>
      <c r="M16" s="21" t="str">
        <f>VLOOKUP(tblEnlaces[[#This Row],[Canal]],tblCanales[#All],4,FALSE)</f>
        <v>Bajo</v>
      </c>
      <c r="N16" s="21" t="str">
        <f>VLOOKUP(tblEnlaces[[#This Row],[Canal]],tblCanales[#All],5,FALSE)</f>
        <v>Alto</v>
      </c>
      <c r="O16" s="21" t="str">
        <f>VLOOKUP(tblEnlaces[[#This Row],[Canal]],tblCanales[#All],6,FALSE)</f>
        <v>Medio</v>
      </c>
      <c r="P16" s="21" t="str">
        <f>VLOOKUP(tblEnlaces[[#This Row],[Canal]],tblCanales[#All],7,FALSE)</f>
        <v>Medio</v>
      </c>
      <c r="Q16" s="22" t="str">
        <f>VLOOKUP(tblEnlaces[[#This Row],[Canal]],tblCanales[#All],8,FALSE)</f>
        <v>Medio</v>
      </c>
      <c r="R16" s="16">
        <f>IFERROR(_xlfn.XLOOKUP(tblEnlaces[[#This Row],[Coste]],tblPesosCoste[Valor],tblPesosCoste[Coste],0),0)</f>
        <v>5</v>
      </c>
      <c r="S16" s="16">
        <f>IFERROR(_xlfn.XLOOKUP(tblEnlaces[[#This Row],[Eficiencia]],tblPesosValorOperativo[Valor],tblPesosValorOperativo[Eficiencia],0),0)</f>
        <v>5</v>
      </c>
      <c r="T16" s="30">
        <f>IFERROR(_xlfn.XLOOKUP(tblEnlaces[[#This Row],[Exposición]],tblPesosValorOperativo[Valor],tblPesosValorOperativo[Exposición],0),0)</f>
        <v>3</v>
      </c>
      <c r="U16" s="30">
        <f>IFERROR(_xlfn.XLOOKUP(tblEnlaces[[#This Row],[Capacidad]],tblPesosValorOperativo[Valor],tblPesosValorOperativo[Capacidad],0),0)</f>
        <v>3</v>
      </c>
      <c r="V16" s="30">
        <f>IFERROR(_xlfn.XLOOKUP(tblEnlaces[[#This Row],[Resiliencia]],tblPesosValorOperativo[Valor],tblPesosValorOperativo[Resiliencia],0),0)</f>
        <v>3</v>
      </c>
      <c r="W16" s="30">
        <f>tblEnlaces[[#This Row],[Eficiencia (peso)]]+tblEnlaces[[#This Row],[Resiliencia (peso)]]+tblEnlaces[[#This Row],[Capacidad (peso)]]+tblEnlaces[[#This Row],[Exposición (peso)]]</f>
        <v>14</v>
      </c>
    </row>
    <row r="17" spans="1:23" ht="19.5" customHeight="1" x14ac:dyDescent="0.25">
      <c r="A17" s="1" t="s">
        <v>145</v>
      </c>
      <c r="B17" s="1" t="s">
        <v>146</v>
      </c>
      <c r="C17" s="1" t="s">
        <v>120</v>
      </c>
      <c r="D17" s="1">
        <v>1</v>
      </c>
      <c r="F17" s="1" t="s">
        <v>60</v>
      </c>
      <c r="G17" s="1" t="s">
        <v>129</v>
      </c>
      <c r="H17" s="1" t="s">
        <v>132</v>
      </c>
      <c r="I17" s="1" t="s">
        <v>25</v>
      </c>
      <c r="J17" s="1" t="s">
        <v>53</v>
      </c>
      <c r="K17" s="1">
        <v>1</v>
      </c>
      <c r="L17" s="1" t="s">
        <v>33</v>
      </c>
      <c r="M17" s="19" t="str">
        <f>VLOOKUP(tblEnlaces[[#This Row],[Canal]],tblCanales[#All],4,FALSE)</f>
        <v>Bajo</v>
      </c>
      <c r="N17" s="19" t="str">
        <f>VLOOKUP(tblEnlaces[[#This Row],[Canal]],tblCanales[#All],5,FALSE)</f>
        <v>Alto</v>
      </c>
      <c r="O17" s="19" t="str">
        <f>VLOOKUP(tblEnlaces[[#This Row],[Canal]],tblCanales[#All],6,FALSE)</f>
        <v>Medio</v>
      </c>
      <c r="P17" s="19" t="str">
        <f>VLOOKUP(tblEnlaces[[#This Row],[Canal]],tblCanales[#All],7,FALSE)</f>
        <v>Medio</v>
      </c>
      <c r="Q17" s="20" t="str">
        <f>VLOOKUP(tblEnlaces[[#This Row],[Canal]],tblCanales[#All],8,FALSE)</f>
        <v>Medio</v>
      </c>
      <c r="R17" s="16">
        <f>IFERROR(_xlfn.XLOOKUP(tblEnlaces[[#This Row],[Coste]],tblPesosCoste[Valor],tblPesosCoste[Coste],0),0)</f>
        <v>5</v>
      </c>
      <c r="S17" s="16">
        <f>IFERROR(_xlfn.XLOOKUP(tblEnlaces[[#This Row],[Eficiencia]],tblPesosValorOperativo[Valor],tblPesosValorOperativo[Eficiencia],0),0)</f>
        <v>5</v>
      </c>
      <c r="T17" s="30">
        <f>IFERROR(_xlfn.XLOOKUP(tblEnlaces[[#This Row],[Exposición]],tblPesosValorOperativo[Valor],tblPesosValorOperativo[Exposición],0),0)</f>
        <v>3</v>
      </c>
      <c r="U17" s="30">
        <f>IFERROR(_xlfn.XLOOKUP(tblEnlaces[[#This Row],[Capacidad]],tblPesosValorOperativo[Valor],tblPesosValorOperativo[Capacidad],0),0)</f>
        <v>3</v>
      </c>
      <c r="V17" s="30">
        <f>IFERROR(_xlfn.XLOOKUP(tblEnlaces[[#This Row],[Resiliencia]],tblPesosValorOperativo[Valor],tblPesosValorOperativo[Resiliencia],0),0)</f>
        <v>3</v>
      </c>
      <c r="W17" s="30">
        <f>tblEnlaces[[#This Row],[Eficiencia (peso)]]+tblEnlaces[[#This Row],[Resiliencia (peso)]]+tblEnlaces[[#This Row],[Capacidad (peso)]]+tblEnlaces[[#This Row],[Exposición (peso)]]</f>
        <v>14</v>
      </c>
    </row>
    <row r="18" spans="1:23" ht="19.5" customHeight="1" x14ac:dyDescent="0.25">
      <c r="A18" s="1" t="s">
        <v>147</v>
      </c>
      <c r="B18" s="1" t="s">
        <v>148</v>
      </c>
      <c r="C18" s="1" t="s">
        <v>120</v>
      </c>
      <c r="D18" s="1">
        <v>1</v>
      </c>
      <c r="F18" s="1" t="s">
        <v>62</v>
      </c>
      <c r="G18" s="1" t="s">
        <v>129</v>
      </c>
      <c r="H18" s="1" t="s">
        <v>145</v>
      </c>
      <c r="I18" s="1" t="s">
        <v>204</v>
      </c>
      <c r="J18" s="1" t="s">
        <v>175</v>
      </c>
      <c r="K18" s="1">
        <v>1</v>
      </c>
      <c r="L18" s="1" t="s">
        <v>33</v>
      </c>
      <c r="M18" s="21" t="str">
        <f>VLOOKUP(tblEnlaces[[#This Row],[Canal]],tblCanales[#All],4,FALSE)</f>
        <v>Bajo</v>
      </c>
      <c r="N18" s="21" t="str">
        <f>VLOOKUP(tblEnlaces[[#This Row],[Canal]],tblCanales[#All],5,FALSE)</f>
        <v>Alto</v>
      </c>
      <c r="O18" s="21" t="str">
        <f>VLOOKUP(tblEnlaces[[#This Row],[Canal]],tblCanales[#All],6,FALSE)</f>
        <v>Medio-Alto</v>
      </c>
      <c r="P18" s="21" t="str">
        <f>VLOOKUP(tblEnlaces[[#This Row],[Canal]],tblCanales[#All],7,FALSE)</f>
        <v>Medio</v>
      </c>
      <c r="Q18" s="22" t="str">
        <f>VLOOKUP(tblEnlaces[[#This Row],[Canal]],tblCanales[#All],8,FALSE)</f>
        <v>Medio</v>
      </c>
      <c r="R18" s="16">
        <f>IFERROR(_xlfn.XLOOKUP(tblEnlaces[[#This Row],[Coste]],tblPesosCoste[Valor],tblPesosCoste[Coste],0),0)</f>
        <v>5</v>
      </c>
      <c r="S18" s="16">
        <f>IFERROR(_xlfn.XLOOKUP(tblEnlaces[[#This Row],[Eficiencia]],tblPesosValorOperativo[Valor],tblPesosValorOperativo[Eficiencia],0),0)</f>
        <v>5</v>
      </c>
      <c r="T18" s="30">
        <f>IFERROR(_xlfn.XLOOKUP(tblEnlaces[[#This Row],[Exposición]],tblPesosValorOperativo[Valor],tblPesosValorOperativo[Exposición],0),0)</f>
        <v>2</v>
      </c>
      <c r="U18" s="30">
        <f>IFERROR(_xlfn.XLOOKUP(tblEnlaces[[#This Row],[Capacidad]],tblPesosValorOperativo[Valor],tblPesosValorOperativo[Capacidad],0),0)</f>
        <v>3</v>
      </c>
      <c r="V18" s="30">
        <f>IFERROR(_xlfn.XLOOKUP(tblEnlaces[[#This Row],[Resiliencia]],tblPesosValorOperativo[Valor],tblPesosValorOperativo[Resiliencia],0),0)</f>
        <v>3</v>
      </c>
      <c r="W18" s="30">
        <f>tblEnlaces[[#This Row],[Eficiencia (peso)]]+tblEnlaces[[#This Row],[Resiliencia (peso)]]+tblEnlaces[[#This Row],[Capacidad (peso)]]+tblEnlaces[[#This Row],[Exposición (peso)]]</f>
        <v>13</v>
      </c>
    </row>
    <row r="19" spans="1:23" ht="19.5" customHeight="1" x14ac:dyDescent="0.25">
      <c r="A19" s="1" t="s">
        <v>149</v>
      </c>
      <c r="B19" s="1" t="s">
        <v>205</v>
      </c>
      <c r="C19" s="1" t="s">
        <v>120</v>
      </c>
      <c r="D19" s="1">
        <v>1</v>
      </c>
      <c r="F19" s="1" t="s">
        <v>64</v>
      </c>
      <c r="G19" s="1" t="s">
        <v>130</v>
      </c>
      <c r="H19" s="1" t="s">
        <v>132</v>
      </c>
      <c r="I19" s="1" t="s">
        <v>25</v>
      </c>
      <c r="J19" s="1" t="s">
        <v>172</v>
      </c>
      <c r="K19" s="1">
        <v>1</v>
      </c>
      <c r="L19" s="1" t="s">
        <v>33</v>
      </c>
      <c r="M19" s="19" t="str">
        <f>VLOOKUP(tblEnlaces[[#This Row],[Canal]],tblCanales[#All],4,FALSE)</f>
        <v>Medio</v>
      </c>
      <c r="N19" s="19" t="str">
        <f>VLOOKUP(tblEnlaces[[#This Row],[Canal]],tblCanales[#All],5,FALSE)</f>
        <v>Alto</v>
      </c>
      <c r="O19" s="19" t="str">
        <f>VLOOKUP(tblEnlaces[[#This Row],[Canal]],tblCanales[#All],6,FALSE)</f>
        <v>Medio</v>
      </c>
      <c r="P19" s="19" t="str">
        <f>VLOOKUP(tblEnlaces[[#This Row],[Canal]],tblCanales[#All],7,FALSE)</f>
        <v>Medio-Alto</v>
      </c>
      <c r="Q19" s="20" t="str">
        <f>VLOOKUP(tblEnlaces[[#This Row],[Canal]],tblCanales[#All],8,FALSE)</f>
        <v>Alto</v>
      </c>
      <c r="R19" s="16">
        <f>IFERROR(_xlfn.XLOOKUP(tblEnlaces[[#This Row],[Coste]],tblPesosCoste[Valor],tblPesosCoste[Coste],0),0)</f>
        <v>3</v>
      </c>
      <c r="S19" s="16">
        <f>IFERROR(_xlfn.XLOOKUP(tblEnlaces[[#This Row],[Eficiencia]],tblPesosValorOperativo[Valor],tblPesosValorOperativo[Eficiencia],0),0)</f>
        <v>5</v>
      </c>
      <c r="T19" s="30">
        <f>IFERROR(_xlfn.XLOOKUP(tblEnlaces[[#This Row],[Exposición]],tblPesosValorOperativo[Valor],tblPesosValorOperativo[Exposición],0),0)</f>
        <v>3</v>
      </c>
      <c r="U19" s="30">
        <f>IFERROR(_xlfn.XLOOKUP(tblEnlaces[[#This Row],[Capacidad]],tblPesosValorOperativo[Valor],tblPesosValorOperativo[Capacidad],0),0)</f>
        <v>4</v>
      </c>
      <c r="V19" s="30">
        <f>IFERROR(_xlfn.XLOOKUP(tblEnlaces[[#This Row],[Resiliencia]],tblPesosValorOperativo[Valor],tblPesosValorOperativo[Resiliencia],0),0)</f>
        <v>5</v>
      </c>
      <c r="W19" s="30">
        <f>tblEnlaces[[#This Row],[Eficiencia (peso)]]+tblEnlaces[[#This Row],[Resiliencia (peso)]]+tblEnlaces[[#This Row],[Capacidad (peso)]]+tblEnlaces[[#This Row],[Exposición (peso)]]</f>
        <v>17</v>
      </c>
    </row>
    <row r="20" spans="1:23" ht="19.5" customHeight="1" x14ac:dyDescent="0.25">
      <c r="A20" s="1" t="s">
        <v>150</v>
      </c>
      <c r="B20" s="1" t="s">
        <v>206</v>
      </c>
      <c r="C20" s="1" t="s">
        <v>120</v>
      </c>
      <c r="D20" s="1">
        <v>1</v>
      </c>
      <c r="F20" s="1" t="s">
        <v>66</v>
      </c>
      <c r="G20" s="1" t="s">
        <v>130</v>
      </c>
      <c r="H20" s="1" t="s">
        <v>147</v>
      </c>
      <c r="I20" s="1" t="s">
        <v>204</v>
      </c>
      <c r="J20" s="1" t="s">
        <v>165</v>
      </c>
      <c r="K20" s="1">
        <v>1</v>
      </c>
      <c r="L20" s="1" t="s">
        <v>26</v>
      </c>
      <c r="M20" s="21" t="str">
        <f>VLOOKUP(tblEnlaces[[#This Row],[Canal]],tblCanales[#All],4,FALSE)</f>
        <v>Medio</v>
      </c>
      <c r="N20" s="21" t="str">
        <f>VLOOKUP(tblEnlaces[[#This Row],[Canal]],tblCanales[#All],5,FALSE)</f>
        <v>Bajo-Medio</v>
      </c>
      <c r="O20" s="21" t="str">
        <f>VLOOKUP(tblEnlaces[[#This Row],[Canal]],tblCanales[#All],6,FALSE)</f>
        <v>Medio</v>
      </c>
      <c r="P20" s="21" t="str">
        <f>VLOOKUP(tblEnlaces[[#This Row],[Canal]],tblCanales[#All],7,FALSE)</f>
        <v>Medio</v>
      </c>
      <c r="Q20" s="22" t="str">
        <f>VLOOKUP(tblEnlaces[[#This Row],[Canal]],tblCanales[#All],8,FALSE)</f>
        <v>Medio</v>
      </c>
      <c r="R20" s="16">
        <f>IFERROR(_xlfn.XLOOKUP(tblEnlaces[[#This Row],[Coste]],tblPesosCoste[Valor],tblPesosCoste[Coste],0),0)</f>
        <v>3</v>
      </c>
      <c r="S20" s="16">
        <f>IFERROR(_xlfn.XLOOKUP(tblEnlaces[[#This Row],[Eficiencia]],tblPesosValorOperativo[Valor],tblPesosValorOperativo[Eficiencia],0),0)</f>
        <v>2</v>
      </c>
      <c r="T20" s="30">
        <f>IFERROR(_xlfn.XLOOKUP(tblEnlaces[[#This Row],[Exposición]],tblPesosValorOperativo[Valor],tblPesosValorOperativo[Exposición],0),0)</f>
        <v>3</v>
      </c>
      <c r="U20" s="30">
        <f>IFERROR(_xlfn.XLOOKUP(tblEnlaces[[#This Row],[Capacidad]],tblPesosValorOperativo[Valor],tblPesosValorOperativo[Capacidad],0),0)</f>
        <v>3</v>
      </c>
      <c r="V20" s="30">
        <f>IFERROR(_xlfn.XLOOKUP(tblEnlaces[[#This Row],[Resiliencia]],tblPesosValorOperativo[Valor],tblPesosValorOperativo[Resiliencia],0),0)</f>
        <v>3</v>
      </c>
      <c r="W20" s="30">
        <f>tblEnlaces[[#This Row],[Eficiencia (peso)]]+tblEnlaces[[#This Row],[Resiliencia (peso)]]+tblEnlaces[[#This Row],[Capacidad (peso)]]+tblEnlaces[[#This Row],[Exposición (peso)]]</f>
        <v>11</v>
      </c>
    </row>
    <row r="21" spans="1:23" ht="19.5" customHeight="1" x14ac:dyDescent="0.25">
      <c r="A21" s="1" t="s">
        <v>151</v>
      </c>
      <c r="B21" s="1" t="s">
        <v>152</v>
      </c>
      <c r="C21" s="1" t="s">
        <v>120</v>
      </c>
      <c r="D21" s="1">
        <v>1</v>
      </c>
      <c r="F21" s="1" t="s">
        <v>68</v>
      </c>
      <c r="G21" s="1" t="s">
        <v>132</v>
      </c>
      <c r="H21" s="1" t="s">
        <v>149</v>
      </c>
      <c r="I21" s="1" t="s">
        <v>25</v>
      </c>
      <c r="J21" s="1" t="s">
        <v>166</v>
      </c>
      <c r="K21" s="1">
        <v>1</v>
      </c>
      <c r="L21" s="1" t="s">
        <v>33</v>
      </c>
      <c r="M21" s="19" t="str">
        <f>VLOOKUP(tblEnlaces[[#This Row],[Canal]],tblCanales[#All],4,FALSE)</f>
        <v>Bajo</v>
      </c>
      <c r="N21" s="19" t="str">
        <f>VLOOKUP(tblEnlaces[[#This Row],[Canal]],tblCanales[#All],5,FALSE)</f>
        <v>Alto</v>
      </c>
      <c r="O21" s="19" t="str">
        <f>VLOOKUP(tblEnlaces[[#This Row],[Canal]],tblCanales[#All],6,FALSE)</f>
        <v>Bajo</v>
      </c>
      <c r="P21" s="19" t="str">
        <f>VLOOKUP(tblEnlaces[[#This Row],[Canal]],tblCanales[#All],7,FALSE)</f>
        <v>Medio</v>
      </c>
      <c r="Q21" s="20" t="str">
        <f>VLOOKUP(tblEnlaces[[#This Row],[Canal]],tblCanales[#All],8,FALSE)</f>
        <v>Alto</v>
      </c>
      <c r="R21" s="16">
        <f>IFERROR(_xlfn.XLOOKUP(tblEnlaces[[#This Row],[Coste]],tblPesosCoste[Valor],tblPesosCoste[Coste],0),0)</f>
        <v>5</v>
      </c>
      <c r="S21" s="16">
        <f>IFERROR(_xlfn.XLOOKUP(tblEnlaces[[#This Row],[Eficiencia]],tblPesosValorOperativo[Valor],tblPesosValorOperativo[Eficiencia],0),0)</f>
        <v>5</v>
      </c>
      <c r="T21" s="30">
        <f>IFERROR(_xlfn.XLOOKUP(tblEnlaces[[#This Row],[Exposición]],tblPesosValorOperativo[Valor],tblPesosValorOperativo[Exposición],0),0)</f>
        <v>5</v>
      </c>
      <c r="U21" s="30">
        <f>IFERROR(_xlfn.XLOOKUP(tblEnlaces[[#This Row],[Capacidad]],tblPesosValorOperativo[Valor],tblPesosValorOperativo[Capacidad],0),0)</f>
        <v>3</v>
      </c>
      <c r="V21" s="30">
        <f>IFERROR(_xlfn.XLOOKUP(tblEnlaces[[#This Row],[Resiliencia]],tblPesosValorOperativo[Valor],tblPesosValorOperativo[Resiliencia],0),0)</f>
        <v>5</v>
      </c>
      <c r="W21" s="30">
        <f>tblEnlaces[[#This Row],[Eficiencia (peso)]]+tblEnlaces[[#This Row],[Resiliencia (peso)]]+tblEnlaces[[#This Row],[Capacidad (peso)]]+tblEnlaces[[#This Row],[Exposición (peso)]]</f>
        <v>18</v>
      </c>
    </row>
    <row r="22" spans="1:23" ht="19.5" customHeight="1" x14ac:dyDescent="0.25">
      <c r="A22" s="1" t="s">
        <v>153</v>
      </c>
      <c r="B22" s="1" t="s">
        <v>207</v>
      </c>
      <c r="C22" s="1" t="s">
        <v>120</v>
      </c>
      <c r="D22" s="1">
        <v>1</v>
      </c>
      <c r="F22" s="1" t="s">
        <v>70</v>
      </c>
      <c r="G22" s="1" t="s">
        <v>145</v>
      </c>
      <c r="H22" s="1" t="s">
        <v>149</v>
      </c>
      <c r="I22" s="1" t="s">
        <v>25</v>
      </c>
      <c r="J22" s="1" t="s">
        <v>53</v>
      </c>
      <c r="K22" s="1">
        <v>1</v>
      </c>
      <c r="L22" s="1" t="s">
        <v>33</v>
      </c>
      <c r="M22" s="21" t="str">
        <f>VLOOKUP(tblEnlaces[[#This Row],[Canal]],tblCanales[#All],4,FALSE)</f>
        <v>Bajo</v>
      </c>
      <c r="N22" s="21" t="str">
        <f>VLOOKUP(tblEnlaces[[#This Row],[Canal]],tblCanales[#All],5,FALSE)</f>
        <v>Alto</v>
      </c>
      <c r="O22" s="21" t="str">
        <f>VLOOKUP(tblEnlaces[[#This Row],[Canal]],tblCanales[#All],6,FALSE)</f>
        <v>Medio</v>
      </c>
      <c r="P22" s="21" t="str">
        <f>VLOOKUP(tblEnlaces[[#This Row],[Canal]],tblCanales[#All],7,FALSE)</f>
        <v>Medio</v>
      </c>
      <c r="Q22" s="22" t="str">
        <f>VLOOKUP(tblEnlaces[[#This Row],[Canal]],tblCanales[#All],8,FALSE)</f>
        <v>Medio</v>
      </c>
      <c r="R22" s="16">
        <f>IFERROR(_xlfn.XLOOKUP(tblEnlaces[[#This Row],[Coste]],tblPesosCoste[Valor],tblPesosCoste[Coste],0),0)</f>
        <v>5</v>
      </c>
      <c r="S22" s="16">
        <f>IFERROR(_xlfn.XLOOKUP(tblEnlaces[[#This Row],[Eficiencia]],tblPesosValorOperativo[Valor],tblPesosValorOperativo[Eficiencia],0),0)</f>
        <v>5</v>
      </c>
      <c r="T22" s="30">
        <f>IFERROR(_xlfn.XLOOKUP(tblEnlaces[[#This Row],[Exposición]],tblPesosValorOperativo[Valor],tblPesosValorOperativo[Exposición],0),0)</f>
        <v>3</v>
      </c>
      <c r="U22" s="30">
        <f>IFERROR(_xlfn.XLOOKUP(tblEnlaces[[#This Row],[Capacidad]],tblPesosValorOperativo[Valor],tblPesosValorOperativo[Capacidad],0),0)</f>
        <v>3</v>
      </c>
      <c r="V22" s="30">
        <f>IFERROR(_xlfn.XLOOKUP(tblEnlaces[[#This Row],[Resiliencia]],tblPesosValorOperativo[Valor],tblPesosValorOperativo[Resiliencia],0),0)</f>
        <v>3</v>
      </c>
      <c r="W22" s="30">
        <f>tblEnlaces[[#This Row],[Eficiencia (peso)]]+tblEnlaces[[#This Row],[Resiliencia (peso)]]+tblEnlaces[[#This Row],[Capacidad (peso)]]+tblEnlaces[[#This Row],[Exposición (peso)]]</f>
        <v>14</v>
      </c>
    </row>
    <row r="23" spans="1:23" ht="19.5" customHeight="1" x14ac:dyDescent="0.25">
      <c r="A23" s="1" t="s">
        <v>133</v>
      </c>
      <c r="B23" s="1" t="s">
        <v>154</v>
      </c>
      <c r="C23" s="1" t="s">
        <v>37</v>
      </c>
      <c r="D23" s="1">
        <v>1</v>
      </c>
      <c r="F23" s="1" t="s">
        <v>71</v>
      </c>
      <c r="G23" s="1" t="s">
        <v>147</v>
      </c>
      <c r="H23" s="1" t="s">
        <v>150</v>
      </c>
      <c r="I23" s="1" t="s">
        <v>25</v>
      </c>
      <c r="J23" s="1" t="s">
        <v>175</v>
      </c>
      <c r="K23" s="1">
        <v>1</v>
      </c>
      <c r="L23" s="1" t="s">
        <v>33</v>
      </c>
      <c r="M23" s="19" t="str">
        <f>VLOOKUP(tblEnlaces[[#This Row],[Canal]],tblCanales[#All],4,FALSE)</f>
        <v>Bajo</v>
      </c>
      <c r="N23" s="19" t="str">
        <f>VLOOKUP(tblEnlaces[[#This Row],[Canal]],tblCanales[#All],5,FALSE)</f>
        <v>Alto</v>
      </c>
      <c r="O23" s="19" t="str">
        <f>VLOOKUP(tblEnlaces[[#This Row],[Canal]],tblCanales[#All],6,FALSE)</f>
        <v>Medio-Alto</v>
      </c>
      <c r="P23" s="19" t="str">
        <f>VLOOKUP(tblEnlaces[[#This Row],[Canal]],tblCanales[#All],7,FALSE)</f>
        <v>Medio</v>
      </c>
      <c r="Q23" s="20" t="str">
        <f>VLOOKUP(tblEnlaces[[#This Row],[Canal]],tblCanales[#All],8,FALSE)</f>
        <v>Medio</v>
      </c>
      <c r="R23" s="16">
        <f>IFERROR(_xlfn.XLOOKUP(tblEnlaces[[#This Row],[Coste]],tblPesosCoste[Valor],tblPesosCoste[Coste],0),0)</f>
        <v>5</v>
      </c>
      <c r="S23" s="16">
        <f>IFERROR(_xlfn.XLOOKUP(tblEnlaces[[#This Row],[Eficiencia]],tblPesosValorOperativo[Valor],tblPesosValorOperativo[Eficiencia],0),0)</f>
        <v>5</v>
      </c>
      <c r="T23" s="30">
        <f>IFERROR(_xlfn.XLOOKUP(tblEnlaces[[#This Row],[Exposición]],tblPesosValorOperativo[Valor],tblPesosValorOperativo[Exposición],0),0)</f>
        <v>2</v>
      </c>
      <c r="U23" s="30">
        <f>IFERROR(_xlfn.XLOOKUP(tblEnlaces[[#This Row],[Capacidad]],tblPesosValorOperativo[Valor],tblPesosValorOperativo[Capacidad],0),0)</f>
        <v>3</v>
      </c>
      <c r="V23" s="30">
        <f>IFERROR(_xlfn.XLOOKUP(tblEnlaces[[#This Row],[Resiliencia]],tblPesosValorOperativo[Valor],tblPesosValorOperativo[Resiliencia],0),0)</f>
        <v>3</v>
      </c>
      <c r="W23" s="30">
        <f>tblEnlaces[[#This Row],[Eficiencia (peso)]]+tblEnlaces[[#This Row],[Resiliencia (peso)]]+tblEnlaces[[#This Row],[Capacidad (peso)]]+tblEnlaces[[#This Row],[Exposición (peso)]]</f>
        <v>13</v>
      </c>
    </row>
    <row r="24" spans="1:23" ht="19.5" customHeight="1" x14ac:dyDescent="0.25">
      <c r="F24" s="1" t="s">
        <v>72</v>
      </c>
      <c r="G24" s="1" t="s">
        <v>149</v>
      </c>
      <c r="H24" s="1" t="s">
        <v>151</v>
      </c>
      <c r="I24" s="1" t="s">
        <v>25</v>
      </c>
      <c r="J24" s="1" t="s">
        <v>172</v>
      </c>
      <c r="K24" s="1">
        <v>1</v>
      </c>
      <c r="L24" s="1" t="s">
        <v>33</v>
      </c>
      <c r="M24" s="21" t="str">
        <f>VLOOKUP(tblEnlaces[[#This Row],[Canal]],tblCanales[#All],4,FALSE)</f>
        <v>Medio</v>
      </c>
      <c r="N24" s="21" t="str">
        <f>VLOOKUP(tblEnlaces[[#This Row],[Canal]],tblCanales[#All],5,FALSE)</f>
        <v>Alto</v>
      </c>
      <c r="O24" s="21" t="str">
        <f>VLOOKUP(tblEnlaces[[#This Row],[Canal]],tblCanales[#All],6,FALSE)</f>
        <v>Medio</v>
      </c>
      <c r="P24" s="21" t="str">
        <f>VLOOKUP(tblEnlaces[[#This Row],[Canal]],tblCanales[#All],7,FALSE)</f>
        <v>Medio-Alto</v>
      </c>
      <c r="Q24" s="22" t="str">
        <f>VLOOKUP(tblEnlaces[[#This Row],[Canal]],tblCanales[#All],8,FALSE)</f>
        <v>Alto</v>
      </c>
      <c r="R24" s="16">
        <f>IFERROR(_xlfn.XLOOKUP(tblEnlaces[[#This Row],[Coste]],tblPesosCoste[Valor],tblPesosCoste[Coste],0),0)</f>
        <v>3</v>
      </c>
      <c r="S24" s="16">
        <f>IFERROR(_xlfn.XLOOKUP(tblEnlaces[[#This Row],[Eficiencia]],tblPesosValorOperativo[Valor],tblPesosValorOperativo[Eficiencia],0),0)</f>
        <v>5</v>
      </c>
      <c r="T24" s="30">
        <f>IFERROR(_xlfn.XLOOKUP(tblEnlaces[[#This Row],[Exposición]],tblPesosValorOperativo[Valor],tblPesosValorOperativo[Exposición],0),0)</f>
        <v>3</v>
      </c>
      <c r="U24" s="30">
        <f>IFERROR(_xlfn.XLOOKUP(tblEnlaces[[#This Row],[Capacidad]],tblPesosValorOperativo[Valor],tblPesosValorOperativo[Capacidad],0),0)</f>
        <v>4</v>
      </c>
      <c r="V24" s="30">
        <f>IFERROR(_xlfn.XLOOKUP(tblEnlaces[[#This Row],[Resiliencia]],tblPesosValorOperativo[Valor],tblPesosValorOperativo[Resiliencia],0),0)</f>
        <v>5</v>
      </c>
      <c r="W24" s="30">
        <f>tblEnlaces[[#This Row],[Eficiencia (peso)]]+tblEnlaces[[#This Row],[Resiliencia (peso)]]+tblEnlaces[[#This Row],[Capacidad (peso)]]+tblEnlaces[[#This Row],[Exposición (peso)]]</f>
        <v>17</v>
      </c>
    </row>
    <row r="25" spans="1:23" ht="19.5" customHeight="1" x14ac:dyDescent="0.25">
      <c r="F25" s="1" t="s">
        <v>73</v>
      </c>
      <c r="G25" s="1" t="s">
        <v>150</v>
      </c>
      <c r="H25" s="1" t="s">
        <v>151</v>
      </c>
      <c r="I25" s="1" t="s">
        <v>204</v>
      </c>
      <c r="J25" s="1" t="s">
        <v>169</v>
      </c>
      <c r="K25" s="1">
        <v>1</v>
      </c>
      <c r="L25" s="1" t="s">
        <v>33</v>
      </c>
      <c r="M25" s="19" t="str">
        <f>VLOOKUP(tblEnlaces[[#This Row],[Canal]],tblCanales[#All],4,FALSE)</f>
        <v>Medio</v>
      </c>
      <c r="N25" s="19" t="str">
        <f>VLOOKUP(tblEnlaces[[#This Row],[Canal]],tblCanales[#All],5,FALSE)</f>
        <v>Medio</v>
      </c>
      <c r="O25" s="19" t="str">
        <f>VLOOKUP(tblEnlaces[[#This Row],[Canal]],tblCanales[#All],6,FALSE)</f>
        <v>Alto</v>
      </c>
      <c r="P25" s="19" t="str">
        <f>VLOOKUP(tblEnlaces[[#This Row],[Canal]],tblCanales[#All],7,FALSE)</f>
        <v>Alto</v>
      </c>
      <c r="Q25" s="20" t="str">
        <f>VLOOKUP(tblEnlaces[[#This Row],[Canal]],tblCanales[#All],8,FALSE)</f>
        <v>Alto</v>
      </c>
      <c r="R25" s="16">
        <f>IFERROR(_xlfn.XLOOKUP(tblEnlaces[[#This Row],[Coste]],tblPesosCoste[Valor],tblPesosCoste[Coste],0),0)</f>
        <v>3</v>
      </c>
      <c r="S25" s="16">
        <f>IFERROR(_xlfn.XLOOKUP(tblEnlaces[[#This Row],[Eficiencia]],tblPesosValorOperativo[Valor],tblPesosValorOperativo[Eficiencia],0),0)</f>
        <v>3</v>
      </c>
      <c r="T25" s="30">
        <f>IFERROR(_xlfn.XLOOKUP(tblEnlaces[[#This Row],[Exposición]],tblPesosValorOperativo[Valor],tblPesosValorOperativo[Exposición],0),0)</f>
        <v>1</v>
      </c>
      <c r="U25" s="30">
        <f>IFERROR(_xlfn.XLOOKUP(tblEnlaces[[#This Row],[Capacidad]],tblPesosValorOperativo[Valor],tblPesosValorOperativo[Capacidad],0),0)</f>
        <v>5</v>
      </c>
      <c r="V25" s="30">
        <f>IFERROR(_xlfn.XLOOKUP(tblEnlaces[[#This Row],[Resiliencia]],tblPesosValorOperativo[Valor],tblPesosValorOperativo[Resiliencia],0),0)</f>
        <v>5</v>
      </c>
      <c r="W25" s="30">
        <f>tblEnlaces[[#This Row],[Eficiencia (peso)]]+tblEnlaces[[#This Row],[Resiliencia (peso)]]+tblEnlaces[[#This Row],[Capacidad (peso)]]+tblEnlaces[[#This Row],[Exposición (peso)]]</f>
        <v>14</v>
      </c>
    </row>
    <row r="26" spans="1:23" ht="19.5" customHeight="1" x14ac:dyDescent="0.25">
      <c r="F26" s="1" t="s">
        <v>74</v>
      </c>
      <c r="G26" s="1" t="s">
        <v>151</v>
      </c>
      <c r="H26" s="1" t="s">
        <v>153</v>
      </c>
      <c r="I26" s="1" t="s">
        <v>25</v>
      </c>
      <c r="J26" s="1" t="s">
        <v>166</v>
      </c>
      <c r="K26" s="1">
        <v>1</v>
      </c>
      <c r="L26" s="1" t="s">
        <v>33</v>
      </c>
      <c r="M26" s="21" t="str">
        <f>VLOOKUP(tblEnlaces[[#This Row],[Canal]],tblCanales[#All],4,FALSE)</f>
        <v>Bajo</v>
      </c>
      <c r="N26" s="21" t="str">
        <f>VLOOKUP(tblEnlaces[[#This Row],[Canal]],tblCanales[#All],5,FALSE)</f>
        <v>Alto</v>
      </c>
      <c r="O26" s="21" t="str">
        <f>VLOOKUP(tblEnlaces[[#This Row],[Canal]],tblCanales[#All],6,FALSE)</f>
        <v>Bajo</v>
      </c>
      <c r="P26" s="21" t="str">
        <f>VLOOKUP(tblEnlaces[[#This Row],[Canal]],tblCanales[#All],7,FALSE)</f>
        <v>Medio</v>
      </c>
      <c r="Q26" s="22" t="str">
        <f>VLOOKUP(tblEnlaces[[#This Row],[Canal]],tblCanales[#All],8,FALSE)</f>
        <v>Alto</v>
      </c>
      <c r="R26" s="16">
        <f>IFERROR(_xlfn.XLOOKUP(tblEnlaces[[#This Row],[Coste]],tblPesosCoste[Valor],tblPesosCoste[Coste],0),0)</f>
        <v>5</v>
      </c>
      <c r="S26" s="16">
        <f>IFERROR(_xlfn.XLOOKUP(tblEnlaces[[#This Row],[Eficiencia]],tblPesosValorOperativo[Valor],tblPesosValorOperativo[Eficiencia],0),0)</f>
        <v>5</v>
      </c>
      <c r="T26" s="30">
        <f>IFERROR(_xlfn.XLOOKUP(tblEnlaces[[#This Row],[Exposición]],tblPesosValorOperativo[Valor],tblPesosValorOperativo[Exposición],0),0)</f>
        <v>5</v>
      </c>
      <c r="U26" s="30">
        <f>IFERROR(_xlfn.XLOOKUP(tblEnlaces[[#This Row],[Capacidad]],tblPesosValorOperativo[Valor],tblPesosValorOperativo[Capacidad],0),0)</f>
        <v>3</v>
      </c>
      <c r="V26" s="30">
        <f>IFERROR(_xlfn.XLOOKUP(tblEnlaces[[#This Row],[Resiliencia]],tblPesosValorOperativo[Valor],tblPesosValorOperativo[Resiliencia],0),0)</f>
        <v>5</v>
      </c>
      <c r="W26" s="30">
        <f>tblEnlaces[[#This Row],[Eficiencia (peso)]]+tblEnlaces[[#This Row],[Resiliencia (peso)]]+tblEnlaces[[#This Row],[Capacidad (peso)]]+tblEnlaces[[#This Row],[Exposición (peso)]]</f>
        <v>18</v>
      </c>
    </row>
    <row r="27" spans="1:23" ht="19.5" customHeight="1" x14ac:dyDescent="0.25">
      <c r="F27" s="1" t="s">
        <v>75</v>
      </c>
      <c r="G27" s="1" t="s">
        <v>153</v>
      </c>
      <c r="H27" s="1" t="s">
        <v>133</v>
      </c>
      <c r="I27" s="1" t="s">
        <v>25</v>
      </c>
      <c r="J27" s="1" t="s">
        <v>48</v>
      </c>
      <c r="K27" s="1">
        <v>1</v>
      </c>
      <c r="L27" s="1" t="s">
        <v>26</v>
      </c>
      <c r="M27" s="19" t="str">
        <f>VLOOKUP(tblEnlaces[[#This Row],[Canal]],tblCanales[#All],4,FALSE)</f>
        <v>Bajo</v>
      </c>
      <c r="N27" s="19" t="str">
        <f>VLOOKUP(tblEnlaces[[#This Row],[Canal]],tblCanales[#All],5,FALSE)</f>
        <v>Medio</v>
      </c>
      <c r="O27" s="19" t="str">
        <f>VLOOKUP(tblEnlaces[[#This Row],[Canal]],tblCanales[#All],6,FALSE)</f>
        <v>Bajo</v>
      </c>
      <c r="P27" s="19" t="str">
        <f>VLOOKUP(tblEnlaces[[#This Row],[Canal]],tblCanales[#All],7,FALSE)</f>
        <v>Medio</v>
      </c>
      <c r="Q27" s="20" t="str">
        <f>VLOOKUP(tblEnlaces[[#This Row],[Canal]],tblCanales[#All],8,FALSE)</f>
        <v>Alto</v>
      </c>
      <c r="R27" s="16">
        <f>IFERROR(_xlfn.XLOOKUP(tblEnlaces[[#This Row],[Coste]],tblPesosCoste[Valor],tblPesosCoste[Coste],0),0)</f>
        <v>5</v>
      </c>
      <c r="S27" s="16">
        <f>IFERROR(_xlfn.XLOOKUP(tblEnlaces[[#This Row],[Eficiencia]],tblPesosValorOperativo[Valor],tblPesosValorOperativo[Eficiencia],0),0)</f>
        <v>3</v>
      </c>
      <c r="T27" s="30">
        <f>IFERROR(_xlfn.XLOOKUP(tblEnlaces[[#This Row],[Exposición]],tblPesosValorOperativo[Valor],tblPesosValorOperativo[Exposición],0),0)</f>
        <v>5</v>
      </c>
      <c r="U27" s="30">
        <f>IFERROR(_xlfn.XLOOKUP(tblEnlaces[[#This Row],[Capacidad]],tblPesosValorOperativo[Valor],tblPesosValorOperativo[Capacidad],0),0)</f>
        <v>3</v>
      </c>
      <c r="V27" s="30">
        <f>IFERROR(_xlfn.XLOOKUP(tblEnlaces[[#This Row],[Resiliencia]],tblPesosValorOperativo[Valor],tblPesosValorOperativo[Resiliencia],0),0)</f>
        <v>5</v>
      </c>
      <c r="W27" s="30">
        <f>tblEnlaces[[#This Row],[Eficiencia (peso)]]+tblEnlaces[[#This Row],[Resiliencia (peso)]]+tblEnlaces[[#This Row],[Capacidad (peso)]]+tblEnlaces[[#This Row],[Exposición (peso)]]</f>
        <v>16</v>
      </c>
    </row>
    <row r="28" spans="1:23" ht="19.5" customHeight="1" x14ac:dyDescent="0.25">
      <c r="F28" s="1" t="s">
        <v>77</v>
      </c>
      <c r="G28" s="1" t="s">
        <v>151</v>
      </c>
      <c r="H28" s="1" t="s">
        <v>133</v>
      </c>
      <c r="I28" s="1" t="s">
        <v>204</v>
      </c>
      <c r="J28" s="1" t="s">
        <v>172</v>
      </c>
      <c r="K28" s="1">
        <v>1</v>
      </c>
      <c r="L28" s="1" t="s">
        <v>33</v>
      </c>
      <c r="M28" s="21" t="str">
        <f>VLOOKUP(tblEnlaces[[#This Row],[Canal]],tblCanales[#All],4,FALSE)</f>
        <v>Medio</v>
      </c>
      <c r="N28" s="21" t="str">
        <f>VLOOKUP(tblEnlaces[[#This Row],[Canal]],tblCanales[#All],5,FALSE)</f>
        <v>Alto</v>
      </c>
      <c r="O28" s="21" t="str">
        <f>VLOOKUP(tblEnlaces[[#This Row],[Canal]],tblCanales[#All],6,FALSE)</f>
        <v>Medio</v>
      </c>
      <c r="P28" s="21" t="str">
        <f>VLOOKUP(tblEnlaces[[#This Row],[Canal]],tblCanales[#All],7,FALSE)</f>
        <v>Medio-Alto</v>
      </c>
      <c r="Q28" s="22" t="str">
        <f>VLOOKUP(tblEnlaces[[#This Row],[Canal]],tblCanales[#All],8,FALSE)</f>
        <v>Alto</v>
      </c>
      <c r="R28" s="16">
        <f>IFERROR(_xlfn.XLOOKUP(tblEnlaces[[#This Row],[Coste]],tblPesosCoste[Valor],tblPesosCoste[Coste],0),0)</f>
        <v>3</v>
      </c>
      <c r="S28" s="16">
        <f>IFERROR(_xlfn.XLOOKUP(tblEnlaces[[#This Row],[Eficiencia]],tblPesosValorOperativo[Valor],tblPesosValorOperativo[Eficiencia],0),0)</f>
        <v>5</v>
      </c>
      <c r="T28" s="30">
        <f>IFERROR(_xlfn.XLOOKUP(tblEnlaces[[#This Row],[Exposición]],tblPesosValorOperativo[Valor],tblPesosValorOperativo[Exposición],0),0)</f>
        <v>3</v>
      </c>
      <c r="U28" s="30">
        <f>IFERROR(_xlfn.XLOOKUP(tblEnlaces[[#This Row],[Capacidad]],tblPesosValorOperativo[Valor],tblPesosValorOperativo[Capacidad],0),0)</f>
        <v>4</v>
      </c>
      <c r="V28" s="30">
        <f>IFERROR(_xlfn.XLOOKUP(tblEnlaces[[#This Row],[Resiliencia]],tblPesosValorOperativo[Valor],tblPesosValorOperativo[Resiliencia],0),0)</f>
        <v>5</v>
      </c>
      <c r="W28" s="30">
        <f>tblEnlaces[[#This Row],[Eficiencia (peso)]]+tblEnlaces[[#This Row],[Resiliencia (peso)]]+tblEnlaces[[#This Row],[Capacidad (peso)]]+tblEnlaces[[#This Row],[Exposición (peso)]]</f>
        <v>17</v>
      </c>
    </row>
    <row r="29" spans="1:23" ht="19.5" customHeight="1" x14ac:dyDescent="0.25">
      <c r="F29" s="1" t="s">
        <v>79</v>
      </c>
      <c r="G29" s="1" t="s">
        <v>150</v>
      </c>
      <c r="H29" s="1" t="s">
        <v>133</v>
      </c>
      <c r="I29" s="1" t="s">
        <v>204</v>
      </c>
      <c r="J29" s="1" t="s">
        <v>53</v>
      </c>
      <c r="K29" s="1">
        <v>1</v>
      </c>
      <c r="L29" s="1" t="s">
        <v>33</v>
      </c>
      <c r="M29" s="19" t="str">
        <f>VLOOKUP(tblEnlaces[[#This Row],[Canal]],tblCanales[#All],4,FALSE)</f>
        <v>Bajo</v>
      </c>
      <c r="N29" s="19" t="str">
        <f>VLOOKUP(tblEnlaces[[#This Row],[Canal]],tblCanales[#All],5,FALSE)</f>
        <v>Alto</v>
      </c>
      <c r="O29" s="19" t="str">
        <f>VLOOKUP(tblEnlaces[[#This Row],[Canal]],tblCanales[#All],6,FALSE)</f>
        <v>Medio</v>
      </c>
      <c r="P29" s="19" t="str">
        <f>VLOOKUP(tblEnlaces[[#This Row],[Canal]],tblCanales[#All],7,FALSE)</f>
        <v>Medio</v>
      </c>
      <c r="Q29" s="20" t="str">
        <f>VLOOKUP(tblEnlaces[[#This Row],[Canal]],tblCanales[#All],8,FALSE)</f>
        <v>Medio</v>
      </c>
      <c r="R29" s="16">
        <f>IFERROR(_xlfn.XLOOKUP(tblEnlaces[[#This Row],[Coste]],tblPesosCoste[Valor],tblPesosCoste[Coste],0),0)</f>
        <v>5</v>
      </c>
      <c r="S29" s="16">
        <f>IFERROR(_xlfn.XLOOKUP(tblEnlaces[[#This Row],[Eficiencia]],tblPesosValorOperativo[Valor],tblPesosValorOperativo[Eficiencia],0),0)</f>
        <v>5</v>
      </c>
      <c r="T29" s="30">
        <f>IFERROR(_xlfn.XLOOKUP(tblEnlaces[[#This Row],[Exposición]],tblPesosValorOperativo[Valor],tblPesosValorOperativo[Exposición],0),0)</f>
        <v>3</v>
      </c>
      <c r="U29" s="30">
        <f>IFERROR(_xlfn.XLOOKUP(tblEnlaces[[#This Row],[Capacidad]],tblPesosValorOperativo[Valor],tblPesosValorOperativo[Capacidad],0),0)</f>
        <v>3</v>
      </c>
      <c r="V29" s="30">
        <f>IFERROR(_xlfn.XLOOKUP(tblEnlaces[[#This Row],[Resiliencia]],tblPesosValorOperativo[Valor],tblPesosValorOperativo[Resiliencia],0),0)</f>
        <v>3</v>
      </c>
      <c r="W29" s="30">
        <f>tblEnlaces[[#This Row],[Eficiencia (peso)]]+tblEnlaces[[#This Row],[Resiliencia (peso)]]+tblEnlaces[[#This Row],[Capacidad (peso)]]+tblEnlaces[[#This Row],[Exposición (peso)]]</f>
        <v>14</v>
      </c>
    </row>
    <row r="30" spans="1:23" ht="19.5" customHeight="1" x14ac:dyDescent="0.25">
      <c r="F30" s="1" t="s">
        <v>81</v>
      </c>
      <c r="G30" s="1" t="s">
        <v>149</v>
      </c>
      <c r="H30" s="1" t="s">
        <v>133</v>
      </c>
      <c r="I30" s="1" t="s">
        <v>204</v>
      </c>
      <c r="J30" s="1" t="s">
        <v>166</v>
      </c>
      <c r="K30" s="1">
        <v>1</v>
      </c>
      <c r="L30" s="1" t="s">
        <v>33</v>
      </c>
      <c r="M30" s="21" t="str">
        <f>VLOOKUP(tblEnlaces[[#This Row],[Canal]],tblCanales[#All],4,FALSE)</f>
        <v>Bajo</v>
      </c>
      <c r="N30" s="21" t="str">
        <f>VLOOKUP(tblEnlaces[[#This Row],[Canal]],tblCanales[#All],5,FALSE)</f>
        <v>Alto</v>
      </c>
      <c r="O30" s="21" t="str">
        <f>VLOOKUP(tblEnlaces[[#This Row],[Canal]],tblCanales[#All],6,FALSE)</f>
        <v>Bajo</v>
      </c>
      <c r="P30" s="21" t="str">
        <f>VLOOKUP(tblEnlaces[[#This Row],[Canal]],tblCanales[#All],7,FALSE)</f>
        <v>Medio</v>
      </c>
      <c r="Q30" s="22" t="str">
        <f>VLOOKUP(tblEnlaces[[#This Row],[Canal]],tblCanales[#All],8,FALSE)</f>
        <v>Alto</v>
      </c>
      <c r="R30" s="16">
        <f>IFERROR(_xlfn.XLOOKUP(tblEnlaces[[#This Row],[Coste]],tblPesosCoste[Valor],tblPesosCoste[Coste],0),0)</f>
        <v>5</v>
      </c>
      <c r="S30" s="16">
        <f>IFERROR(_xlfn.XLOOKUP(tblEnlaces[[#This Row],[Eficiencia]],tblPesosValorOperativo[Valor],tblPesosValorOperativo[Eficiencia],0),0)</f>
        <v>5</v>
      </c>
      <c r="T30" s="30">
        <f>IFERROR(_xlfn.XLOOKUP(tblEnlaces[[#This Row],[Exposición]],tblPesosValorOperativo[Valor],tblPesosValorOperativo[Exposición],0),0)</f>
        <v>5</v>
      </c>
      <c r="U30" s="30">
        <f>IFERROR(_xlfn.XLOOKUP(tblEnlaces[[#This Row],[Capacidad]],tblPesosValorOperativo[Valor],tblPesosValorOperativo[Capacidad],0),0)</f>
        <v>3</v>
      </c>
      <c r="V30" s="30">
        <f>IFERROR(_xlfn.XLOOKUP(tblEnlaces[[#This Row],[Resiliencia]],tblPesosValorOperativo[Valor],tblPesosValorOperativo[Resiliencia],0),0)</f>
        <v>5</v>
      </c>
      <c r="W30" s="30">
        <f>tblEnlaces[[#This Row],[Eficiencia (peso)]]+tblEnlaces[[#This Row],[Resiliencia (peso)]]+tblEnlaces[[#This Row],[Capacidad (peso)]]+tblEnlaces[[#This Row],[Exposición (peso)]]</f>
        <v>18</v>
      </c>
    </row>
  </sheetData>
  <mergeCells count="4">
    <mergeCell ref="A3:D3"/>
    <mergeCell ref="A1:N1"/>
    <mergeCell ref="F3:W3"/>
    <mergeCell ref="O1:Q1"/>
  </mergeCells>
  <dataValidations count="5">
    <dataValidation type="list" sqref="K5:K30 D5:D23" xr:uid="{00000000-0002-0000-0000-000000000000}">
      <formula1>"0,1"</formula1>
    </dataValidation>
    <dataValidation type="list" sqref="I5:J30" xr:uid="{00000000-0002-0000-0000-000002000000}">
      <formula1>"principal,secundario,opcional"</formula1>
    </dataValidation>
    <dataValidation type="list" sqref="G5:H30" xr:uid="{00000000-0002-0000-0000-000003000000}">
      <formula1>"O1,O2,O3,O4,O5,O6,I1,I2,I3,I4,I5,I6,I7,I8,I9,G1,G2,G3,D"</formula1>
    </dataValidation>
    <dataValidation type="list" sqref="L5:L30" xr:uid="{00000000-0002-0000-0000-000005000000}">
      <formula1>"E,T,I"</formula1>
    </dataValidation>
    <dataValidation type="list" sqref="C5:C23" xr:uid="{258E598F-C0E2-45E2-A591-45652F3DDC70}">
      <formula1>"O,I,G,D"</formula1>
    </dataValidation>
  </dataValidations>
  <pageMargins left="0.7" right="0.7" top="0.75" bottom="0.75" header="0.3" footer="0.3"/>
  <legacyDrawing r:id="rId1"/>
  <tableParts count="2">
    <tablePart r:id="rId2"/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654DDA41-CEBA-4797-8B70-E8A1152E041E}">
          <x14:formula1>
            <xm:f>MatrizPonderadaCostes!$Y$5:$Y$9</xm:f>
          </x14:formula1>
          <xm:sqref>M5:M30</xm:sqref>
        </x14:dataValidation>
        <x14:dataValidation type="list" allowBlank="1" showInputMessage="1" showErrorMessage="1" xr:uid="{24FE0876-B337-4877-BD2E-0AED83EE2786}">
          <x14:formula1>
            <xm:f>MatrizPonderadaValorOperativo!$Y$5:$Y$9</xm:f>
          </x14:formula1>
          <xm:sqref>N5:Q30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zoomScale="55" zoomScaleNormal="55" workbookViewId="0">
      <selection activeCell="AJ36" sqref="AJ36"/>
    </sheetView>
  </sheetViews>
  <sheetFormatPr baseColWidth="10" defaultColWidth="9.140625" defaultRowHeight="15" x14ac:dyDescent="0.25"/>
  <sheetData/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AA26"/>
  <sheetViews>
    <sheetView showGridLines="0" topLeftCell="A2" zoomScaleNormal="100" workbookViewId="0">
      <selection activeCell="J4" sqref="J4"/>
    </sheetView>
  </sheetViews>
  <sheetFormatPr baseColWidth="10" defaultColWidth="9.140625" defaultRowHeight="17.25" customHeight="1" x14ac:dyDescent="0.25"/>
  <cols>
    <col min="1" max="1" width="9.140625" style="3" customWidth="1"/>
    <col min="2" max="2" width="32.140625" style="3" customWidth="1"/>
    <col min="3" max="3" width="16" style="3" customWidth="1"/>
    <col min="4" max="4" width="6.7109375" style="3" customWidth="1"/>
    <col min="5" max="22" width="5.140625" style="3" customWidth="1"/>
    <col min="23" max="25" width="9.140625" style="3" customWidth="1"/>
    <col min="26" max="26" width="18.7109375" style="3" customWidth="1"/>
    <col min="27" max="27" width="27.85546875" style="3" customWidth="1"/>
    <col min="28" max="16384" width="9.140625" style="3"/>
  </cols>
  <sheetData>
    <row r="2" spans="2:27" s="14" customFormat="1" ht="100.5" customHeight="1" x14ac:dyDescent="0.25">
      <c r="B2" s="75" t="s">
        <v>209</v>
      </c>
      <c r="C2" s="76"/>
      <c r="D2" s="24" t="str">
        <f>VLOOKUP(tblMatrizDeAdyacencia[[#Headers],[O1]],tblNodos[],2,FALSE)</f>
        <v>Extorsión local</v>
      </c>
      <c r="E2" s="24" t="str">
        <f>VLOOKUP(tblMatrizDeAdyacencia[[#Headers],[O2]],tblNodos[],2,FALSE)</f>
        <v>Tráfico ilícito</v>
      </c>
      <c r="F2" s="24" t="str">
        <f>VLOOKUP(tblMatrizDeAdyacencia[[#Headers],[O3]],tblNodos[],2,FALSE)</f>
        <v>Donaciones externas</v>
      </c>
      <c r="G2" s="24" t="str">
        <f>VLOOKUP(tblMatrizDeAdyacencia[[#Headers],[O4]],tblNodos[],2,FALSE)</f>
        <v>Actividad comercial</v>
      </c>
      <c r="H2" s="24" t="str">
        <f>VLOOKUP(tblMatrizDeAdyacencia[[#Headers],[O5]],tblNodos[],2,FALSE)</f>
        <v>Criminalidad menor</v>
      </c>
      <c r="I2" s="24" t="str">
        <f>VLOOKUP(tblMatrizDeAdyacencia[[#Headers],[O6]],tblNodos[],2,FALSE)</f>
        <v>Aportaciones individuales</v>
      </c>
      <c r="J2" s="24" t="str">
        <f>VLOOKUP(tblMatrizDeAdyacencia[[#Headers],[C1]],tblNodos[],2,FALSE)</f>
        <v>Colector local principal</v>
      </c>
      <c r="K2" s="24" t="str">
        <f>VLOOKUP(tblMatrizDeAdyacencia[[#Headers],[C2]],tblNodos[],2,FALSE)</f>
        <v>Colector local secundario</v>
      </c>
      <c r="L2" s="24" t="str">
        <f>VLOOKUP(tblMatrizDeAdyacencia[[#Headers],[C3]],tblNodos[],2,FALSE)</f>
        <v>Colector regional</v>
      </c>
      <c r="M2" s="24" t="str">
        <f>VLOOKUP(tblMatrizDeAdyacencia[[#Headers],[R1]],tblNodos[],2,FALSE)</f>
        <v>Redistribuidor zona tránsito 1</v>
      </c>
      <c r="N2" s="24" t="str">
        <f>VLOOKUP(tblMatrizDeAdyacencia[[#Headers],[R2]],tblNodos[],2,FALSE)</f>
        <v>Redistribuidor zona tránsito 2</v>
      </c>
      <c r="O2" s="24" t="str">
        <f>VLOOKUP(tblMatrizDeAdyacencia[[#Headers],[R3]],tblNodos[],2,FALSE)</f>
        <v>Redistribuidor principal</v>
      </c>
      <c r="P2" s="24" t="str">
        <f>VLOOKUP(tblMatrizDeAdyacencia[[#Headers],[R4]],tblNodos[],2,FALSE)</f>
        <v>Redistribuidor secundario 1</v>
      </c>
      <c r="Q2" s="24" t="str">
        <f>VLOOKUP(tblMatrizDeAdyacencia[[#Headers],[R5]],tblNodos[],2,FALSE)</f>
        <v>Redistribuidor secundario 2</v>
      </c>
      <c r="R2" s="24" t="str">
        <f>VLOOKUP(tblMatrizDeAdyacencia[[#Headers],[R6]],tblNodos[],2,FALSE)</f>
        <v>Redistribuidor intermedio</v>
      </c>
      <c r="S2" s="24" t="str">
        <f>VLOOKUP(tblMatrizDeAdyacencia[[#Headers],[R7]],tblNodos[],2,FALSE)</f>
        <v>Redistribuidor logístico</v>
      </c>
      <c r="T2" s="24" t="str">
        <f>VLOOKUP(tblMatrizDeAdyacencia[[#Headers],[R8]],tblNodos[],2,FALSE)</f>
        <v>Redistribuidor financiero</v>
      </c>
      <c r="U2" s="24" t="str">
        <f>VLOOKUP(tblMatrizDeAdyacencia[[#Headers],[R9]],tblNodos[],2,FALSE)</f>
        <v>Redistribuidor final</v>
      </c>
      <c r="V2" s="24" t="str">
        <f>VLOOKUP(tblMatrizDeAdyacencia[[#Headers],[D1]],tblNodos[],2,FALSE)</f>
        <v>Destino operativo final</v>
      </c>
      <c r="W2" s="23"/>
      <c r="Z2" s="15"/>
      <c r="AA2" s="15"/>
    </row>
    <row r="3" spans="2:27" ht="35.25" customHeight="1" x14ac:dyDescent="0.25">
      <c r="B3" s="7" t="s">
        <v>82</v>
      </c>
      <c r="C3" s="7" t="s">
        <v>83</v>
      </c>
      <c r="D3" s="5" t="s">
        <v>22</v>
      </c>
      <c r="E3" s="5" t="s">
        <v>30</v>
      </c>
      <c r="F3" s="5" t="s">
        <v>34</v>
      </c>
      <c r="G3" s="5" t="s">
        <v>39</v>
      </c>
      <c r="H3" s="5" t="s">
        <v>43</v>
      </c>
      <c r="I3" s="5" t="s">
        <v>46</v>
      </c>
      <c r="J3" s="5" t="s">
        <v>126</v>
      </c>
      <c r="K3" s="5" t="s">
        <v>128</v>
      </c>
      <c r="L3" s="5" t="s">
        <v>141</v>
      </c>
      <c r="M3" s="5" t="s">
        <v>129</v>
      </c>
      <c r="N3" s="5" t="s">
        <v>130</v>
      </c>
      <c r="O3" s="5" t="s">
        <v>132</v>
      </c>
      <c r="P3" s="5" t="s">
        <v>145</v>
      </c>
      <c r="Q3" s="5" t="s">
        <v>147</v>
      </c>
      <c r="R3" s="5" t="s">
        <v>149</v>
      </c>
      <c r="S3" s="5" t="s">
        <v>150</v>
      </c>
      <c r="T3" s="5" t="s">
        <v>151</v>
      </c>
      <c r="U3" s="5" t="s">
        <v>153</v>
      </c>
      <c r="V3" s="5" t="s">
        <v>133</v>
      </c>
    </row>
    <row r="4" spans="2:27" ht="17.25" customHeight="1" x14ac:dyDescent="0.25">
      <c r="B4" s="13" t="str">
        <f>VLOOKUP(tblMatrizDeAdyacencia[[#This Row],[NodoOrigen \ NodoDestino]],tblNodos[],2,FALSE)</f>
        <v>Extorsión local</v>
      </c>
      <c r="C4" s="5" t="s">
        <v>22</v>
      </c>
      <c r="D4" s="4">
        <f>IF(COUNTIFS(Red!$G$5:$G$30,$C4,Red!$H$5:$H$30,D$3,Red!$K$5:$K$30,1)&gt;0,1,0)</f>
        <v>0</v>
      </c>
      <c r="E4" s="4">
        <f>IF(COUNTIFS(Red!$G$5:$G$30,$C4,Red!$H$5:$H$30,E$3,Red!$K$5:$K$30,1)&gt;0,1,0)</f>
        <v>0</v>
      </c>
      <c r="F4" s="4">
        <f>IF(COUNTIFS(Red!$G$5:$G$30,$C4,Red!$H$5:$H$30,F$3,Red!$K$5:$K$30,1)&gt;0,1,0)</f>
        <v>0</v>
      </c>
      <c r="G4" s="4">
        <f>IF(COUNTIFS(Red!$G$5:$G$30,$C4,Red!$H$5:$H$30,G$3,Red!$K$5:$K$30,1)&gt;0,1,0)</f>
        <v>0</v>
      </c>
      <c r="H4" s="4">
        <f>IF(COUNTIFS(Red!$G$5:$G$30,$C4,Red!$H$5:$H$30,H$3,Red!$K$5:$K$30,1)&gt;0,1,0)</f>
        <v>0</v>
      </c>
      <c r="I4" s="4">
        <f>IF(COUNTIFS(Red!$G$5:$G$30,$C4,Red!$H$5:$H$30,I$3,Red!$K$5:$K$30,1)&gt;0,1,0)</f>
        <v>0</v>
      </c>
      <c r="J4" s="4">
        <f>IF(COUNTIFS(Red!$G$5:$G$30,$C4,Red!$H$5:$H$30,J$3,Red!$K$5:$K$30,1)&gt;0,1,0)</f>
        <v>1</v>
      </c>
      <c r="K4" s="4">
        <f>IF(COUNTIFS(Red!$G$5:$G$30,$C4,Red!$H$5:$H$30,K$3,Red!$K$5:$K$30,1)&gt;0,1,0)</f>
        <v>0</v>
      </c>
      <c r="L4" s="4">
        <f>IF(COUNTIFS(Red!$G$5:$G$30,$C4,Red!$H$5:$H$30,L$3,Red!$K$5:$K$30,1)&gt;0,1,0)</f>
        <v>0</v>
      </c>
      <c r="M4" s="4">
        <f>IF(COUNTIFS(Red!$G$5:$G$30,$C4,Red!$H$5:$H$30,M$3,Red!$K$5:$K$30,1)&gt;0,1,0)</f>
        <v>0</v>
      </c>
      <c r="N4" s="4">
        <f>IF(COUNTIFS(Red!$G$5:$G$30,$C4,Red!$H$5:$H$30,N$3,Red!$K$5:$K$30,1)&gt;0,1,0)</f>
        <v>0</v>
      </c>
      <c r="O4" s="4">
        <f>IF(COUNTIFS(Red!$G$5:$G$30,$C4,Red!$H$5:$H$30,O$3,Red!$K$5:$K$30,1)&gt;0,1,0)</f>
        <v>0</v>
      </c>
      <c r="P4" s="4">
        <f>IF(COUNTIFS(Red!$G$5:$G$30,$C4,Red!$H$5:$H$30,P$3,Red!$K$5:$K$30,1)&gt;0,1,0)</f>
        <v>0</v>
      </c>
      <c r="Q4" s="4">
        <f>IF(COUNTIFS(Red!$G$5:$G$30,$C4,Red!$H$5:$H$30,Q$3,Red!$K$5:$K$30,1)&gt;0,1,0)</f>
        <v>0</v>
      </c>
      <c r="R4" s="4">
        <f>IF(COUNTIFS(Red!$G$5:$G$30,$C4,Red!$H$5:$H$30,R$3,Red!$K$5:$K$30,1)&gt;0,1,0)</f>
        <v>0</v>
      </c>
      <c r="S4" s="4">
        <f>IF(COUNTIFS(Red!$G$5:$G$30,$C4,Red!$H$5:$H$30,S$3,Red!$K$5:$K$30,1)&gt;0,1,0)</f>
        <v>0</v>
      </c>
      <c r="T4" s="4">
        <f>IF(COUNTIFS(Red!$G$5:$G$30,$C4,Red!$H$5:$H$30,T$3,Red!$K$5:$K$30,1)&gt;0,1,0)</f>
        <v>0</v>
      </c>
      <c r="U4" s="4">
        <f>IF(COUNTIFS(Red!$G$5:$G$30,$C4,Red!$H$5:$H$30,U$3,Red!$K$5:$K$30,1)&gt;0,1,0)</f>
        <v>0</v>
      </c>
      <c r="V4" s="6">
        <f>IF(COUNTIFS(Red!$G$5:$G$30,$C4,Red!$H$5:$H$30,V$3,Red!$K$5:$K$30,1)&gt;0,1,0)</f>
        <v>0</v>
      </c>
    </row>
    <row r="5" spans="2:27" ht="17.25" customHeight="1" x14ac:dyDescent="0.25">
      <c r="B5" s="14" t="str">
        <f>VLOOKUP(tblMatrizDeAdyacencia[[#This Row],[NodoOrigen \ NodoDestino]],tblNodos[],2,FALSE)</f>
        <v>Tráfico ilícito</v>
      </c>
      <c r="C5" s="5" t="s">
        <v>30</v>
      </c>
      <c r="D5" s="4">
        <f>IF(COUNTIFS(Red!$G$5:$G$30,$C5,Red!$H$5:$H$30,D$3,Red!$K$5:$K$30,1)&gt;0,1,0)</f>
        <v>0</v>
      </c>
      <c r="E5" s="4">
        <f>IF(COUNTIFS(Red!$G$5:$G$30,$C5,Red!$H$5:$H$30,E$3,Red!$K$5:$K$30,1)&gt;0,1,0)</f>
        <v>0</v>
      </c>
      <c r="F5" s="4">
        <f>IF(COUNTIFS(Red!$G$5:$G$30,$C5,Red!$H$5:$H$30,F$3,Red!$K$5:$K$30,1)&gt;0,1,0)</f>
        <v>0</v>
      </c>
      <c r="G5" s="4">
        <f>IF(COUNTIFS(Red!$G$5:$G$30,$C5,Red!$H$5:$H$30,G$3,Red!$K$5:$K$30,1)&gt;0,1,0)</f>
        <v>0</v>
      </c>
      <c r="H5" s="4">
        <f>IF(COUNTIFS(Red!$G$5:$G$30,$C5,Red!$H$5:$H$30,H$3,Red!$K$5:$K$30,1)&gt;0,1,0)</f>
        <v>0</v>
      </c>
      <c r="I5" s="4">
        <f>IF(COUNTIFS(Red!$G$5:$G$30,$C5,Red!$H$5:$H$30,I$3,Red!$K$5:$K$30,1)&gt;0,1,0)</f>
        <v>0</v>
      </c>
      <c r="J5" s="4">
        <f>IF(COUNTIFS(Red!$G$5:$G$30,$C5,Red!$H$5:$H$30,J$3,Red!$K$5:$K$30,1)&gt;0,1,0)</f>
        <v>1</v>
      </c>
      <c r="K5" s="4">
        <f>IF(COUNTIFS(Red!$G$5:$G$30,$C5,Red!$H$5:$H$30,K$3,Red!$K$5:$K$30,1)&gt;0,1,0)</f>
        <v>0</v>
      </c>
      <c r="L5" s="4">
        <f>IF(COUNTIFS(Red!$G$5:$G$30,$C5,Red!$H$5:$H$30,L$3,Red!$K$5:$K$30,1)&gt;0,1,0)</f>
        <v>0</v>
      </c>
      <c r="M5" s="4">
        <f>IF(COUNTIFS(Red!$G$5:$G$30,$C5,Red!$H$5:$H$30,M$3,Red!$K$5:$K$30,1)&gt;0,1,0)</f>
        <v>0</v>
      </c>
      <c r="N5" s="4">
        <f>IF(COUNTIFS(Red!$G$5:$G$30,$C5,Red!$H$5:$H$30,N$3,Red!$K$5:$K$30,1)&gt;0,1,0)</f>
        <v>0</v>
      </c>
      <c r="O5" s="4">
        <f>IF(COUNTIFS(Red!$G$5:$G$30,$C5,Red!$H$5:$H$30,O$3,Red!$K$5:$K$30,1)&gt;0,1,0)</f>
        <v>0</v>
      </c>
      <c r="P5" s="4">
        <f>IF(COUNTIFS(Red!$G$5:$G$30,$C5,Red!$H$5:$H$30,P$3,Red!$K$5:$K$30,1)&gt;0,1,0)</f>
        <v>0</v>
      </c>
      <c r="Q5" s="4">
        <f>IF(COUNTIFS(Red!$G$5:$G$30,$C5,Red!$H$5:$H$30,Q$3,Red!$K$5:$K$30,1)&gt;0,1,0)</f>
        <v>0</v>
      </c>
      <c r="R5" s="4">
        <f>IF(COUNTIFS(Red!$G$5:$G$30,$C5,Red!$H$5:$H$30,R$3,Red!$K$5:$K$30,1)&gt;0,1,0)</f>
        <v>0</v>
      </c>
      <c r="S5" s="4">
        <f>IF(COUNTIFS(Red!$G$5:$G$30,$C5,Red!$H$5:$H$30,S$3,Red!$K$5:$K$30,1)&gt;0,1,0)</f>
        <v>0</v>
      </c>
      <c r="T5" s="4">
        <f>IF(COUNTIFS(Red!$G$5:$G$30,$C5,Red!$H$5:$H$30,T$3,Red!$K$5:$K$30,1)&gt;0,1,0)</f>
        <v>0</v>
      </c>
      <c r="U5" s="4">
        <f>IF(COUNTIFS(Red!$G$5:$G$30,$C5,Red!$H$5:$H$30,U$3,Red!$K$5:$K$30,1)&gt;0,1,0)</f>
        <v>0</v>
      </c>
      <c r="V5" s="6">
        <f>IF(COUNTIFS(Red!$G$5:$G$30,$C5,Red!$H$5:$H$30,V$3,Red!$K$5:$K$30,1)&gt;0,1,0)</f>
        <v>0</v>
      </c>
    </row>
    <row r="6" spans="2:27" ht="17.25" customHeight="1" x14ac:dyDescent="0.25">
      <c r="B6" s="14" t="str">
        <f>VLOOKUP(tblMatrizDeAdyacencia[[#This Row],[NodoOrigen \ NodoDestino]],tblNodos[],2,FALSE)</f>
        <v>Donaciones externas</v>
      </c>
      <c r="C6" s="5" t="s">
        <v>34</v>
      </c>
      <c r="D6" s="4">
        <f>IF(COUNTIFS(Red!$G$5:$G$30,$C6,Red!$H$5:$H$30,D$3,Red!$K$5:$K$30,1)&gt;0,1,0)</f>
        <v>0</v>
      </c>
      <c r="E6" s="4">
        <f>IF(COUNTIFS(Red!$G$5:$G$30,$C6,Red!$H$5:$H$30,E$3,Red!$K$5:$K$30,1)&gt;0,1,0)</f>
        <v>0</v>
      </c>
      <c r="F6" s="4">
        <f>IF(COUNTIFS(Red!$G$5:$G$30,$C6,Red!$H$5:$H$30,F$3,Red!$K$5:$K$30,1)&gt;0,1,0)</f>
        <v>0</v>
      </c>
      <c r="G6" s="4">
        <f>IF(COUNTIFS(Red!$G$5:$G$30,$C6,Red!$H$5:$H$30,G$3,Red!$K$5:$K$30,1)&gt;0,1,0)</f>
        <v>0</v>
      </c>
      <c r="H6" s="4">
        <f>IF(COUNTIFS(Red!$G$5:$G$30,$C6,Red!$H$5:$H$30,H$3,Red!$K$5:$K$30,1)&gt;0,1,0)</f>
        <v>0</v>
      </c>
      <c r="I6" s="4">
        <f>IF(COUNTIFS(Red!$G$5:$G$30,$C6,Red!$H$5:$H$30,I$3,Red!$K$5:$K$30,1)&gt;0,1,0)</f>
        <v>0</v>
      </c>
      <c r="J6" s="4">
        <f>IF(COUNTIFS(Red!$G$5:$G$30,$C6,Red!$H$5:$H$30,J$3,Red!$K$5:$K$30,1)&gt;0,1,0)</f>
        <v>0</v>
      </c>
      <c r="K6" s="4">
        <f>IF(COUNTIFS(Red!$G$5:$G$30,$C6,Red!$H$5:$H$30,K$3,Red!$K$5:$K$30,1)&gt;0,1,0)</f>
        <v>1</v>
      </c>
      <c r="L6" s="4">
        <f>IF(COUNTIFS(Red!$G$5:$G$30,$C6,Red!$H$5:$H$30,L$3,Red!$K$5:$K$30,1)&gt;0,1,0)</f>
        <v>0</v>
      </c>
      <c r="M6" s="4">
        <f>IF(COUNTIFS(Red!$G$5:$G$30,$C6,Red!$H$5:$H$30,M$3,Red!$K$5:$K$30,1)&gt;0,1,0)</f>
        <v>0</v>
      </c>
      <c r="N6" s="4">
        <f>IF(COUNTIFS(Red!$G$5:$G$30,$C6,Red!$H$5:$H$30,N$3,Red!$K$5:$K$30,1)&gt;0,1,0)</f>
        <v>0</v>
      </c>
      <c r="O6" s="4">
        <f>IF(COUNTIFS(Red!$G$5:$G$30,$C6,Red!$H$5:$H$30,O$3,Red!$K$5:$K$30,1)&gt;0,1,0)</f>
        <v>0</v>
      </c>
      <c r="P6" s="4">
        <f>IF(COUNTIFS(Red!$G$5:$G$30,$C6,Red!$H$5:$H$30,P$3,Red!$K$5:$K$30,1)&gt;0,1,0)</f>
        <v>0</v>
      </c>
      <c r="Q6" s="4">
        <f>IF(COUNTIFS(Red!$G$5:$G$30,$C6,Red!$H$5:$H$30,Q$3,Red!$K$5:$K$30,1)&gt;0,1,0)</f>
        <v>0</v>
      </c>
      <c r="R6" s="4">
        <f>IF(COUNTIFS(Red!$G$5:$G$30,$C6,Red!$H$5:$H$30,R$3,Red!$K$5:$K$30,1)&gt;0,1,0)</f>
        <v>0</v>
      </c>
      <c r="S6" s="4">
        <f>IF(COUNTIFS(Red!$G$5:$G$30,$C6,Red!$H$5:$H$30,S$3,Red!$K$5:$K$30,1)&gt;0,1,0)</f>
        <v>0</v>
      </c>
      <c r="T6" s="4">
        <f>IF(COUNTIFS(Red!$G$5:$G$30,$C6,Red!$H$5:$H$30,T$3,Red!$K$5:$K$30,1)&gt;0,1,0)</f>
        <v>0</v>
      </c>
      <c r="U6" s="4">
        <f>IF(COUNTIFS(Red!$G$5:$G$30,$C6,Red!$H$5:$H$30,U$3,Red!$K$5:$K$30,1)&gt;0,1,0)</f>
        <v>0</v>
      </c>
      <c r="V6" s="6">
        <f>IF(COUNTIFS(Red!$G$5:$G$30,$C6,Red!$H$5:$H$30,V$3,Red!$K$5:$K$30,1)&gt;0,1,0)</f>
        <v>0</v>
      </c>
    </row>
    <row r="7" spans="2:27" ht="17.25" customHeight="1" x14ac:dyDescent="0.25">
      <c r="B7" s="14" t="str">
        <f>VLOOKUP(tblMatrizDeAdyacencia[[#This Row],[NodoOrigen \ NodoDestino]],tblNodos[],2,FALSE)</f>
        <v>Actividad comercial</v>
      </c>
      <c r="C7" s="5" t="s">
        <v>39</v>
      </c>
      <c r="D7" s="4">
        <f>IF(COUNTIFS(Red!$G$5:$G$30,$C7,Red!$H$5:$H$30,D$3,Red!$K$5:$K$30,1)&gt;0,1,0)</f>
        <v>0</v>
      </c>
      <c r="E7" s="4">
        <f>IF(COUNTIFS(Red!$G$5:$G$30,$C7,Red!$H$5:$H$30,E$3,Red!$K$5:$K$30,1)&gt;0,1,0)</f>
        <v>0</v>
      </c>
      <c r="F7" s="4">
        <f>IF(COUNTIFS(Red!$G$5:$G$30,$C7,Red!$H$5:$H$30,F$3,Red!$K$5:$K$30,1)&gt;0,1,0)</f>
        <v>0</v>
      </c>
      <c r="G7" s="4">
        <f>IF(COUNTIFS(Red!$G$5:$G$30,$C7,Red!$H$5:$H$30,G$3,Red!$K$5:$K$30,1)&gt;0,1,0)</f>
        <v>0</v>
      </c>
      <c r="H7" s="4">
        <f>IF(COUNTIFS(Red!$G$5:$G$30,$C7,Red!$H$5:$H$30,H$3,Red!$K$5:$K$30,1)&gt;0,1,0)</f>
        <v>0</v>
      </c>
      <c r="I7" s="4">
        <f>IF(COUNTIFS(Red!$G$5:$G$30,$C7,Red!$H$5:$H$30,I$3,Red!$K$5:$K$30,1)&gt;0,1,0)</f>
        <v>0</v>
      </c>
      <c r="J7" s="4">
        <f>IF(COUNTIFS(Red!$G$5:$G$30,$C7,Red!$H$5:$H$30,J$3,Red!$K$5:$K$30,1)&gt;0,1,0)</f>
        <v>0</v>
      </c>
      <c r="K7" s="4">
        <f>IF(COUNTIFS(Red!$G$5:$G$30,$C7,Red!$H$5:$H$30,K$3,Red!$K$5:$K$30,1)&gt;0,1,0)</f>
        <v>1</v>
      </c>
      <c r="L7" s="4">
        <f>IF(COUNTIFS(Red!$G$5:$G$30,$C7,Red!$H$5:$H$30,L$3,Red!$K$5:$K$30,1)&gt;0,1,0)</f>
        <v>0</v>
      </c>
      <c r="M7" s="4">
        <f>IF(COUNTIFS(Red!$G$5:$G$30,$C7,Red!$H$5:$H$30,M$3,Red!$K$5:$K$30,1)&gt;0,1,0)</f>
        <v>0</v>
      </c>
      <c r="N7" s="4">
        <f>IF(COUNTIFS(Red!$G$5:$G$30,$C7,Red!$H$5:$H$30,N$3,Red!$K$5:$K$30,1)&gt;0,1,0)</f>
        <v>0</v>
      </c>
      <c r="O7" s="4">
        <f>IF(COUNTIFS(Red!$G$5:$G$30,$C7,Red!$H$5:$H$30,O$3,Red!$K$5:$K$30,1)&gt;0,1,0)</f>
        <v>0</v>
      </c>
      <c r="P7" s="4">
        <f>IF(COUNTIFS(Red!$G$5:$G$30,$C7,Red!$H$5:$H$30,P$3,Red!$K$5:$K$30,1)&gt;0,1,0)</f>
        <v>0</v>
      </c>
      <c r="Q7" s="4">
        <f>IF(COUNTIFS(Red!$G$5:$G$30,$C7,Red!$H$5:$H$30,Q$3,Red!$K$5:$K$30,1)&gt;0,1,0)</f>
        <v>0</v>
      </c>
      <c r="R7" s="4">
        <f>IF(COUNTIFS(Red!$G$5:$G$30,$C7,Red!$H$5:$H$30,R$3,Red!$K$5:$K$30,1)&gt;0,1,0)</f>
        <v>0</v>
      </c>
      <c r="S7" s="4">
        <f>IF(COUNTIFS(Red!$G$5:$G$30,$C7,Red!$H$5:$H$30,S$3,Red!$K$5:$K$30,1)&gt;0,1,0)</f>
        <v>0</v>
      </c>
      <c r="T7" s="4">
        <f>IF(COUNTIFS(Red!$G$5:$G$30,$C7,Red!$H$5:$H$30,T$3,Red!$K$5:$K$30,1)&gt;0,1,0)</f>
        <v>0</v>
      </c>
      <c r="U7" s="4">
        <f>IF(COUNTIFS(Red!$G$5:$G$30,$C7,Red!$H$5:$H$30,U$3,Red!$K$5:$K$30,1)&gt;0,1,0)</f>
        <v>0</v>
      </c>
      <c r="V7" s="6">
        <f>IF(COUNTIFS(Red!$G$5:$G$30,$C7,Red!$H$5:$H$30,V$3,Red!$K$5:$K$30,1)&gt;0,1,0)</f>
        <v>0</v>
      </c>
    </row>
    <row r="8" spans="2:27" ht="17.25" customHeight="1" x14ac:dyDescent="0.25">
      <c r="B8" s="14" t="str">
        <f>VLOOKUP(tblMatrizDeAdyacencia[[#This Row],[NodoOrigen \ NodoDestino]],tblNodos[],2,FALSE)</f>
        <v>Criminalidad menor</v>
      </c>
      <c r="C8" s="5" t="s">
        <v>43</v>
      </c>
      <c r="D8" s="4">
        <f>IF(COUNTIFS(Red!$G$5:$G$30,$C8,Red!$H$5:$H$30,D$3,Red!$K$5:$K$30,1)&gt;0,1,0)</f>
        <v>0</v>
      </c>
      <c r="E8" s="4">
        <f>IF(COUNTIFS(Red!$G$5:$G$30,$C8,Red!$H$5:$H$30,E$3,Red!$K$5:$K$30,1)&gt;0,1,0)</f>
        <v>0</v>
      </c>
      <c r="F8" s="4">
        <f>IF(COUNTIFS(Red!$G$5:$G$30,$C8,Red!$H$5:$H$30,F$3,Red!$K$5:$K$30,1)&gt;0,1,0)</f>
        <v>0</v>
      </c>
      <c r="G8" s="4">
        <f>IF(COUNTIFS(Red!$G$5:$G$30,$C8,Red!$H$5:$H$30,G$3,Red!$K$5:$K$30,1)&gt;0,1,0)</f>
        <v>0</v>
      </c>
      <c r="H8" s="4">
        <f>IF(COUNTIFS(Red!$G$5:$G$30,$C8,Red!$H$5:$H$30,H$3,Red!$K$5:$K$30,1)&gt;0,1,0)</f>
        <v>0</v>
      </c>
      <c r="I8" s="4">
        <f>IF(COUNTIFS(Red!$G$5:$G$30,$C8,Red!$H$5:$H$30,I$3,Red!$K$5:$K$30,1)&gt;0,1,0)</f>
        <v>0</v>
      </c>
      <c r="J8" s="4">
        <f>IF(COUNTIFS(Red!$G$5:$G$30,$C8,Red!$H$5:$H$30,J$3,Red!$K$5:$K$30,1)&gt;0,1,0)</f>
        <v>0</v>
      </c>
      <c r="K8" s="4">
        <f>IF(COUNTIFS(Red!$G$5:$G$30,$C8,Red!$H$5:$H$30,K$3,Red!$K$5:$K$30,1)&gt;0,1,0)</f>
        <v>0</v>
      </c>
      <c r="L8" s="4">
        <f>IF(COUNTIFS(Red!$G$5:$G$30,$C8,Red!$H$5:$H$30,L$3,Red!$K$5:$K$30,1)&gt;0,1,0)</f>
        <v>1</v>
      </c>
      <c r="M8" s="4">
        <f>IF(COUNTIFS(Red!$G$5:$G$30,$C8,Red!$H$5:$H$30,M$3,Red!$K$5:$K$30,1)&gt;0,1,0)</f>
        <v>0</v>
      </c>
      <c r="N8" s="4">
        <f>IF(COUNTIFS(Red!$G$5:$G$30,$C8,Red!$H$5:$H$30,N$3,Red!$K$5:$K$30,1)&gt;0,1,0)</f>
        <v>0</v>
      </c>
      <c r="O8" s="4">
        <f>IF(COUNTIFS(Red!$G$5:$G$30,$C8,Red!$H$5:$H$30,O$3,Red!$K$5:$K$30,1)&gt;0,1,0)</f>
        <v>0</v>
      </c>
      <c r="P8" s="4">
        <f>IF(COUNTIFS(Red!$G$5:$G$30,$C8,Red!$H$5:$H$30,P$3,Red!$K$5:$K$30,1)&gt;0,1,0)</f>
        <v>0</v>
      </c>
      <c r="Q8" s="4">
        <f>IF(COUNTIFS(Red!$G$5:$G$30,$C8,Red!$H$5:$H$30,Q$3,Red!$K$5:$K$30,1)&gt;0,1,0)</f>
        <v>0</v>
      </c>
      <c r="R8" s="4">
        <f>IF(COUNTIFS(Red!$G$5:$G$30,$C8,Red!$H$5:$H$30,R$3,Red!$K$5:$K$30,1)&gt;0,1,0)</f>
        <v>0</v>
      </c>
      <c r="S8" s="4">
        <f>IF(COUNTIFS(Red!$G$5:$G$30,$C8,Red!$H$5:$H$30,S$3,Red!$K$5:$K$30,1)&gt;0,1,0)</f>
        <v>0</v>
      </c>
      <c r="T8" s="4">
        <f>IF(COUNTIFS(Red!$G$5:$G$30,$C8,Red!$H$5:$H$30,T$3,Red!$K$5:$K$30,1)&gt;0,1,0)</f>
        <v>0</v>
      </c>
      <c r="U8" s="4">
        <f>IF(COUNTIFS(Red!$G$5:$G$30,$C8,Red!$H$5:$H$30,U$3,Red!$K$5:$K$30,1)&gt;0,1,0)</f>
        <v>0</v>
      </c>
      <c r="V8" s="6">
        <f>IF(COUNTIFS(Red!$G$5:$G$30,$C8,Red!$H$5:$H$30,V$3,Red!$K$5:$K$30,1)&gt;0,1,0)</f>
        <v>0</v>
      </c>
    </row>
    <row r="9" spans="2:27" ht="17.25" customHeight="1" x14ac:dyDescent="0.25">
      <c r="B9" s="14" t="str">
        <f>VLOOKUP(tblMatrizDeAdyacencia[[#This Row],[NodoOrigen \ NodoDestino]],tblNodos[],2,FALSE)</f>
        <v>Aportaciones individuales</v>
      </c>
      <c r="C9" s="5" t="s">
        <v>46</v>
      </c>
      <c r="D9" s="4">
        <f>IF(COUNTIFS(Red!$G$5:$G$30,$C9,Red!$H$5:$H$30,D$3,Red!$K$5:$K$30,1)&gt;0,1,0)</f>
        <v>0</v>
      </c>
      <c r="E9" s="4">
        <f>IF(COUNTIFS(Red!$G$5:$G$30,$C9,Red!$H$5:$H$30,E$3,Red!$K$5:$K$30,1)&gt;0,1,0)</f>
        <v>0</v>
      </c>
      <c r="F9" s="4">
        <f>IF(COUNTIFS(Red!$G$5:$G$30,$C9,Red!$H$5:$H$30,F$3,Red!$K$5:$K$30,1)&gt;0,1,0)</f>
        <v>0</v>
      </c>
      <c r="G9" s="4">
        <f>IF(COUNTIFS(Red!$G$5:$G$30,$C9,Red!$H$5:$H$30,G$3,Red!$K$5:$K$30,1)&gt;0,1,0)</f>
        <v>0</v>
      </c>
      <c r="H9" s="4">
        <f>IF(COUNTIFS(Red!$G$5:$G$30,$C9,Red!$H$5:$H$30,H$3,Red!$K$5:$K$30,1)&gt;0,1,0)</f>
        <v>0</v>
      </c>
      <c r="I9" s="4">
        <f>IF(COUNTIFS(Red!$G$5:$G$30,$C9,Red!$H$5:$H$30,I$3,Red!$K$5:$K$30,1)&gt;0,1,0)</f>
        <v>0</v>
      </c>
      <c r="J9" s="4">
        <f>IF(COUNTIFS(Red!$G$5:$G$30,$C9,Red!$H$5:$H$30,J$3,Red!$K$5:$K$30,1)&gt;0,1,0)</f>
        <v>0</v>
      </c>
      <c r="K9" s="4">
        <f>IF(COUNTIFS(Red!$G$5:$G$30,$C9,Red!$H$5:$H$30,K$3,Red!$K$5:$K$30,1)&gt;0,1,0)</f>
        <v>0</v>
      </c>
      <c r="L9" s="4">
        <f>IF(COUNTIFS(Red!$G$5:$G$30,$C9,Red!$H$5:$H$30,L$3,Red!$K$5:$K$30,1)&gt;0,1,0)</f>
        <v>1</v>
      </c>
      <c r="M9" s="4">
        <f>IF(COUNTIFS(Red!$G$5:$G$30,$C9,Red!$H$5:$H$30,M$3,Red!$K$5:$K$30,1)&gt;0,1,0)</f>
        <v>0</v>
      </c>
      <c r="N9" s="4">
        <f>IF(COUNTIFS(Red!$G$5:$G$30,$C9,Red!$H$5:$H$30,N$3,Red!$K$5:$K$30,1)&gt;0,1,0)</f>
        <v>0</v>
      </c>
      <c r="O9" s="4">
        <f>IF(COUNTIFS(Red!$G$5:$G$30,$C9,Red!$H$5:$H$30,O$3,Red!$K$5:$K$30,1)&gt;0,1,0)</f>
        <v>0</v>
      </c>
      <c r="P9" s="4">
        <f>IF(COUNTIFS(Red!$G$5:$G$30,$C9,Red!$H$5:$H$30,P$3,Red!$K$5:$K$30,1)&gt;0,1,0)</f>
        <v>0</v>
      </c>
      <c r="Q9" s="4">
        <f>IF(COUNTIFS(Red!$G$5:$G$30,$C9,Red!$H$5:$H$30,Q$3,Red!$K$5:$K$30,1)&gt;0,1,0)</f>
        <v>0</v>
      </c>
      <c r="R9" s="4">
        <f>IF(COUNTIFS(Red!$G$5:$G$30,$C9,Red!$H$5:$H$30,R$3,Red!$K$5:$K$30,1)&gt;0,1,0)</f>
        <v>0</v>
      </c>
      <c r="S9" s="4">
        <f>IF(COUNTIFS(Red!$G$5:$G$30,$C9,Red!$H$5:$H$30,S$3,Red!$K$5:$K$30,1)&gt;0,1,0)</f>
        <v>0</v>
      </c>
      <c r="T9" s="4">
        <f>IF(COUNTIFS(Red!$G$5:$G$30,$C9,Red!$H$5:$H$30,T$3,Red!$K$5:$K$30,1)&gt;0,1,0)</f>
        <v>0</v>
      </c>
      <c r="U9" s="4">
        <f>IF(COUNTIFS(Red!$G$5:$G$30,$C9,Red!$H$5:$H$30,U$3,Red!$K$5:$K$30,1)&gt;0,1,0)</f>
        <v>0</v>
      </c>
      <c r="V9" s="6">
        <f>IF(COUNTIFS(Red!$G$5:$G$30,$C9,Red!$H$5:$H$30,V$3,Red!$K$5:$K$30,1)&gt;0,1,0)</f>
        <v>0</v>
      </c>
    </row>
    <row r="10" spans="2:27" ht="17.25" customHeight="1" x14ac:dyDescent="0.25">
      <c r="B10" s="14" t="str">
        <f>VLOOKUP(tblMatrizDeAdyacencia[[#This Row],[NodoOrigen \ NodoDestino]],tblNodos[],2,FALSE)</f>
        <v>Colector local principal</v>
      </c>
      <c r="C10" s="5" t="s">
        <v>126</v>
      </c>
      <c r="D10" s="4">
        <f>IF(COUNTIFS(Red!$G$5:$G$30,$C10,Red!$H$5:$H$30,D$3,Red!$K$5:$K$30,1)&gt;0,1,0)</f>
        <v>0</v>
      </c>
      <c r="E10" s="4">
        <f>IF(COUNTIFS(Red!$G$5:$G$30,$C10,Red!$H$5:$H$30,E$3,Red!$K$5:$K$30,1)&gt;0,1,0)</f>
        <v>0</v>
      </c>
      <c r="F10" s="4">
        <f>IF(COUNTIFS(Red!$G$5:$G$30,$C10,Red!$H$5:$H$30,F$3,Red!$K$5:$K$30,1)&gt;0,1,0)</f>
        <v>0</v>
      </c>
      <c r="G10" s="4">
        <f>IF(COUNTIFS(Red!$G$5:$G$30,$C10,Red!$H$5:$H$30,G$3,Red!$K$5:$K$30,1)&gt;0,1,0)</f>
        <v>0</v>
      </c>
      <c r="H10" s="4">
        <f>IF(COUNTIFS(Red!$G$5:$G$30,$C10,Red!$H$5:$H$30,H$3,Red!$K$5:$K$30,1)&gt;0,1,0)</f>
        <v>0</v>
      </c>
      <c r="I10" s="4">
        <f>IF(COUNTIFS(Red!$G$5:$G$30,$C10,Red!$H$5:$H$30,I$3,Red!$K$5:$K$30,1)&gt;0,1,0)</f>
        <v>0</v>
      </c>
      <c r="J10" s="4">
        <f>IF(COUNTIFS(Red!$G$5:$G$30,$C10,Red!$H$5:$H$30,J$3,Red!$K$5:$K$30,1)&gt;0,1,0)</f>
        <v>0</v>
      </c>
      <c r="K10" s="4">
        <f>IF(COUNTIFS(Red!$G$5:$G$30,$C10,Red!$H$5:$H$30,K$3,Red!$K$5:$K$30,1)&gt;0,1,0)</f>
        <v>0</v>
      </c>
      <c r="L10" s="4">
        <f>IF(COUNTIFS(Red!$G$5:$G$30,$C10,Red!$H$5:$H$30,L$3,Red!$K$5:$K$30,1)&gt;0,1,0)</f>
        <v>0</v>
      </c>
      <c r="M10" s="4">
        <f>IF(COUNTIFS(Red!$G$5:$G$30,$C10,Red!$H$5:$H$30,M$3,Red!$K$5:$K$30,1)&gt;0,1,0)</f>
        <v>1</v>
      </c>
      <c r="N10" s="4">
        <f>IF(COUNTIFS(Red!$G$5:$G$30,$C10,Red!$H$5:$H$30,N$3,Red!$K$5:$K$30,1)&gt;0,1,0)</f>
        <v>1</v>
      </c>
      <c r="O10" s="4">
        <f>IF(COUNTIFS(Red!$G$5:$G$30,$C10,Red!$H$5:$H$30,O$3,Red!$K$5:$K$30,1)&gt;0,1,0)</f>
        <v>0</v>
      </c>
      <c r="P10" s="4">
        <f>IF(COUNTIFS(Red!$G$5:$G$30,$C10,Red!$H$5:$H$30,P$3,Red!$K$5:$K$30,1)&gt;0,1,0)</f>
        <v>0</v>
      </c>
      <c r="Q10" s="4">
        <f>IF(COUNTIFS(Red!$G$5:$G$30,$C10,Red!$H$5:$H$30,Q$3,Red!$K$5:$K$30,1)&gt;0,1,0)</f>
        <v>0</v>
      </c>
      <c r="R10" s="4">
        <f>IF(COUNTIFS(Red!$G$5:$G$30,$C10,Red!$H$5:$H$30,R$3,Red!$K$5:$K$30,1)&gt;0,1,0)</f>
        <v>0</v>
      </c>
      <c r="S10" s="4">
        <f>IF(COUNTIFS(Red!$G$5:$G$30,$C10,Red!$H$5:$H$30,S$3,Red!$K$5:$K$30,1)&gt;0,1,0)</f>
        <v>0</v>
      </c>
      <c r="T10" s="4">
        <f>IF(COUNTIFS(Red!$G$5:$G$30,$C10,Red!$H$5:$H$30,T$3,Red!$K$5:$K$30,1)&gt;0,1,0)</f>
        <v>0</v>
      </c>
      <c r="U10" s="4">
        <f>IF(COUNTIFS(Red!$G$5:$G$30,$C10,Red!$H$5:$H$30,U$3,Red!$K$5:$K$30,1)&gt;0,1,0)</f>
        <v>0</v>
      </c>
      <c r="V10" s="6">
        <f>IF(COUNTIFS(Red!$G$5:$G$30,$C10,Red!$H$5:$H$30,V$3,Red!$K$5:$K$30,1)&gt;0,1,0)</f>
        <v>0</v>
      </c>
    </row>
    <row r="11" spans="2:27" ht="17.25" customHeight="1" x14ac:dyDescent="0.25">
      <c r="B11" s="14" t="str">
        <f>VLOOKUP(tblMatrizDeAdyacencia[[#This Row],[NodoOrigen \ NodoDestino]],tblNodos[],2,FALSE)</f>
        <v>Colector local secundario</v>
      </c>
      <c r="C11" s="5" t="s">
        <v>128</v>
      </c>
      <c r="D11" s="4">
        <f>IF(COUNTIFS(Red!$G$5:$G$30,$C11,Red!$H$5:$H$30,D$3,Red!$K$5:$K$30,1)&gt;0,1,0)</f>
        <v>0</v>
      </c>
      <c r="E11" s="4">
        <f>IF(COUNTIFS(Red!$G$5:$G$30,$C11,Red!$H$5:$H$30,E$3,Red!$K$5:$K$30,1)&gt;0,1,0)</f>
        <v>0</v>
      </c>
      <c r="F11" s="4">
        <f>IF(COUNTIFS(Red!$G$5:$G$30,$C11,Red!$H$5:$H$30,F$3,Red!$K$5:$K$30,1)&gt;0,1,0)</f>
        <v>0</v>
      </c>
      <c r="G11" s="4">
        <f>IF(COUNTIFS(Red!$G$5:$G$30,$C11,Red!$H$5:$H$30,G$3,Red!$K$5:$K$30,1)&gt;0,1,0)</f>
        <v>0</v>
      </c>
      <c r="H11" s="4">
        <f>IF(COUNTIFS(Red!$G$5:$G$30,$C11,Red!$H$5:$H$30,H$3,Red!$K$5:$K$30,1)&gt;0,1,0)</f>
        <v>0</v>
      </c>
      <c r="I11" s="4">
        <f>IF(COUNTIFS(Red!$G$5:$G$30,$C11,Red!$H$5:$H$30,I$3,Red!$K$5:$K$30,1)&gt;0,1,0)</f>
        <v>0</v>
      </c>
      <c r="J11" s="4">
        <f>IF(COUNTIFS(Red!$G$5:$G$30,$C11,Red!$H$5:$H$30,J$3,Red!$K$5:$K$30,1)&gt;0,1,0)</f>
        <v>0</v>
      </c>
      <c r="K11" s="4">
        <f>IF(COUNTIFS(Red!$G$5:$G$30,$C11,Red!$H$5:$H$30,K$3,Red!$K$5:$K$30,1)&gt;0,1,0)</f>
        <v>0</v>
      </c>
      <c r="L11" s="4">
        <f>IF(COUNTIFS(Red!$G$5:$G$30,$C11,Red!$H$5:$H$30,L$3,Red!$K$5:$K$30,1)&gt;0,1,0)</f>
        <v>0</v>
      </c>
      <c r="M11" s="4">
        <f>IF(COUNTIFS(Red!$G$5:$G$30,$C11,Red!$H$5:$H$30,M$3,Red!$K$5:$K$30,1)&gt;0,1,0)</f>
        <v>1</v>
      </c>
      <c r="N11" s="4">
        <f>IF(COUNTIFS(Red!$G$5:$G$30,$C11,Red!$H$5:$H$30,N$3,Red!$K$5:$K$30,1)&gt;0,1,0)</f>
        <v>0</v>
      </c>
      <c r="O11" s="4">
        <f>IF(COUNTIFS(Red!$G$5:$G$30,$C11,Red!$H$5:$H$30,O$3,Red!$K$5:$K$30,1)&gt;0,1,0)</f>
        <v>1</v>
      </c>
      <c r="P11" s="4">
        <f>IF(COUNTIFS(Red!$G$5:$G$30,$C11,Red!$H$5:$H$30,P$3,Red!$K$5:$K$30,1)&gt;0,1,0)</f>
        <v>0</v>
      </c>
      <c r="Q11" s="4">
        <f>IF(COUNTIFS(Red!$G$5:$G$30,$C11,Red!$H$5:$H$30,Q$3,Red!$K$5:$K$30,1)&gt;0,1,0)</f>
        <v>0</v>
      </c>
      <c r="R11" s="4">
        <f>IF(COUNTIFS(Red!$G$5:$G$30,$C11,Red!$H$5:$H$30,R$3,Red!$K$5:$K$30,1)&gt;0,1,0)</f>
        <v>0</v>
      </c>
      <c r="S11" s="4">
        <f>IF(COUNTIFS(Red!$G$5:$G$30,$C11,Red!$H$5:$H$30,S$3,Red!$K$5:$K$30,1)&gt;0,1,0)</f>
        <v>0</v>
      </c>
      <c r="T11" s="4">
        <f>IF(COUNTIFS(Red!$G$5:$G$30,$C11,Red!$H$5:$H$30,T$3,Red!$K$5:$K$30,1)&gt;0,1,0)</f>
        <v>0</v>
      </c>
      <c r="U11" s="4">
        <f>IF(COUNTIFS(Red!$G$5:$G$30,$C11,Red!$H$5:$H$30,U$3,Red!$K$5:$K$30,1)&gt;0,1,0)</f>
        <v>0</v>
      </c>
      <c r="V11" s="6">
        <f>IF(COUNTIFS(Red!$G$5:$G$30,$C11,Red!$H$5:$H$30,V$3,Red!$K$5:$K$30,1)&gt;0,1,0)</f>
        <v>0</v>
      </c>
    </row>
    <row r="12" spans="2:27" ht="17.25" customHeight="1" x14ac:dyDescent="0.25">
      <c r="B12" s="14" t="str">
        <f>VLOOKUP(tblMatrizDeAdyacencia[[#This Row],[NodoOrigen \ NodoDestino]],tblNodos[],2,FALSE)</f>
        <v>Colector regional</v>
      </c>
      <c r="C12" s="5" t="s">
        <v>141</v>
      </c>
      <c r="D12" s="4">
        <f>IF(COUNTIFS(Red!$G$5:$G$30,$C12,Red!$H$5:$H$30,D$3,Red!$K$5:$K$30,1)&gt;0,1,0)</f>
        <v>0</v>
      </c>
      <c r="E12" s="4">
        <f>IF(COUNTIFS(Red!$G$5:$G$30,$C12,Red!$H$5:$H$30,E$3,Red!$K$5:$K$30,1)&gt;0,1,0)</f>
        <v>0</v>
      </c>
      <c r="F12" s="4">
        <f>IF(COUNTIFS(Red!$G$5:$G$30,$C12,Red!$H$5:$H$30,F$3,Red!$K$5:$K$30,1)&gt;0,1,0)</f>
        <v>0</v>
      </c>
      <c r="G12" s="4">
        <f>IF(COUNTIFS(Red!$G$5:$G$30,$C12,Red!$H$5:$H$30,G$3,Red!$K$5:$K$30,1)&gt;0,1,0)</f>
        <v>0</v>
      </c>
      <c r="H12" s="4">
        <f>IF(COUNTIFS(Red!$G$5:$G$30,$C12,Red!$H$5:$H$30,H$3,Red!$K$5:$K$30,1)&gt;0,1,0)</f>
        <v>0</v>
      </c>
      <c r="I12" s="4">
        <f>IF(COUNTIFS(Red!$G$5:$G$30,$C12,Red!$H$5:$H$30,I$3,Red!$K$5:$K$30,1)&gt;0,1,0)</f>
        <v>0</v>
      </c>
      <c r="J12" s="4">
        <f>IF(COUNTIFS(Red!$G$5:$G$30,$C12,Red!$H$5:$H$30,J$3,Red!$K$5:$K$30,1)&gt;0,1,0)</f>
        <v>0</v>
      </c>
      <c r="K12" s="4">
        <f>IF(COUNTIFS(Red!$G$5:$G$30,$C12,Red!$H$5:$H$30,K$3,Red!$K$5:$K$30,1)&gt;0,1,0)</f>
        <v>0</v>
      </c>
      <c r="L12" s="4">
        <f>IF(COUNTIFS(Red!$G$5:$G$30,$C12,Red!$H$5:$H$30,L$3,Red!$K$5:$K$30,1)&gt;0,1,0)</f>
        <v>0</v>
      </c>
      <c r="M12" s="4">
        <f>IF(COUNTIFS(Red!$G$5:$G$30,$C12,Red!$H$5:$H$30,M$3,Red!$K$5:$K$30,1)&gt;0,1,0)</f>
        <v>0</v>
      </c>
      <c r="N12" s="4">
        <f>IF(COUNTIFS(Red!$G$5:$G$30,$C12,Red!$H$5:$H$30,N$3,Red!$K$5:$K$30,1)&gt;0,1,0)</f>
        <v>1</v>
      </c>
      <c r="O12" s="4">
        <f>IF(COUNTIFS(Red!$G$5:$G$30,$C12,Red!$H$5:$H$30,O$3,Red!$K$5:$K$30,1)&gt;0,1,0)</f>
        <v>0</v>
      </c>
      <c r="P12" s="4">
        <f>IF(COUNTIFS(Red!$G$5:$G$30,$C12,Red!$H$5:$H$30,P$3,Red!$K$5:$K$30,1)&gt;0,1,0)</f>
        <v>1</v>
      </c>
      <c r="Q12" s="4">
        <f>IF(COUNTIFS(Red!$G$5:$G$30,$C12,Red!$H$5:$H$30,Q$3,Red!$K$5:$K$30,1)&gt;0,1,0)</f>
        <v>0</v>
      </c>
      <c r="R12" s="4">
        <f>IF(COUNTIFS(Red!$G$5:$G$30,$C12,Red!$H$5:$H$30,R$3,Red!$K$5:$K$30,1)&gt;0,1,0)</f>
        <v>0</v>
      </c>
      <c r="S12" s="4">
        <f>IF(COUNTIFS(Red!$G$5:$G$30,$C12,Red!$H$5:$H$30,S$3,Red!$K$5:$K$30,1)&gt;0,1,0)</f>
        <v>0</v>
      </c>
      <c r="T12" s="4">
        <f>IF(COUNTIFS(Red!$G$5:$G$30,$C12,Red!$H$5:$H$30,T$3,Red!$K$5:$K$30,1)&gt;0,1,0)</f>
        <v>0</v>
      </c>
      <c r="U12" s="4">
        <f>IF(COUNTIFS(Red!$G$5:$G$30,$C12,Red!$H$5:$H$30,U$3,Red!$K$5:$K$30,1)&gt;0,1,0)</f>
        <v>0</v>
      </c>
      <c r="V12" s="6">
        <f>IF(COUNTIFS(Red!$G$5:$G$30,$C12,Red!$H$5:$H$30,V$3,Red!$K$5:$K$30,1)&gt;0,1,0)</f>
        <v>0</v>
      </c>
    </row>
    <row r="13" spans="2:27" ht="17.25" customHeight="1" x14ac:dyDescent="0.25">
      <c r="B13" s="14" t="str">
        <f>VLOOKUP(tblMatrizDeAdyacencia[[#This Row],[NodoOrigen \ NodoDestino]],tblNodos[],2,FALSE)</f>
        <v>Redistribuidor zona tránsito 1</v>
      </c>
      <c r="C13" s="5" t="s">
        <v>129</v>
      </c>
      <c r="D13" s="4">
        <f>IF(COUNTIFS(Red!$G$5:$G$30,$C13,Red!$H$5:$H$30,D$3,Red!$K$5:$K$30,1)&gt;0,1,0)</f>
        <v>0</v>
      </c>
      <c r="E13" s="4">
        <f>IF(COUNTIFS(Red!$G$5:$G$30,$C13,Red!$H$5:$H$30,E$3,Red!$K$5:$K$30,1)&gt;0,1,0)</f>
        <v>0</v>
      </c>
      <c r="F13" s="4">
        <f>IF(COUNTIFS(Red!$G$5:$G$30,$C13,Red!$H$5:$H$30,F$3,Red!$K$5:$K$30,1)&gt;0,1,0)</f>
        <v>0</v>
      </c>
      <c r="G13" s="4">
        <f>IF(COUNTIFS(Red!$G$5:$G$30,$C13,Red!$H$5:$H$30,G$3,Red!$K$5:$K$30,1)&gt;0,1,0)</f>
        <v>0</v>
      </c>
      <c r="H13" s="4">
        <f>IF(COUNTIFS(Red!$G$5:$G$30,$C13,Red!$H$5:$H$30,H$3,Red!$K$5:$K$30,1)&gt;0,1,0)</f>
        <v>0</v>
      </c>
      <c r="I13" s="4">
        <f>IF(COUNTIFS(Red!$G$5:$G$30,$C13,Red!$H$5:$H$30,I$3,Red!$K$5:$K$30,1)&gt;0,1,0)</f>
        <v>0</v>
      </c>
      <c r="J13" s="4">
        <f>IF(COUNTIFS(Red!$G$5:$G$30,$C13,Red!$H$5:$H$30,J$3,Red!$K$5:$K$30,1)&gt;0,1,0)</f>
        <v>0</v>
      </c>
      <c r="K13" s="4">
        <f>IF(COUNTIFS(Red!$G$5:$G$30,$C13,Red!$H$5:$H$30,K$3,Red!$K$5:$K$30,1)&gt;0,1,0)</f>
        <v>0</v>
      </c>
      <c r="L13" s="4">
        <f>IF(COUNTIFS(Red!$G$5:$G$30,$C13,Red!$H$5:$H$30,L$3,Red!$K$5:$K$30,1)&gt;0,1,0)</f>
        <v>0</v>
      </c>
      <c r="M13" s="4">
        <f>IF(COUNTIFS(Red!$G$5:$G$30,$C13,Red!$H$5:$H$30,M$3,Red!$K$5:$K$30,1)&gt;0,1,0)</f>
        <v>0</v>
      </c>
      <c r="N13" s="4">
        <f>IF(COUNTIFS(Red!$G$5:$G$30,$C13,Red!$H$5:$H$30,N$3,Red!$K$5:$K$30,1)&gt;0,1,0)</f>
        <v>0</v>
      </c>
      <c r="O13" s="4">
        <f>IF(COUNTIFS(Red!$G$5:$G$30,$C13,Red!$H$5:$H$30,O$3,Red!$K$5:$K$30,1)&gt;0,1,0)</f>
        <v>1</v>
      </c>
      <c r="P13" s="4">
        <f>IF(COUNTIFS(Red!$G$5:$G$30,$C13,Red!$H$5:$H$30,P$3,Red!$K$5:$K$30,1)&gt;0,1,0)</f>
        <v>1</v>
      </c>
      <c r="Q13" s="4">
        <f>IF(COUNTIFS(Red!$G$5:$G$30,$C13,Red!$H$5:$H$30,Q$3,Red!$K$5:$K$30,1)&gt;0,1,0)</f>
        <v>0</v>
      </c>
      <c r="R13" s="4">
        <f>IF(COUNTIFS(Red!$G$5:$G$30,$C13,Red!$H$5:$H$30,R$3,Red!$K$5:$K$30,1)&gt;0,1,0)</f>
        <v>0</v>
      </c>
      <c r="S13" s="4">
        <f>IF(COUNTIFS(Red!$G$5:$G$30,$C13,Red!$H$5:$H$30,S$3,Red!$K$5:$K$30,1)&gt;0,1,0)</f>
        <v>0</v>
      </c>
      <c r="T13" s="4">
        <f>IF(COUNTIFS(Red!$G$5:$G$30,$C13,Red!$H$5:$H$30,T$3,Red!$K$5:$K$30,1)&gt;0,1,0)</f>
        <v>0</v>
      </c>
      <c r="U13" s="4">
        <f>IF(COUNTIFS(Red!$G$5:$G$30,$C13,Red!$H$5:$H$30,U$3,Red!$K$5:$K$30,1)&gt;0,1,0)</f>
        <v>0</v>
      </c>
      <c r="V13" s="6">
        <f>IF(COUNTIFS(Red!$G$5:$G$30,$C13,Red!$H$5:$H$30,V$3,Red!$K$5:$K$30,1)&gt;0,1,0)</f>
        <v>0</v>
      </c>
    </row>
    <row r="14" spans="2:27" ht="17.25" customHeight="1" x14ac:dyDescent="0.25">
      <c r="B14" s="14" t="str">
        <f>VLOOKUP(tblMatrizDeAdyacencia[[#This Row],[NodoOrigen \ NodoDestino]],tblNodos[],2,FALSE)</f>
        <v>Redistribuidor zona tránsito 2</v>
      </c>
      <c r="C14" s="5" t="s">
        <v>130</v>
      </c>
      <c r="D14" s="4">
        <f>IF(COUNTIFS(Red!$G$5:$G$30,$C14,Red!$H$5:$H$30,D$3,Red!$K$5:$K$30,1)&gt;0,1,0)</f>
        <v>0</v>
      </c>
      <c r="E14" s="4">
        <f>IF(COUNTIFS(Red!$G$5:$G$30,$C14,Red!$H$5:$H$30,E$3,Red!$K$5:$K$30,1)&gt;0,1,0)</f>
        <v>0</v>
      </c>
      <c r="F14" s="4">
        <f>IF(COUNTIFS(Red!$G$5:$G$30,$C14,Red!$H$5:$H$30,F$3,Red!$K$5:$K$30,1)&gt;0,1,0)</f>
        <v>0</v>
      </c>
      <c r="G14" s="4">
        <f>IF(COUNTIFS(Red!$G$5:$G$30,$C14,Red!$H$5:$H$30,G$3,Red!$K$5:$K$30,1)&gt;0,1,0)</f>
        <v>0</v>
      </c>
      <c r="H14" s="4">
        <f>IF(COUNTIFS(Red!$G$5:$G$30,$C14,Red!$H$5:$H$30,H$3,Red!$K$5:$K$30,1)&gt;0,1,0)</f>
        <v>0</v>
      </c>
      <c r="I14" s="4">
        <f>IF(COUNTIFS(Red!$G$5:$G$30,$C14,Red!$H$5:$H$30,I$3,Red!$K$5:$K$30,1)&gt;0,1,0)</f>
        <v>0</v>
      </c>
      <c r="J14" s="4">
        <f>IF(COUNTIFS(Red!$G$5:$G$30,$C14,Red!$H$5:$H$30,J$3,Red!$K$5:$K$30,1)&gt;0,1,0)</f>
        <v>0</v>
      </c>
      <c r="K14" s="4">
        <f>IF(COUNTIFS(Red!$G$5:$G$30,$C14,Red!$H$5:$H$30,K$3,Red!$K$5:$K$30,1)&gt;0,1,0)</f>
        <v>0</v>
      </c>
      <c r="L14" s="4">
        <f>IF(COUNTIFS(Red!$G$5:$G$30,$C14,Red!$H$5:$H$30,L$3,Red!$K$5:$K$30,1)&gt;0,1,0)</f>
        <v>0</v>
      </c>
      <c r="M14" s="4">
        <f>IF(COUNTIFS(Red!$G$5:$G$30,$C14,Red!$H$5:$H$30,M$3,Red!$K$5:$K$30,1)&gt;0,1,0)</f>
        <v>0</v>
      </c>
      <c r="N14" s="4">
        <f>IF(COUNTIFS(Red!$G$5:$G$30,$C14,Red!$H$5:$H$30,N$3,Red!$K$5:$K$30,1)&gt;0,1,0)</f>
        <v>0</v>
      </c>
      <c r="O14" s="4">
        <f>IF(COUNTIFS(Red!$G$5:$G$30,$C14,Red!$H$5:$H$30,O$3,Red!$K$5:$K$30,1)&gt;0,1,0)</f>
        <v>1</v>
      </c>
      <c r="P14" s="4">
        <f>IF(COUNTIFS(Red!$G$5:$G$30,$C14,Red!$H$5:$H$30,P$3,Red!$K$5:$K$30,1)&gt;0,1,0)</f>
        <v>0</v>
      </c>
      <c r="Q14" s="4">
        <f>IF(COUNTIFS(Red!$G$5:$G$30,$C14,Red!$H$5:$H$30,Q$3,Red!$K$5:$K$30,1)&gt;0,1,0)</f>
        <v>1</v>
      </c>
      <c r="R14" s="4">
        <f>IF(COUNTIFS(Red!$G$5:$G$30,$C14,Red!$H$5:$H$30,R$3,Red!$K$5:$K$30,1)&gt;0,1,0)</f>
        <v>0</v>
      </c>
      <c r="S14" s="4">
        <f>IF(COUNTIFS(Red!$G$5:$G$30,$C14,Red!$H$5:$H$30,S$3,Red!$K$5:$K$30,1)&gt;0,1,0)</f>
        <v>0</v>
      </c>
      <c r="T14" s="4">
        <f>IF(COUNTIFS(Red!$G$5:$G$30,$C14,Red!$H$5:$H$30,T$3,Red!$K$5:$K$30,1)&gt;0,1,0)</f>
        <v>0</v>
      </c>
      <c r="U14" s="4">
        <f>IF(COUNTIFS(Red!$G$5:$G$30,$C14,Red!$H$5:$H$30,U$3,Red!$K$5:$K$30,1)&gt;0,1,0)</f>
        <v>0</v>
      </c>
      <c r="V14" s="6">
        <f>IF(COUNTIFS(Red!$G$5:$G$30,$C14,Red!$H$5:$H$30,V$3,Red!$K$5:$K$30,1)&gt;0,1,0)</f>
        <v>0</v>
      </c>
    </row>
    <row r="15" spans="2:27" ht="17.25" customHeight="1" x14ac:dyDescent="0.25">
      <c r="B15" s="14" t="str">
        <f>VLOOKUP(tblMatrizDeAdyacencia[[#This Row],[NodoOrigen \ NodoDestino]],tblNodos[],2,FALSE)</f>
        <v>Redistribuidor principal</v>
      </c>
      <c r="C15" s="5" t="s">
        <v>132</v>
      </c>
      <c r="D15" s="4">
        <f>IF(COUNTIFS(Red!$G$5:$G$30,$C15,Red!$H$5:$H$30,D$3,Red!$K$5:$K$30,1)&gt;0,1,0)</f>
        <v>0</v>
      </c>
      <c r="E15" s="4">
        <f>IF(COUNTIFS(Red!$G$5:$G$30,$C15,Red!$H$5:$H$30,E$3,Red!$K$5:$K$30,1)&gt;0,1,0)</f>
        <v>0</v>
      </c>
      <c r="F15" s="4">
        <f>IF(COUNTIFS(Red!$G$5:$G$30,$C15,Red!$H$5:$H$30,F$3,Red!$K$5:$K$30,1)&gt;0,1,0)</f>
        <v>0</v>
      </c>
      <c r="G15" s="4">
        <f>IF(COUNTIFS(Red!$G$5:$G$30,$C15,Red!$H$5:$H$30,G$3,Red!$K$5:$K$30,1)&gt;0,1,0)</f>
        <v>0</v>
      </c>
      <c r="H15" s="4">
        <f>IF(COUNTIFS(Red!$G$5:$G$30,$C15,Red!$H$5:$H$30,H$3,Red!$K$5:$K$30,1)&gt;0,1,0)</f>
        <v>0</v>
      </c>
      <c r="I15" s="4">
        <f>IF(COUNTIFS(Red!$G$5:$G$30,$C15,Red!$H$5:$H$30,I$3,Red!$K$5:$K$30,1)&gt;0,1,0)</f>
        <v>0</v>
      </c>
      <c r="J15" s="4">
        <f>IF(COUNTIFS(Red!$G$5:$G$30,$C15,Red!$H$5:$H$30,J$3,Red!$K$5:$K$30,1)&gt;0,1,0)</f>
        <v>0</v>
      </c>
      <c r="K15" s="4">
        <f>IF(COUNTIFS(Red!$G$5:$G$30,$C15,Red!$H$5:$H$30,K$3,Red!$K$5:$K$30,1)&gt;0,1,0)</f>
        <v>0</v>
      </c>
      <c r="L15" s="4">
        <f>IF(COUNTIFS(Red!$G$5:$G$30,$C15,Red!$H$5:$H$30,L$3,Red!$K$5:$K$30,1)&gt;0,1,0)</f>
        <v>0</v>
      </c>
      <c r="M15" s="4">
        <f>IF(COUNTIFS(Red!$G$5:$G$30,$C15,Red!$H$5:$H$30,M$3,Red!$K$5:$K$30,1)&gt;0,1,0)</f>
        <v>0</v>
      </c>
      <c r="N15" s="4">
        <f>IF(COUNTIFS(Red!$G$5:$G$30,$C15,Red!$H$5:$H$30,N$3,Red!$K$5:$K$30,1)&gt;0,1,0)</f>
        <v>0</v>
      </c>
      <c r="O15" s="4">
        <f>IF(COUNTIFS(Red!$G$5:$G$30,$C15,Red!$H$5:$H$30,O$3,Red!$K$5:$K$30,1)&gt;0,1,0)</f>
        <v>0</v>
      </c>
      <c r="P15" s="4">
        <f>IF(COUNTIFS(Red!$G$5:$G$30,$C15,Red!$H$5:$H$30,P$3,Red!$K$5:$K$30,1)&gt;0,1,0)</f>
        <v>0</v>
      </c>
      <c r="Q15" s="4">
        <f>IF(COUNTIFS(Red!$G$5:$G$30,$C15,Red!$H$5:$H$30,Q$3,Red!$K$5:$K$30,1)&gt;0,1,0)</f>
        <v>0</v>
      </c>
      <c r="R15" s="4">
        <f>IF(COUNTIFS(Red!$G$5:$G$30,$C15,Red!$H$5:$H$30,R$3,Red!$K$5:$K$30,1)&gt;0,1,0)</f>
        <v>1</v>
      </c>
      <c r="S15" s="4">
        <f>IF(COUNTIFS(Red!$G$5:$G$30,$C15,Red!$H$5:$H$30,S$3,Red!$K$5:$K$30,1)&gt;0,1,0)</f>
        <v>0</v>
      </c>
      <c r="T15" s="4">
        <f>IF(COUNTIFS(Red!$G$5:$G$30,$C15,Red!$H$5:$H$30,T$3,Red!$K$5:$K$30,1)&gt;0,1,0)</f>
        <v>0</v>
      </c>
      <c r="U15" s="4">
        <f>IF(COUNTIFS(Red!$G$5:$G$30,$C15,Red!$H$5:$H$30,U$3,Red!$K$5:$K$30,1)&gt;0,1,0)</f>
        <v>0</v>
      </c>
      <c r="V15" s="6">
        <f>IF(COUNTIFS(Red!$G$5:$G$30,$C15,Red!$H$5:$H$30,V$3,Red!$K$5:$K$30,1)&gt;0,1,0)</f>
        <v>0</v>
      </c>
    </row>
    <row r="16" spans="2:27" ht="17.25" customHeight="1" x14ac:dyDescent="0.25">
      <c r="B16" s="14" t="str">
        <f>VLOOKUP(tblMatrizDeAdyacencia[[#This Row],[NodoOrigen \ NodoDestino]],tblNodos[],2,FALSE)</f>
        <v>Redistribuidor secundario 1</v>
      </c>
      <c r="C16" s="5" t="s">
        <v>145</v>
      </c>
      <c r="D16" s="4">
        <f>IF(COUNTIFS(Red!$G$5:$G$30,$C16,Red!$H$5:$H$30,D$3,Red!$K$5:$K$30,1)&gt;0,1,0)</f>
        <v>0</v>
      </c>
      <c r="E16" s="4">
        <f>IF(COUNTIFS(Red!$G$5:$G$30,$C16,Red!$H$5:$H$30,E$3,Red!$K$5:$K$30,1)&gt;0,1,0)</f>
        <v>0</v>
      </c>
      <c r="F16" s="4">
        <f>IF(COUNTIFS(Red!$G$5:$G$30,$C16,Red!$H$5:$H$30,F$3,Red!$K$5:$K$30,1)&gt;0,1,0)</f>
        <v>0</v>
      </c>
      <c r="G16" s="4">
        <f>IF(COUNTIFS(Red!$G$5:$G$30,$C16,Red!$H$5:$H$30,G$3,Red!$K$5:$K$30,1)&gt;0,1,0)</f>
        <v>0</v>
      </c>
      <c r="H16" s="4">
        <f>IF(COUNTIFS(Red!$G$5:$G$30,$C16,Red!$H$5:$H$30,H$3,Red!$K$5:$K$30,1)&gt;0,1,0)</f>
        <v>0</v>
      </c>
      <c r="I16" s="4">
        <f>IF(COUNTIFS(Red!$G$5:$G$30,$C16,Red!$H$5:$H$30,I$3,Red!$K$5:$K$30,1)&gt;0,1,0)</f>
        <v>0</v>
      </c>
      <c r="J16" s="4">
        <f>IF(COUNTIFS(Red!$G$5:$G$30,$C16,Red!$H$5:$H$30,J$3,Red!$K$5:$K$30,1)&gt;0,1,0)</f>
        <v>0</v>
      </c>
      <c r="K16" s="4">
        <f>IF(COUNTIFS(Red!$G$5:$G$30,$C16,Red!$H$5:$H$30,K$3,Red!$K$5:$K$30,1)&gt;0,1,0)</f>
        <v>0</v>
      </c>
      <c r="L16" s="4">
        <f>IF(COUNTIFS(Red!$G$5:$G$30,$C16,Red!$H$5:$H$30,L$3,Red!$K$5:$K$30,1)&gt;0,1,0)</f>
        <v>0</v>
      </c>
      <c r="M16" s="4">
        <f>IF(COUNTIFS(Red!$G$5:$G$30,$C16,Red!$H$5:$H$30,M$3,Red!$K$5:$K$30,1)&gt;0,1,0)</f>
        <v>0</v>
      </c>
      <c r="N16" s="4">
        <f>IF(COUNTIFS(Red!$G$5:$G$30,$C16,Red!$H$5:$H$30,N$3,Red!$K$5:$K$30,1)&gt;0,1,0)</f>
        <v>0</v>
      </c>
      <c r="O16" s="4">
        <f>IF(COUNTIFS(Red!$G$5:$G$30,$C16,Red!$H$5:$H$30,O$3,Red!$K$5:$K$30,1)&gt;0,1,0)</f>
        <v>0</v>
      </c>
      <c r="P16" s="4">
        <f>IF(COUNTIFS(Red!$G$5:$G$30,$C16,Red!$H$5:$H$30,P$3,Red!$K$5:$K$30,1)&gt;0,1,0)</f>
        <v>0</v>
      </c>
      <c r="Q16" s="4">
        <f>IF(COUNTIFS(Red!$G$5:$G$30,$C16,Red!$H$5:$H$30,Q$3,Red!$K$5:$K$30,1)&gt;0,1,0)</f>
        <v>0</v>
      </c>
      <c r="R16" s="4">
        <f>IF(COUNTIFS(Red!$G$5:$G$30,$C16,Red!$H$5:$H$30,R$3,Red!$K$5:$K$30,1)&gt;0,1,0)</f>
        <v>1</v>
      </c>
      <c r="S16" s="4">
        <f>IF(COUNTIFS(Red!$G$5:$G$30,$C16,Red!$H$5:$H$30,S$3,Red!$K$5:$K$30,1)&gt;0,1,0)</f>
        <v>0</v>
      </c>
      <c r="T16" s="4">
        <f>IF(COUNTIFS(Red!$G$5:$G$30,$C16,Red!$H$5:$H$30,T$3,Red!$K$5:$K$30,1)&gt;0,1,0)</f>
        <v>0</v>
      </c>
      <c r="U16" s="4">
        <f>IF(COUNTIFS(Red!$G$5:$G$30,$C16,Red!$H$5:$H$30,U$3,Red!$K$5:$K$30,1)&gt;0,1,0)</f>
        <v>0</v>
      </c>
      <c r="V16" s="6">
        <f>IF(COUNTIFS(Red!$G$5:$G$30,$C16,Red!$H$5:$H$30,V$3,Red!$K$5:$K$30,1)&gt;0,1,0)</f>
        <v>0</v>
      </c>
    </row>
    <row r="17" spans="2:22" ht="17.25" customHeight="1" x14ac:dyDescent="0.25">
      <c r="B17" s="14" t="str">
        <f>VLOOKUP(tblMatrizDeAdyacencia[[#This Row],[NodoOrigen \ NodoDestino]],tblNodos[],2,FALSE)</f>
        <v>Redistribuidor secundario 2</v>
      </c>
      <c r="C17" s="5" t="s">
        <v>147</v>
      </c>
      <c r="D17" s="4">
        <f>IF(COUNTIFS(Red!$G$5:$G$30,$C17,Red!$H$5:$H$30,D$3,Red!$K$5:$K$30,1)&gt;0,1,0)</f>
        <v>0</v>
      </c>
      <c r="E17" s="4">
        <f>IF(COUNTIFS(Red!$G$5:$G$30,$C17,Red!$H$5:$H$30,E$3,Red!$K$5:$K$30,1)&gt;0,1,0)</f>
        <v>0</v>
      </c>
      <c r="F17" s="4">
        <f>IF(COUNTIFS(Red!$G$5:$G$30,$C17,Red!$H$5:$H$30,F$3,Red!$K$5:$K$30,1)&gt;0,1,0)</f>
        <v>0</v>
      </c>
      <c r="G17" s="4">
        <f>IF(COUNTIFS(Red!$G$5:$G$30,$C17,Red!$H$5:$H$30,G$3,Red!$K$5:$K$30,1)&gt;0,1,0)</f>
        <v>0</v>
      </c>
      <c r="H17" s="4">
        <f>IF(COUNTIFS(Red!$G$5:$G$30,$C17,Red!$H$5:$H$30,H$3,Red!$K$5:$K$30,1)&gt;0,1,0)</f>
        <v>0</v>
      </c>
      <c r="I17" s="4">
        <f>IF(COUNTIFS(Red!$G$5:$G$30,$C17,Red!$H$5:$H$30,I$3,Red!$K$5:$K$30,1)&gt;0,1,0)</f>
        <v>0</v>
      </c>
      <c r="J17" s="4">
        <f>IF(COUNTIFS(Red!$G$5:$G$30,$C17,Red!$H$5:$H$30,J$3,Red!$K$5:$K$30,1)&gt;0,1,0)</f>
        <v>0</v>
      </c>
      <c r="K17" s="4">
        <f>IF(COUNTIFS(Red!$G$5:$G$30,$C17,Red!$H$5:$H$30,K$3,Red!$K$5:$K$30,1)&gt;0,1,0)</f>
        <v>0</v>
      </c>
      <c r="L17" s="4">
        <f>IF(COUNTIFS(Red!$G$5:$G$30,$C17,Red!$H$5:$H$30,L$3,Red!$K$5:$K$30,1)&gt;0,1,0)</f>
        <v>0</v>
      </c>
      <c r="M17" s="4">
        <f>IF(COUNTIFS(Red!$G$5:$G$30,$C17,Red!$H$5:$H$30,M$3,Red!$K$5:$K$30,1)&gt;0,1,0)</f>
        <v>0</v>
      </c>
      <c r="N17" s="4">
        <f>IF(COUNTIFS(Red!$G$5:$G$30,$C17,Red!$H$5:$H$30,N$3,Red!$K$5:$K$30,1)&gt;0,1,0)</f>
        <v>0</v>
      </c>
      <c r="O17" s="4">
        <f>IF(COUNTIFS(Red!$G$5:$G$30,$C17,Red!$H$5:$H$30,O$3,Red!$K$5:$K$30,1)&gt;0,1,0)</f>
        <v>0</v>
      </c>
      <c r="P17" s="4">
        <f>IF(COUNTIFS(Red!$G$5:$G$30,$C17,Red!$H$5:$H$30,P$3,Red!$K$5:$K$30,1)&gt;0,1,0)</f>
        <v>0</v>
      </c>
      <c r="Q17" s="4">
        <f>IF(COUNTIFS(Red!$G$5:$G$30,$C17,Red!$H$5:$H$30,Q$3,Red!$K$5:$K$30,1)&gt;0,1,0)</f>
        <v>0</v>
      </c>
      <c r="R17" s="4">
        <f>IF(COUNTIFS(Red!$G$5:$G$30,$C17,Red!$H$5:$H$30,R$3,Red!$K$5:$K$30,1)&gt;0,1,0)</f>
        <v>0</v>
      </c>
      <c r="S17" s="4">
        <f>IF(COUNTIFS(Red!$G$5:$G$30,$C17,Red!$H$5:$H$30,S$3,Red!$K$5:$K$30,1)&gt;0,1,0)</f>
        <v>1</v>
      </c>
      <c r="T17" s="4">
        <f>IF(COUNTIFS(Red!$G$5:$G$30,$C17,Red!$H$5:$H$30,T$3,Red!$K$5:$K$30,1)&gt;0,1,0)</f>
        <v>0</v>
      </c>
      <c r="U17" s="4">
        <f>IF(COUNTIFS(Red!$G$5:$G$30,$C17,Red!$H$5:$H$30,U$3,Red!$K$5:$K$30,1)&gt;0,1,0)</f>
        <v>0</v>
      </c>
      <c r="V17" s="6">
        <f>IF(COUNTIFS(Red!$G$5:$G$30,$C17,Red!$H$5:$H$30,V$3,Red!$K$5:$K$30,1)&gt;0,1,0)</f>
        <v>0</v>
      </c>
    </row>
    <row r="18" spans="2:22" ht="17.25" customHeight="1" x14ac:dyDescent="0.25">
      <c r="B18" s="14" t="str">
        <f>VLOOKUP(tblMatrizDeAdyacencia[[#This Row],[NodoOrigen \ NodoDestino]],tblNodos[],2,FALSE)</f>
        <v>Redistribuidor intermedio</v>
      </c>
      <c r="C18" s="5" t="s">
        <v>149</v>
      </c>
      <c r="D18" s="4">
        <f>IF(COUNTIFS(Red!$G$5:$G$30,$C18,Red!$H$5:$H$30,D$3,Red!$K$5:$K$30,1)&gt;0,1,0)</f>
        <v>0</v>
      </c>
      <c r="E18" s="4">
        <f>IF(COUNTIFS(Red!$G$5:$G$30,$C18,Red!$H$5:$H$30,E$3,Red!$K$5:$K$30,1)&gt;0,1,0)</f>
        <v>0</v>
      </c>
      <c r="F18" s="4">
        <f>IF(COUNTIFS(Red!$G$5:$G$30,$C18,Red!$H$5:$H$30,F$3,Red!$K$5:$K$30,1)&gt;0,1,0)</f>
        <v>0</v>
      </c>
      <c r="G18" s="4">
        <f>IF(COUNTIFS(Red!$G$5:$G$30,$C18,Red!$H$5:$H$30,G$3,Red!$K$5:$K$30,1)&gt;0,1,0)</f>
        <v>0</v>
      </c>
      <c r="H18" s="4">
        <f>IF(COUNTIFS(Red!$G$5:$G$30,$C18,Red!$H$5:$H$30,H$3,Red!$K$5:$K$30,1)&gt;0,1,0)</f>
        <v>0</v>
      </c>
      <c r="I18" s="4">
        <f>IF(COUNTIFS(Red!$G$5:$G$30,$C18,Red!$H$5:$H$30,I$3,Red!$K$5:$K$30,1)&gt;0,1,0)</f>
        <v>0</v>
      </c>
      <c r="J18" s="4">
        <f>IF(COUNTIFS(Red!$G$5:$G$30,$C18,Red!$H$5:$H$30,J$3,Red!$K$5:$K$30,1)&gt;0,1,0)</f>
        <v>0</v>
      </c>
      <c r="K18" s="4">
        <f>IF(COUNTIFS(Red!$G$5:$G$30,$C18,Red!$H$5:$H$30,K$3,Red!$K$5:$K$30,1)&gt;0,1,0)</f>
        <v>0</v>
      </c>
      <c r="L18" s="4">
        <f>IF(COUNTIFS(Red!$G$5:$G$30,$C18,Red!$H$5:$H$30,L$3,Red!$K$5:$K$30,1)&gt;0,1,0)</f>
        <v>0</v>
      </c>
      <c r="M18" s="4">
        <f>IF(COUNTIFS(Red!$G$5:$G$30,$C18,Red!$H$5:$H$30,M$3,Red!$K$5:$K$30,1)&gt;0,1,0)</f>
        <v>0</v>
      </c>
      <c r="N18" s="4">
        <f>IF(COUNTIFS(Red!$G$5:$G$30,$C18,Red!$H$5:$H$30,N$3,Red!$K$5:$K$30,1)&gt;0,1,0)</f>
        <v>0</v>
      </c>
      <c r="O18" s="4">
        <f>IF(COUNTIFS(Red!$G$5:$G$30,$C18,Red!$H$5:$H$30,O$3,Red!$K$5:$K$30,1)&gt;0,1,0)</f>
        <v>0</v>
      </c>
      <c r="P18" s="4">
        <f>IF(COUNTIFS(Red!$G$5:$G$30,$C18,Red!$H$5:$H$30,P$3,Red!$K$5:$K$30,1)&gt;0,1,0)</f>
        <v>0</v>
      </c>
      <c r="Q18" s="4">
        <f>IF(COUNTIFS(Red!$G$5:$G$30,$C18,Red!$H$5:$H$30,Q$3,Red!$K$5:$K$30,1)&gt;0,1,0)</f>
        <v>0</v>
      </c>
      <c r="R18" s="4">
        <f>IF(COUNTIFS(Red!$G$5:$G$30,$C18,Red!$H$5:$H$30,R$3,Red!$K$5:$K$30,1)&gt;0,1,0)</f>
        <v>0</v>
      </c>
      <c r="S18" s="4">
        <f>IF(COUNTIFS(Red!$G$5:$G$30,$C18,Red!$H$5:$H$30,S$3,Red!$K$5:$K$30,1)&gt;0,1,0)</f>
        <v>0</v>
      </c>
      <c r="T18" s="4">
        <f>IF(COUNTIFS(Red!$G$5:$G$30,$C18,Red!$H$5:$H$30,T$3,Red!$K$5:$K$30,1)&gt;0,1,0)</f>
        <v>1</v>
      </c>
      <c r="U18" s="4">
        <f>IF(COUNTIFS(Red!$G$5:$G$30,$C18,Red!$H$5:$H$30,U$3,Red!$K$5:$K$30,1)&gt;0,1,0)</f>
        <v>0</v>
      </c>
      <c r="V18" s="6">
        <f>IF(COUNTIFS(Red!$G$5:$G$30,$C18,Red!$H$5:$H$30,V$3,Red!$K$5:$K$30,1)&gt;0,1,0)</f>
        <v>1</v>
      </c>
    </row>
    <row r="19" spans="2:22" ht="17.25" customHeight="1" x14ac:dyDescent="0.25">
      <c r="B19" s="14" t="str">
        <f>VLOOKUP(tblMatrizDeAdyacencia[[#This Row],[NodoOrigen \ NodoDestino]],tblNodos[],2,FALSE)</f>
        <v>Redistribuidor logístico</v>
      </c>
      <c r="C19" s="5" t="s">
        <v>150</v>
      </c>
      <c r="D19" s="4">
        <f>IF(COUNTIFS(Red!$G$5:$G$30,$C19,Red!$H$5:$H$30,D$3,Red!$K$5:$K$30,1)&gt;0,1,0)</f>
        <v>0</v>
      </c>
      <c r="E19" s="4">
        <f>IF(COUNTIFS(Red!$G$5:$G$30,$C19,Red!$H$5:$H$30,E$3,Red!$K$5:$K$30,1)&gt;0,1,0)</f>
        <v>0</v>
      </c>
      <c r="F19" s="4">
        <f>IF(COUNTIFS(Red!$G$5:$G$30,$C19,Red!$H$5:$H$30,F$3,Red!$K$5:$K$30,1)&gt;0,1,0)</f>
        <v>0</v>
      </c>
      <c r="G19" s="4">
        <f>IF(COUNTIFS(Red!$G$5:$G$30,$C19,Red!$H$5:$H$30,G$3,Red!$K$5:$K$30,1)&gt;0,1,0)</f>
        <v>0</v>
      </c>
      <c r="H19" s="4">
        <f>IF(COUNTIFS(Red!$G$5:$G$30,$C19,Red!$H$5:$H$30,H$3,Red!$K$5:$K$30,1)&gt;0,1,0)</f>
        <v>0</v>
      </c>
      <c r="I19" s="4">
        <f>IF(COUNTIFS(Red!$G$5:$G$30,$C19,Red!$H$5:$H$30,I$3,Red!$K$5:$K$30,1)&gt;0,1,0)</f>
        <v>0</v>
      </c>
      <c r="J19" s="4">
        <f>IF(COUNTIFS(Red!$G$5:$G$30,$C19,Red!$H$5:$H$30,J$3,Red!$K$5:$K$30,1)&gt;0,1,0)</f>
        <v>0</v>
      </c>
      <c r="K19" s="4">
        <f>IF(COUNTIFS(Red!$G$5:$G$30,$C19,Red!$H$5:$H$30,K$3,Red!$K$5:$K$30,1)&gt;0,1,0)</f>
        <v>0</v>
      </c>
      <c r="L19" s="4">
        <f>IF(COUNTIFS(Red!$G$5:$G$30,$C19,Red!$H$5:$H$30,L$3,Red!$K$5:$K$30,1)&gt;0,1,0)</f>
        <v>0</v>
      </c>
      <c r="M19" s="4">
        <f>IF(COUNTIFS(Red!$G$5:$G$30,$C19,Red!$H$5:$H$30,M$3,Red!$K$5:$K$30,1)&gt;0,1,0)</f>
        <v>0</v>
      </c>
      <c r="N19" s="4">
        <f>IF(COUNTIFS(Red!$G$5:$G$30,$C19,Red!$H$5:$H$30,N$3,Red!$K$5:$K$30,1)&gt;0,1,0)</f>
        <v>0</v>
      </c>
      <c r="O19" s="4">
        <f>IF(COUNTIFS(Red!$G$5:$G$30,$C19,Red!$H$5:$H$30,O$3,Red!$K$5:$K$30,1)&gt;0,1,0)</f>
        <v>0</v>
      </c>
      <c r="P19" s="4">
        <f>IF(COUNTIFS(Red!$G$5:$G$30,$C19,Red!$H$5:$H$30,P$3,Red!$K$5:$K$30,1)&gt;0,1,0)</f>
        <v>0</v>
      </c>
      <c r="Q19" s="4">
        <f>IF(COUNTIFS(Red!$G$5:$G$30,$C19,Red!$H$5:$H$30,Q$3,Red!$K$5:$K$30,1)&gt;0,1,0)</f>
        <v>0</v>
      </c>
      <c r="R19" s="4">
        <f>IF(COUNTIFS(Red!$G$5:$G$30,$C19,Red!$H$5:$H$30,R$3,Red!$K$5:$K$30,1)&gt;0,1,0)</f>
        <v>0</v>
      </c>
      <c r="S19" s="4">
        <f>IF(COUNTIFS(Red!$G$5:$G$30,$C19,Red!$H$5:$H$30,S$3,Red!$K$5:$K$30,1)&gt;0,1,0)</f>
        <v>0</v>
      </c>
      <c r="T19" s="4">
        <f>IF(COUNTIFS(Red!$G$5:$G$30,$C19,Red!$H$5:$H$30,T$3,Red!$K$5:$K$30,1)&gt;0,1,0)</f>
        <v>1</v>
      </c>
      <c r="U19" s="4">
        <f>IF(COUNTIFS(Red!$G$5:$G$30,$C19,Red!$H$5:$H$30,U$3,Red!$K$5:$K$30,1)&gt;0,1,0)</f>
        <v>0</v>
      </c>
      <c r="V19" s="6">
        <f>IF(COUNTIFS(Red!$G$5:$G$30,$C19,Red!$H$5:$H$30,V$3,Red!$K$5:$K$30,1)&gt;0,1,0)</f>
        <v>1</v>
      </c>
    </row>
    <row r="20" spans="2:22" ht="17.25" customHeight="1" x14ac:dyDescent="0.25">
      <c r="B20" s="14" t="str">
        <f>VLOOKUP(tblMatrizDeAdyacencia[[#This Row],[NodoOrigen \ NodoDestino]],tblNodos[],2,FALSE)</f>
        <v>Redistribuidor financiero</v>
      </c>
      <c r="C20" s="5" t="s">
        <v>151</v>
      </c>
      <c r="D20" s="4">
        <f>IF(COUNTIFS(Red!$G$5:$G$30,$C20,Red!$H$5:$H$30,D$3,Red!$K$5:$K$30,1)&gt;0,1,0)</f>
        <v>0</v>
      </c>
      <c r="E20" s="4">
        <f>IF(COUNTIFS(Red!$G$5:$G$30,$C20,Red!$H$5:$H$30,E$3,Red!$K$5:$K$30,1)&gt;0,1,0)</f>
        <v>0</v>
      </c>
      <c r="F20" s="4">
        <f>IF(COUNTIFS(Red!$G$5:$G$30,$C20,Red!$H$5:$H$30,F$3,Red!$K$5:$K$30,1)&gt;0,1,0)</f>
        <v>0</v>
      </c>
      <c r="G20" s="4">
        <f>IF(COUNTIFS(Red!$G$5:$G$30,$C20,Red!$H$5:$H$30,G$3,Red!$K$5:$K$30,1)&gt;0,1,0)</f>
        <v>0</v>
      </c>
      <c r="H20" s="4">
        <f>IF(COUNTIFS(Red!$G$5:$G$30,$C20,Red!$H$5:$H$30,H$3,Red!$K$5:$K$30,1)&gt;0,1,0)</f>
        <v>0</v>
      </c>
      <c r="I20" s="4">
        <f>IF(COUNTIFS(Red!$G$5:$G$30,$C20,Red!$H$5:$H$30,I$3,Red!$K$5:$K$30,1)&gt;0,1,0)</f>
        <v>0</v>
      </c>
      <c r="J20" s="4">
        <f>IF(COUNTIFS(Red!$G$5:$G$30,$C20,Red!$H$5:$H$30,J$3,Red!$K$5:$K$30,1)&gt;0,1,0)</f>
        <v>0</v>
      </c>
      <c r="K20" s="4">
        <f>IF(COUNTIFS(Red!$G$5:$G$30,$C20,Red!$H$5:$H$30,K$3,Red!$K$5:$K$30,1)&gt;0,1,0)</f>
        <v>0</v>
      </c>
      <c r="L20" s="4">
        <f>IF(COUNTIFS(Red!$G$5:$G$30,$C20,Red!$H$5:$H$30,L$3,Red!$K$5:$K$30,1)&gt;0,1,0)</f>
        <v>0</v>
      </c>
      <c r="M20" s="4">
        <f>IF(COUNTIFS(Red!$G$5:$G$30,$C20,Red!$H$5:$H$30,M$3,Red!$K$5:$K$30,1)&gt;0,1,0)</f>
        <v>0</v>
      </c>
      <c r="N20" s="4">
        <f>IF(COUNTIFS(Red!$G$5:$G$30,$C20,Red!$H$5:$H$30,N$3,Red!$K$5:$K$30,1)&gt;0,1,0)</f>
        <v>0</v>
      </c>
      <c r="O20" s="4">
        <f>IF(COUNTIFS(Red!$G$5:$G$30,$C20,Red!$H$5:$H$30,O$3,Red!$K$5:$K$30,1)&gt;0,1,0)</f>
        <v>0</v>
      </c>
      <c r="P20" s="4">
        <f>IF(COUNTIFS(Red!$G$5:$G$30,$C20,Red!$H$5:$H$30,P$3,Red!$K$5:$K$30,1)&gt;0,1,0)</f>
        <v>0</v>
      </c>
      <c r="Q20" s="4">
        <f>IF(COUNTIFS(Red!$G$5:$G$30,$C20,Red!$H$5:$H$30,Q$3,Red!$K$5:$K$30,1)&gt;0,1,0)</f>
        <v>0</v>
      </c>
      <c r="R20" s="4">
        <f>IF(COUNTIFS(Red!$G$5:$G$30,$C20,Red!$H$5:$H$30,R$3,Red!$K$5:$K$30,1)&gt;0,1,0)</f>
        <v>0</v>
      </c>
      <c r="S20" s="4">
        <f>IF(COUNTIFS(Red!$G$5:$G$30,$C20,Red!$H$5:$H$30,S$3,Red!$K$5:$K$30,1)&gt;0,1,0)</f>
        <v>0</v>
      </c>
      <c r="T20" s="4">
        <f>IF(COUNTIFS(Red!$G$5:$G$30,$C20,Red!$H$5:$H$30,T$3,Red!$K$5:$K$30,1)&gt;0,1,0)</f>
        <v>0</v>
      </c>
      <c r="U20" s="4">
        <f>IF(COUNTIFS(Red!$G$5:$G$30,$C20,Red!$H$5:$H$30,U$3,Red!$K$5:$K$30,1)&gt;0,1,0)</f>
        <v>1</v>
      </c>
      <c r="V20" s="6">
        <f>IF(COUNTIFS(Red!$G$5:$G$30,$C20,Red!$H$5:$H$30,V$3,Red!$K$5:$K$30,1)&gt;0,1,0)</f>
        <v>1</v>
      </c>
    </row>
    <row r="21" spans="2:22" ht="17.25" customHeight="1" x14ac:dyDescent="0.25">
      <c r="B21" s="14" t="str">
        <f>VLOOKUP(tblMatrizDeAdyacencia[[#This Row],[NodoOrigen \ NodoDestino]],tblNodos[],2,FALSE)</f>
        <v>Redistribuidor final</v>
      </c>
      <c r="C21" s="5" t="s">
        <v>153</v>
      </c>
      <c r="D21" s="4">
        <f>IF(COUNTIFS(Red!$G$5:$G$30,$C21,Red!$H$5:$H$30,D$3,Red!$K$5:$K$30,1)&gt;0,1,0)</f>
        <v>0</v>
      </c>
      <c r="E21" s="4">
        <f>IF(COUNTIFS(Red!$G$5:$G$30,$C21,Red!$H$5:$H$30,E$3,Red!$K$5:$K$30,1)&gt;0,1,0)</f>
        <v>0</v>
      </c>
      <c r="F21" s="4">
        <f>IF(COUNTIFS(Red!$G$5:$G$30,$C21,Red!$H$5:$H$30,F$3,Red!$K$5:$K$30,1)&gt;0,1,0)</f>
        <v>0</v>
      </c>
      <c r="G21" s="4">
        <f>IF(COUNTIFS(Red!$G$5:$G$30,$C21,Red!$H$5:$H$30,G$3,Red!$K$5:$K$30,1)&gt;0,1,0)</f>
        <v>0</v>
      </c>
      <c r="H21" s="4">
        <f>IF(COUNTIFS(Red!$G$5:$G$30,$C21,Red!$H$5:$H$30,H$3,Red!$K$5:$K$30,1)&gt;0,1,0)</f>
        <v>0</v>
      </c>
      <c r="I21" s="4">
        <f>IF(COUNTIFS(Red!$G$5:$G$30,$C21,Red!$H$5:$H$30,I$3,Red!$K$5:$K$30,1)&gt;0,1,0)</f>
        <v>0</v>
      </c>
      <c r="J21" s="4">
        <f>IF(COUNTIFS(Red!$G$5:$G$30,$C21,Red!$H$5:$H$30,J$3,Red!$K$5:$K$30,1)&gt;0,1,0)</f>
        <v>0</v>
      </c>
      <c r="K21" s="4">
        <f>IF(COUNTIFS(Red!$G$5:$G$30,$C21,Red!$H$5:$H$30,K$3,Red!$K$5:$K$30,1)&gt;0,1,0)</f>
        <v>0</v>
      </c>
      <c r="L21" s="4">
        <f>IF(COUNTIFS(Red!$G$5:$G$30,$C21,Red!$H$5:$H$30,L$3,Red!$K$5:$K$30,1)&gt;0,1,0)</f>
        <v>0</v>
      </c>
      <c r="M21" s="4">
        <f>IF(COUNTIFS(Red!$G$5:$G$30,$C21,Red!$H$5:$H$30,M$3,Red!$K$5:$K$30,1)&gt;0,1,0)</f>
        <v>0</v>
      </c>
      <c r="N21" s="4">
        <f>IF(COUNTIFS(Red!$G$5:$G$30,$C21,Red!$H$5:$H$30,N$3,Red!$K$5:$K$30,1)&gt;0,1,0)</f>
        <v>0</v>
      </c>
      <c r="O21" s="4">
        <f>IF(COUNTIFS(Red!$G$5:$G$30,$C21,Red!$H$5:$H$30,O$3,Red!$K$5:$K$30,1)&gt;0,1,0)</f>
        <v>0</v>
      </c>
      <c r="P21" s="4">
        <f>IF(COUNTIFS(Red!$G$5:$G$30,$C21,Red!$H$5:$H$30,P$3,Red!$K$5:$K$30,1)&gt;0,1,0)</f>
        <v>0</v>
      </c>
      <c r="Q21" s="4">
        <f>IF(COUNTIFS(Red!$G$5:$G$30,$C21,Red!$H$5:$H$30,Q$3,Red!$K$5:$K$30,1)&gt;0,1,0)</f>
        <v>0</v>
      </c>
      <c r="R21" s="4">
        <f>IF(COUNTIFS(Red!$G$5:$G$30,$C21,Red!$H$5:$H$30,R$3,Red!$K$5:$K$30,1)&gt;0,1,0)</f>
        <v>0</v>
      </c>
      <c r="S21" s="4">
        <f>IF(COUNTIFS(Red!$G$5:$G$30,$C21,Red!$H$5:$H$30,S$3,Red!$K$5:$K$30,1)&gt;0,1,0)</f>
        <v>0</v>
      </c>
      <c r="T21" s="4">
        <f>IF(COUNTIFS(Red!$G$5:$G$30,$C21,Red!$H$5:$H$30,T$3,Red!$K$5:$K$30,1)&gt;0,1,0)</f>
        <v>0</v>
      </c>
      <c r="U21" s="4">
        <f>IF(COUNTIFS(Red!$G$5:$G$30,$C21,Red!$H$5:$H$30,U$3,Red!$K$5:$K$30,1)&gt;0,1,0)</f>
        <v>0</v>
      </c>
      <c r="V21" s="6">
        <f>IF(COUNTIFS(Red!$G$5:$G$30,$C21,Red!$H$5:$H$30,V$3,Red!$K$5:$K$30,1)&gt;0,1,0)</f>
        <v>1</v>
      </c>
    </row>
    <row r="22" spans="2:22" ht="17.25" customHeight="1" x14ac:dyDescent="0.25">
      <c r="B22" s="15" t="str">
        <f>VLOOKUP(tblMatrizDeAdyacencia[[#This Row],[NodoOrigen \ NodoDestino]],tblNodos[],2,FALSE)</f>
        <v>Destino operativo final</v>
      </c>
      <c r="C22" s="10" t="s">
        <v>133</v>
      </c>
      <c r="D22" s="11">
        <f>IF(COUNTIFS(Red!$G$5:$G$30,$C22,Red!$H$5:$H$30,D$3,Red!$K$5:$K$30,1)&gt;0,1,0)</f>
        <v>0</v>
      </c>
      <c r="E22" s="11">
        <f>IF(COUNTIFS(Red!$G$5:$G$30,$C22,Red!$H$5:$H$30,E$3,Red!$K$5:$K$30,1)&gt;0,1,0)</f>
        <v>0</v>
      </c>
      <c r="F22" s="11">
        <f>IF(COUNTIFS(Red!$G$5:$G$30,$C22,Red!$H$5:$H$30,F$3,Red!$K$5:$K$30,1)&gt;0,1,0)</f>
        <v>0</v>
      </c>
      <c r="G22" s="11">
        <f>IF(COUNTIFS(Red!$G$5:$G$30,$C22,Red!$H$5:$H$30,G$3,Red!$K$5:$K$30,1)&gt;0,1,0)</f>
        <v>0</v>
      </c>
      <c r="H22" s="11">
        <f>IF(COUNTIFS(Red!$G$5:$G$30,$C22,Red!$H$5:$H$30,H$3,Red!$K$5:$K$30,1)&gt;0,1,0)</f>
        <v>0</v>
      </c>
      <c r="I22" s="11">
        <f>IF(COUNTIFS(Red!$G$5:$G$30,$C22,Red!$H$5:$H$30,I$3,Red!$K$5:$K$30,1)&gt;0,1,0)</f>
        <v>0</v>
      </c>
      <c r="J22" s="11">
        <f>IF(COUNTIFS(Red!$G$5:$G$30,$C22,Red!$H$5:$H$30,J$3,Red!$K$5:$K$30,1)&gt;0,1,0)</f>
        <v>0</v>
      </c>
      <c r="K22" s="11">
        <f>IF(COUNTIFS(Red!$G$5:$G$30,$C22,Red!$H$5:$H$30,K$3,Red!$K$5:$K$30,1)&gt;0,1,0)</f>
        <v>0</v>
      </c>
      <c r="L22" s="11">
        <f>IF(COUNTIFS(Red!$G$5:$G$30,$C22,Red!$H$5:$H$30,L$3,Red!$K$5:$K$30,1)&gt;0,1,0)</f>
        <v>0</v>
      </c>
      <c r="M22" s="11">
        <f>IF(COUNTIFS(Red!$G$5:$G$30,$C22,Red!$H$5:$H$30,M$3,Red!$K$5:$K$30,1)&gt;0,1,0)</f>
        <v>0</v>
      </c>
      <c r="N22" s="11">
        <f>IF(COUNTIFS(Red!$G$5:$G$30,$C22,Red!$H$5:$H$30,N$3,Red!$K$5:$K$30,1)&gt;0,1,0)</f>
        <v>0</v>
      </c>
      <c r="O22" s="11">
        <f>IF(COUNTIFS(Red!$G$5:$G$30,$C22,Red!$H$5:$H$30,O$3,Red!$K$5:$K$30,1)&gt;0,1,0)</f>
        <v>0</v>
      </c>
      <c r="P22" s="11">
        <f>IF(COUNTIFS(Red!$G$5:$G$30,$C22,Red!$H$5:$H$30,P$3,Red!$K$5:$K$30,1)&gt;0,1,0)</f>
        <v>0</v>
      </c>
      <c r="Q22" s="11">
        <f>IF(COUNTIFS(Red!$G$5:$G$30,$C22,Red!$H$5:$H$30,Q$3,Red!$K$5:$K$30,1)&gt;0,1,0)</f>
        <v>0</v>
      </c>
      <c r="R22" s="11">
        <f>IF(COUNTIFS(Red!$G$5:$G$30,$C22,Red!$H$5:$H$30,R$3,Red!$K$5:$K$30,1)&gt;0,1,0)</f>
        <v>0</v>
      </c>
      <c r="S22" s="11">
        <f>IF(COUNTIFS(Red!$G$5:$G$30,$C22,Red!$H$5:$H$30,S$3,Red!$K$5:$K$30,1)&gt;0,1,0)</f>
        <v>0</v>
      </c>
      <c r="T22" s="11">
        <f>IF(COUNTIFS(Red!$G$5:$G$30,$C22,Red!$H$5:$H$30,T$3,Red!$K$5:$K$30,1)&gt;0,1,0)</f>
        <v>0</v>
      </c>
      <c r="U22" s="11">
        <f>IF(COUNTIFS(Red!$G$5:$G$30,$C22,Red!$H$5:$H$30,U$3,Red!$K$5:$K$30,1)&gt;0,1,0)</f>
        <v>0</v>
      </c>
      <c r="V22" s="12">
        <f>IF(COUNTIFS(Red!$G$5:$G$30,$C22,Red!$H$5:$H$30,V$3,Red!$K$5:$K$30,1)&gt;0,1,0)</f>
        <v>0</v>
      </c>
    </row>
    <row r="25" spans="2:22" ht="17.25" customHeight="1" x14ac:dyDescent="0.25">
      <c r="B25" s="88" t="s">
        <v>84</v>
      </c>
      <c r="C25" s="89"/>
      <c r="D25" s="89"/>
      <c r="E25" s="89"/>
      <c r="F25" s="89"/>
      <c r="G25" s="89"/>
      <c r="H25" s="89"/>
      <c r="I25" s="89"/>
      <c r="J25" s="89"/>
      <c r="K25" s="89"/>
      <c r="L25" s="89"/>
      <c r="M25" s="89"/>
      <c r="N25" s="89"/>
      <c r="O25" s="89"/>
      <c r="P25" s="89"/>
      <c r="Q25" s="89"/>
      <c r="R25" s="89"/>
      <c r="S25" s="89"/>
      <c r="T25" s="89"/>
      <c r="U25" s="89"/>
    </row>
    <row r="26" spans="2:22" ht="17.25" customHeight="1" x14ac:dyDescent="0.25">
      <c r="B26" s="88" t="s">
        <v>85</v>
      </c>
      <c r="C26" s="89"/>
      <c r="D26" s="89"/>
      <c r="E26" s="89"/>
      <c r="F26" s="89"/>
      <c r="G26" s="89"/>
      <c r="H26" s="89"/>
      <c r="I26" s="89"/>
      <c r="J26" s="89"/>
      <c r="K26" s="89"/>
      <c r="L26" s="89"/>
      <c r="M26" s="89"/>
      <c r="N26" s="89"/>
      <c r="O26" s="89"/>
      <c r="P26" s="89"/>
      <c r="Q26" s="89"/>
      <c r="R26" s="89"/>
      <c r="S26" s="89"/>
      <c r="T26" s="89"/>
      <c r="U26" s="89"/>
    </row>
  </sheetData>
  <mergeCells count="3">
    <mergeCell ref="B26:U26"/>
    <mergeCell ref="B25:U25"/>
    <mergeCell ref="B2:C2"/>
  </mergeCells>
  <conditionalFormatting sqref="D4:V22">
    <cfRule type="cellIs" dxfId="9" priority="1" operator="equal">
      <formula>0</formula>
    </cfRule>
    <cfRule type="cellIs" dxfId="8" priority="2" operator="equal">
      <formula>1</formula>
    </cfRule>
  </conditionalFormatting>
  <pageMargins left="0.75" right="0.75" top="1" bottom="1" header="0.5" footer="0.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469CB-FAED-44D8-93CE-1992743709F4}">
  <dimension ref="B2:AA22"/>
  <sheetViews>
    <sheetView showGridLines="0" zoomScaleNormal="100" workbookViewId="0">
      <selection activeCell="J4" sqref="J4"/>
    </sheetView>
  </sheetViews>
  <sheetFormatPr baseColWidth="10" defaultColWidth="9.140625" defaultRowHeight="17.25" customHeight="1" x14ac:dyDescent="0.25"/>
  <cols>
    <col min="1" max="1" width="9.140625" style="3" customWidth="1"/>
    <col min="2" max="2" width="32.140625" style="3" customWidth="1"/>
    <col min="3" max="3" width="12" style="3" customWidth="1"/>
    <col min="4" max="4" width="6.7109375" style="3" customWidth="1"/>
    <col min="5" max="22" width="5.140625" style="3" customWidth="1"/>
    <col min="23" max="24" width="9.140625" style="3" customWidth="1"/>
    <col min="25" max="25" width="29.42578125" style="3" customWidth="1"/>
    <col min="26" max="26" width="12.7109375" style="3" customWidth="1"/>
    <col min="27" max="27" width="7.7109375" style="3" customWidth="1"/>
    <col min="28" max="16384" width="9.140625" style="3"/>
  </cols>
  <sheetData>
    <row r="2" spans="2:27" s="14" customFormat="1" ht="86.25" customHeight="1" x14ac:dyDescent="0.25">
      <c r="B2" s="75" t="s">
        <v>93</v>
      </c>
      <c r="C2" s="76"/>
      <c r="D2" s="24" t="str">
        <f>VLOOKUP(tblMatrizDeAdyacencia[[#Headers],[O1]],tblNodos[],2,FALSE)</f>
        <v>Extorsión local</v>
      </c>
      <c r="E2" s="24" t="str">
        <f>VLOOKUP(tblMatrizDeAdyacencia[[#Headers],[O2]],tblNodos[],2,FALSE)</f>
        <v>Tráfico ilícito</v>
      </c>
      <c r="F2" s="24" t="str">
        <f>VLOOKUP(tblMatrizDeAdyacencia[[#Headers],[O3]],tblNodos[],2,FALSE)</f>
        <v>Donaciones externas</v>
      </c>
      <c r="G2" s="24" t="str">
        <f>VLOOKUP(tblMatrizDeAdyacencia[[#Headers],[O4]],tblNodos[],2,FALSE)</f>
        <v>Actividad comercial</v>
      </c>
      <c r="H2" s="24" t="str">
        <f>VLOOKUP(tblMatrizDeAdyacencia[[#Headers],[O5]],tblNodos[],2,FALSE)</f>
        <v>Criminalidad menor</v>
      </c>
      <c r="I2" s="24" t="str">
        <f>VLOOKUP(tblMatrizDeAdyacencia[[#Headers],[O6]],tblNodos[],2,FALSE)</f>
        <v>Aportaciones individuales</v>
      </c>
      <c r="J2" s="24" t="str">
        <f>VLOOKUP(tblMatrizDeAdyacencia[[#Headers],[C1]],tblNodos[],2,FALSE)</f>
        <v>Colector local principal</v>
      </c>
      <c r="K2" s="24" t="str">
        <f>VLOOKUP(tblMatrizDeAdyacencia[[#Headers],[C2]],tblNodos[],2,FALSE)</f>
        <v>Colector local secundario</v>
      </c>
      <c r="L2" s="24" t="str">
        <f>VLOOKUP(tblMatrizDeAdyacencia[[#Headers],[C3]],tblNodos[],2,FALSE)</f>
        <v>Colector regional</v>
      </c>
      <c r="M2" s="24" t="str">
        <f>VLOOKUP(tblMatrizDeAdyacencia[[#Headers],[R1]],tblNodos[],2,FALSE)</f>
        <v>Redistribuidor zona tránsito 1</v>
      </c>
      <c r="N2" s="24" t="str">
        <f>VLOOKUP(tblMatrizDeAdyacencia[[#Headers],[R2]],tblNodos[],2,FALSE)</f>
        <v>Redistribuidor zona tránsito 2</v>
      </c>
      <c r="O2" s="24" t="str">
        <f>VLOOKUP(tblMatrizDeAdyacencia[[#Headers],[R3]],tblNodos[],2,FALSE)</f>
        <v>Redistribuidor principal</v>
      </c>
      <c r="P2" s="24" t="str">
        <f>VLOOKUP(tblMatrizDeAdyacencia[[#Headers],[R4]],tblNodos[],2,FALSE)</f>
        <v>Redistribuidor secundario 1</v>
      </c>
      <c r="Q2" s="24" t="str">
        <f>VLOOKUP(tblMatrizDeAdyacencia[[#Headers],[R5]],tblNodos[],2,FALSE)</f>
        <v>Redistribuidor secundario 2</v>
      </c>
      <c r="R2" s="24" t="str">
        <f>VLOOKUP(tblMatrizDeAdyacencia[[#Headers],[R6]],tblNodos[],2,FALSE)</f>
        <v>Redistribuidor intermedio</v>
      </c>
      <c r="S2" s="24" t="str">
        <f>VLOOKUP(tblMatrizDeAdyacencia[[#Headers],[R7]],tblNodos[],2,FALSE)</f>
        <v>Redistribuidor logístico</v>
      </c>
      <c r="T2" s="24" t="str">
        <f>VLOOKUP(tblMatrizDeAdyacencia[[#Headers],[R8]],tblNodos[],2,FALSE)</f>
        <v>Redistribuidor financiero</v>
      </c>
      <c r="U2" s="24" t="str">
        <f>VLOOKUP(tblMatrizDeAdyacencia[[#Headers],[R9]],tblNodos[],2,FALSE)</f>
        <v>Redistribuidor final</v>
      </c>
      <c r="V2" s="24" t="str">
        <f>VLOOKUP(tblMatrizDeAdyacencia[[#Headers],[D1]],tblNodos[],2,FALSE)</f>
        <v>Destino operativo final</v>
      </c>
      <c r="W2" s="23"/>
    </row>
    <row r="3" spans="2:27" ht="33" customHeight="1" x14ac:dyDescent="0.25">
      <c r="B3" s="7" t="s">
        <v>82</v>
      </c>
      <c r="C3" s="54" t="s">
        <v>83</v>
      </c>
      <c r="D3" s="5" t="s">
        <v>22</v>
      </c>
      <c r="E3" s="5" t="s">
        <v>30</v>
      </c>
      <c r="F3" s="5" t="s">
        <v>34</v>
      </c>
      <c r="G3" s="5" t="s">
        <v>39</v>
      </c>
      <c r="H3" s="5" t="s">
        <v>43</v>
      </c>
      <c r="I3" s="5" t="s">
        <v>46</v>
      </c>
      <c r="J3" s="5" t="s">
        <v>126</v>
      </c>
      <c r="K3" s="5" t="s">
        <v>128</v>
      </c>
      <c r="L3" s="5" t="s">
        <v>141</v>
      </c>
      <c r="M3" s="5" t="s">
        <v>129</v>
      </c>
      <c r="N3" s="5" t="s">
        <v>130</v>
      </c>
      <c r="O3" s="5" t="s">
        <v>132</v>
      </c>
      <c r="P3" s="5" t="s">
        <v>145</v>
      </c>
      <c r="Q3" s="5" t="s">
        <v>147</v>
      </c>
      <c r="R3" s="5" t="s">
        <v>149</v>
      </c>
      <c r="S3" s="5" t="s">
        <v>150</v>
      </c>
      <c r="T3" s="5" t="s">
        <v>151</v>
      </c>
      <c r="U3" s="5" t="s">
        <v>153</v>
      </c>
      <c r="V3" s="10" t="s">
        <v>133</v>
      </c>
      <c r="Y3" s="73" t="s">
        <v>95</v>
      </c>
      <c r="Z3" s="74"/>
    </row>
    <row r="4" spans="2:27" ht="17.25" customHeight="1" x14ac:dyDescent="0.25">
      <c r="B4" s="13" t="str">
        <f>VLOOKUP(tblMatrizDeAdyacencia[[#This Row],[NodoOrigen \ NodoDestino]],tblNodos[],2,FALSE)</f>
        <v>Extorsión local</v>
      </c>
      <c r="C4" s="5" t="s">
        <v>22</v>
      </c>
      <c r="D4" s="35">
        <f>IF(MatrizDeAdyacencia!D4=1,SUMIFS(tblEnlaces[Coste (peso)],tblEnlaces[Nodo Origen],$C4,tblEnlaces[Nodo Destino],D$3,tblEnlaces[Activo],1),0)</f>
        <v>0</v>
      </c>
      <c r="E4" s="35">
        <f>IF(MatrizDeAdyacencia!E4=1,SUMIFS(tblEnlaces[Coste (peso)],tblEnlaces[Nodo Origen],$C4,tblEnlaces[Nodo Destino],E$3,tblEnlaces[Activo],1),0)</f>
        <v>0</v>
      </c>
      <c r="F4" s="35">
        <f>IF(MatrizDeAdyacencia!F4=1,SUMIFS(tblEnlaces[Coste (peso)],tblEnlaces[Nodo Origen],$C4,tblEnlaces[Nodo Destino],F$3,tblEnlaces[Activo],1),0)</f>
        <v>0</v>
      </c>
      <c r="G4" s="35">
        <f>IF(MatrizDeAdyacencia!G4=1,SUMIFS(tblEnlaces[Coste (peso)],tblEnlaces[Nodo Origen],$C4,tblEnlaces[Nodo Destino],G$3,tblEnlaces[Activo],1),0)</f>
        <v>0</v>
      </c>
      <c r="H4" s="35">
        <f>IF(MatrizDeAdyacencia!H4=1,SUMIFS(tblEnlaces[Coste (peso)],tblEnlaces[Nodo Origen],$C4,tblEnlaces[Nodo Destino],H$3,tblEnlaces[Activo],1),0)</f>
        <v>0</v>
      </c>
      <c r="I4" s="35">
        <f>IF(MatrizDeAdyacencia!I4=1,SUMIFS(tblEnlaces[Coste (peso)],tblEnlaces[Nodo Origen],$C4,tblEnlaces[Nodo Destino],I$3,tblEnlaces[Activo],1),0)</f>
        <v>0</v>
      </c>
      <c r="J4" s="35">
        <f>IF(MatrizDeAdyacencia!J4=1,SUMIFS(tblEnlaces[Coste (peso)],tblEnlaces[Nodo Origen],$C4,tblEnlaces[Nodo Destino],J$3,tblEnlaces[Activo],1),0)</f>
        <v>5</v>
      </c>
      <c r="K4" s="35">
        <f>IF(MatrizDeAdyacencia!K4=1,SUMIFS(tblEnlaces[Coste (peso)],tblEnlaces[Nodo Origen],$C4,tblEnlaces[Nodo Destino],K$3,tblEnlaces[Activo],1),0)</f>
        <v>0</v>
      </c>
      <c r="L4" s="35">
        <f>IF(MatrizDeAdyacencia!L4=1,SUMIFS(tblEnlaces[Coste (peso)],tblEnlaces[Nodo Origen],$C4,tblEnlaces[Nodo Destino],L$3,tblEnlaces[Activo],1),0)</f>
        <v>0</v>
      </c>
      <c r="M4" s="35">
        <f>IF(MatrizDeAdyacencia!M4=1,SUMIFS(tblEnlaces[Coste (peso)],tblEnlaces[Nodo Origen],$C4,tblEnlaces[Nodo Destino],M$3,tblEnlaces[Activo],1),0)</f>
        <v>0</v>
      </c>
      <c r="N4" s="35">
        <f>IF(MatrizDeAdyacencia!N4=1,SUMIFS(tblEnlaces[Coste (peso)],tblEnlaces[Nodo Origen],$C4,tblEnlaces[Nodo Destino],N$3,tblEnlaces[Activo],1),0)</f>
        <v>0</v>
      </c>
      <c r="O4" s="35">
        <f>IF(MatrizDeAdyacencia!O4=1,SUMIFS(tblEnlaces[Coste (peso)],tblEnlaces[Nodo Origen],$C4,tblEnlaces[Nodo Destino],O$3,tblEnlaces[Activo],1),0)</f>
        <v>0</v>
      </c>
      <c r="P4" s="35">
        <f>IF(MatrizDeAdyacencia!P4=1,SUMIFS(tblEnlaces[Coste (peso)],tblEnlaces[Nodo Origen],$C4,tblEnlaces[Nodo Destino],P$3,tblEnlaces[Activo],1),0)</f>
        <v>0</v>
      </c>
      <c r="Q4" s="35">
        <f>IF(MatrizDeAdyacencia!Q4=1,SUMIFS(tblEnlaces[Coste (peso)],tblEnlaces[Nodo Origen],$C4,tblEnlaces[Nodo Destino],Q$3,tblEnlaces[Activo],1),0)</f>
        <v>0</v>
      </c>
      <c r="R4" s="35">
        <f>IF(MatrizDeAdyacencia!R4=1,SUMIFS(tblEnlaces[Coste (peso)],tblEnlaces[Nodo Origen],$C4,tblEnlaces[Nodo Destino],R$3,tblEnlaces[Activo],1),0)</f>
        <v>0</v>
      </c>
      <c r="S4" s="35">
        <f>IF(MatrizDeAdyacencia!S4=1,SUMIFS(tblEnlaces[Coste (peso)],tblEnlaces[Nodo Origen],$C4,tblEnlaces[Nodo Destino],S$3,tblEnlaces[Activo],1),0)</f>
        <v>0</v>
      </c>
      <c r="T4" s="35">
        <f>IF(MatrizDeAdyacencia!T4=1,SUMIFS(tblEnlaces[Coste (peso)],tblEnlaces[Nodo Origen],$C4,tblEnlaces[Nodo Destino],T$3,tblEnlaces[Activo],1),0)</f>
        <v>0</v>
      </c>
      <c r="U4" s="35">
        <f>IF(MatrizDeAdyacencia!U4=1,SUMIFS(tblEnlaces[Coste (peso)],tblEnlaces[Nodo Origen],$C4,tblEnlaces[Nodo Destino],U$3,tblEnlaces[Activo],1),0)</f>
        <v>0</v>
      </c>
      <c r="V4" s="36">
        <f>IF(MatrizDeAdyacencia!V4=1,SUMIFS(tblEnlaces[Coste (peso)],tblEnlaces[Nodo Origen],$C4,tblEnlaces[Nodo Destino],V$3,tblEnlaces[Activo],1),0)</f>
        <v>0</v>
      </c>
      <c r="Y4" s="27" t="s">
        <v>87</v>
      </c>
      <c r="Z4" s="27" t="s">
        <v>15</v>
      </c>
    </row>
    <row r="5" spans="2:27" ht="17.25" customHeight="1" x14ac:dyDescent="0.25">
      <c r="B5" s="14" t="str">
        <f>VLOOKUP(tblMatrizDeAdyacencia[[#This Row],[NodoOrigen \ NodoDestino]],tblNodos[],2,FALSE)</f>
        <v>Tráfico ilícito</v>
      </c>
      <c r="C5" s="5" t="s">
        <v>30</v>
      </c>
      <c r="D5" s="35">
        <f>IF(MatrizDeAdyacencia!D5=1,SUMIFS(tblEnlaces[Coste (peso)],tblEnlaces[Nodo Origen],$C5,tblEnlaces[Nodo Destino],D$3,tblEnlaces[Activo],1),0)</f>
        <v>0</v>
      </c>
      <c r="E5" s="35">
        <f>IF(MatrizDeAdyacencia!E5=1,SUMIFS(tblEnlaces[Coste (peso)],tblEnlaces[Nodo Origen],$C5,tblEnlaces[Nodo Destino],E$3,tblEnlaces[Activo],1),0)</f>
        <v>0</v>
      </c>
      <c r="F5" s="35">
        <f>IF(MatrizDeAdyacencia!F5=1,SUMIFS(tblEnlaces[Coste (peso)],tblEnlaces[Nodo Origen],$C5,tblEnlaces[Nodo Destino],F$3,tblEnlaces[Activo],1),0)</f>
        <v>0</v>
      </c>
      <c r="G5" s="35">
        <f>IF(MatrizDeAdyacencia!G5=1,SUMIFS(tblEnlaces[Coste (peso)],tblEnlaces[Nodo Origen],$C5,tblEnlaces[Nodo Destino],G$3,tblEnlaces[Activo],1),0)</f>
        <v>0</v>
      </c>
      <c r="H5" s="35">
        <f>IF(MatrizDeAdyacencia!H5=1,SUMIFS(tblEnlaces[Coste (peso)],tblEnlaces[Nodo Origen],$C5,tblEnlaces[Nodo Destino],H$3,tblEnlaces[Activo],1),0)</f>
        <v>0</v>
      </c>
      <c r="I5" s="35">
        <f>IF(MatrizDeAdyacencia!I5=1,SUMIFS(tblEnlaces[Coste (peso)],tblEnlaces[Nodo Origen],$C5,tblEnlaces[Nodo Destino],I$3,tblEnlaces[Activo],1),0)</f>
        <v>0</v>
      </c>
      <c r="J5" s="35">
        <f>IF(MatrizDeAdyacencia!J5=1,SUMIFS(tblEnlaces[Coste (peso)],tblEnlaces[Nodo Origen],$C5,tblEnlaces[Nodo Destino],J$3,tblEnlaces[Activo],1),0)</f>
        <v>5</v>
      </c>
      <c r="K5" s="35">
        <f>IF(MatrizDeAdyacencia!K5=1,SUMIFS(tblEnlaces[Coste (peso)],tblEnlaces[Nodo Origen],$C5,tblEnlaces[Nodo Destino],K$3,tblEnlaces[Activo],1),0)</f>
        <v>0</v>
      </c>
      <c r="L5" s="35">
        <f>IF(MatrizDeAdyacencia!L5=1,SUMIFS(tblEnlaces[Coste (peso)],tblEnlaces[Nodo Origen],$C5,tblEnlaces[Nodo Destino],L$3,tblEnlaces[Activo],1),0)</f>
        <v>0</v>
      </c>
      <c r="M5" s="35">
        <f>IF(MatrizDeAdyacencia!M5=1,SUMIFS(tblEnlaces[Coste (peso)],tblEnlaces[Nodo Origen],$C5,tblEnlaces[Nodo Destino],M$3,tblEnlaces[Activo],1),0)</f>
        <v>0</v>
      </c>
      <c r="N5" s="35">
        <f>IF(MatrizDeAdyacencia!N5=1,SUMIFS(tblEnlaces[Coste (peso)],tblEnlaces[Nodo Origen],$C5,tblEnlaces[Nodo Destino],N$3,tblEnlaces[Activo],1),0)</f>
        <v>0</v>
      </c>
      <c r="O5" s="35">
        <f>IF(MatrizDeAdyacencia!O5=1,SUMIFS(tblEnlaces[Coste (peso)],tblEnlaces[Nodo Origen],$C5,tblEnlaces[Nodo Destino],O$3,tblEnlaces[Activo],1),0)</f>
        <v>0</v>
      </c>
      <c r="P5" s="35">
        <f>IF(MatrizDeAdyacencia!P5=1,SUMIFS(tblEnlaces[Coste (peso)],tblEnlaces[Nodo Origen],$C5,tblEnlaces[Nodo Destino],P$3,tblEnlaces[Activo],1),0)</f>
        <v>0</v>
      </c>
      <c r="Q5" s="35">
        <f>IF(MatrizDeAdyacencia!Q5=1,SUMIFS(tblEnlaces[Coste (peso)],tblEnlaces[Nodo Origen],$C5,tblEnlaces[Nodo Destino],Q$3,tblEnlaces[Activo],1),0)</f>
        <v>0</v>
      </c>
      <c r="R5" s="35">
        <f>IF(MatrizDeAdyacencia!R5=1,SUMIFS(tblEnlaces[Coste (peso)],tblEnlaces[Nodo Origen],$C5,tblEnlaces[Nodo Destino],R$3,tblEnlaces[Activo],1),0)</f>
        <v>0</v>
      </c>
      <c r="S5" s="35">
        <f>IF(MatrizDeAdyacencia!S5=1,SUMIFS(tblEnlaces[Coste (peso)],tblEnlaces[Nodo Origen],$C5,tblEnlaces[Nodo Destino],S$3,tblEnlaces[Activo],1),0)</f>
        <v>0</v>
      </c>
      <c r="T5" s="35">
        <f>IF(MatrizDeAdyacencia!T5=1,SUMIFS(tblEnlaces[Coste (peso)],tblEnlaces[Nodo Origen],$C5,tblEnlaces[Nodo Destino],T$3,tblEnlaces[Activo],1),0)</f>
        <v>0</v>
      </c>
      <c r="U5" s="35">
        <f>IF(MatrizDeAdyacencia!U5=1,SUMIFS(tblEnlaces[Coste (peso)],tblEnlaces[Nodo Origen],$C5,tblEnlaces[Nodo Destino],U$3,tblEnlaces[Activo],1),0)</f>
        <v>0</v>
      </c>
      <c r="V5" s="36">
        <f>IF(MatrizDeAdyacencia!V5=1,SUMIFS(tblEnlaces[Coste (peso)],tblEnlaces[Nodo Origen],$C5,tblEnlaces[Nodo Destino],V$3,tblEnlaces[Activo],1),0)</f>
        <v>0</v>
      </c>
      <c r="Y5" s="28" t="s">
        <v>27</v>
      </c>
      <c r="Z5" s="34">
        <v>5</v>
      </c>
    </row>
    <row r="6" spans="2:27" ht="17.25" customHeight="1" x14ac:dyDescent="0.25">
      <c r="B6" s="14" t="str">
        <f>VLOOKUP(tblMatrizDeAdyacencia[[#This Row],[NodoOrigen \ NodoDestino]],tblNodos[],2,FALSE)</f>
        <v>Donaciones externas</v>
      </c>
      <c r="C6" s="5" t="s">
        <v>34</v>
      </c>
      <c r="D6" s="35">
        <f>IF(MatrizDeAdyacencia!D6=1,SUMIFS(tblEnlaces[Coste (peso)],tblEnlaces[Nodo Origen],$C6,tblEnlaces[Nodo Destino],D$3,tblEnlaces[Activo],1),0)</f>
        <v>0</v>
      </c>
      <c r="E6" s="35">
        <f>IF(MatrizDeAdyacencia!E6=1,SUMIFS(tblEnlaces[Coste (peso)],tblEnlaces[Nodo Origen],$C6,tblEnlaces[Nodo Destino],E$3,tblEnlaces[Activo],1),0)</f>
        <v>0</v>
      </c>
      <c r="F6" s="35">
        <f>IF(MatrizDeAdyacencia!F6=1,SUMIFS(tblEnlaces[Coste (peso)],tblEnlaces[Nodo Origen],$C6,tblEnlaces[Nodo Destino],F$3,tblEnlaces[Activo],1),0)</f>
        <v>0</v>
      </c>
      <c r="G6" s="35">
        <f>IF(MatrizDeAdyacencia!G6=1,SUMIFS(tblEnlaces[Coste (peso)],tblEnlaces[Nodo Origen],$C6,tblEnlaces[Nodo Destino],G$3,tblEnlaces[Activo],1),0)</f>
        <v>0</v>
      </c>
      <c r="H6" s="35">
        <f>IF(MatrizDeAdyacencia!H6=1,SUMIFS(tblEnlaces[Coste (peso)],tblEnlaces[Nodo Origen],$C6,tblEnlaces[Nodo Destino],H$3,tblEnlaces[Activo],1),0)</f>
        <v>0</v>
      </c>
      <c r="I6" s="35">
        <f>IF(MatrizDeAdyacencia!I6=1,SUMIFS(tblEnlaces[Coste (peso)],tblEnlaces[Nodo Origen],$C6,tblEnlaces[Nodo Destino],I$3,tblEnlaces[Activo],1),0)</f>
        <v>0</v>
      </c>
      <c r="J6" s="35">
        <f>IF(MatrizDeAdyacencia!J6=1,SUMIFS(tblEnlaces[Coste (peso)],tblEnlaces[Nodo Origen],$C6,tblEnlaces[Nodo Destino],J$3,tblEnlaces[Activo],1),0)</f>
        <v>0</v>
      </c>
      <c r="K6" s="35">
        <f>IF(MatrizDeAdyacencia!K6=1,SUMIFS(tblEnlaces[Coste (peso)],tblEnlaces[Nodo Origen],$C6,tblEnlaces[Nodo Destino],K$3,tblEnlaces[Activo],1),0)</f>
        <v>3</v>
      </c>
      <c r="L6" s="35">
        <f>IF(MatrizDeAdyacencia!L6=1,SUMIFS(tblEnlaces[Coste (peso)],tblEnlaces[Nodo Origen],$C6,tblEnlaces[Nodo Destino],L$3,tblEnlaces[Activo],1),0)</f>
        <v>0</v>
      </c>
      <c r="M6" s="35">
        <f>IF(MatrizDeAdyacencia!M6=1,SUMIFS(tblEnlaces[Coste (peso)],tblEnlaces[Nodo Origen],$C6,tblEnlaces[Nodo Destino],M$3,tblEnlaces[Activo],1),0)</f>
        <v>0</v>
      </c>
      <c r="N6" s="35">
        <f>IF(MatrizDeAdyacencia!N6=1,SUMIFS(tblEnlaces[Coste (peso)],tblEnlaces[Nodo Origen],$C6,tblEnlaces[Nodo Destino],N$3,tblEnlaces[Activo],1),0)</f>
        <v>0</v>
      </c>
      <c r="O6" s="35">
        <f>IF(MatrizDeAdyacencia!O6=1,SUMIFS(tblEnlaces[Coste (peso)],tblEnlaces[Nodo Origen],$C6,tblEnlaces[Nodo Destino],O$3,tblEnlaces[Activo],1),0)</f>
        <v>0</v>
      </c>
      <c r="P6" s="35">
        <f>IF(MatrizDeAdyacencia!P6=1,SUMIFS(tblEnlaces[Coste (peso)],tblEnlaces[Nodo Origen],$C6,tblEnlaces[Nodo Destino],P$3,tblEnlaces[Activo],1),0)</f>
        <v>0</v>
      </c>
      <c r="Q6" s="35">
        <f>IF(MatrizDeAdyacencia!Q6=1,SUMIFS(tblEnlaces[Coste (peso)],tblEnlaces[Nodo Origen],$C6,tblEnlaces[Nodo Destino],Q$3,tblEnlaces[Activo],1),0)</f>
        <v>0</v>
      </c>
      <c r="R6" s="35">
        <f>IF(MatrizDeAdyacencia!R6=1,SUMIFS(tblEnlaces[Coste (peso)],tblEnlaces[Nodo Origen],$C6,tblEnlaces[Nodo Destino],R$3,tblEnlaces[Activo],1),0)</f>
        <v>0</v>
      </c>
      <c r="S6" s="35">
        <f>IF(MatrizDeAdyacencia!S6=1,SUMIFS(tblEnlaces[Coste (peso)],tblEnlaces[Nodo Origen],$C6,tblEnlaces[Nodo Destino],S$3,tblEnlaces[Activo],1),0)</f>
        <v>0</v>
      </c>
      <c r="T6" s="35">
        <f>IF(MatrizDeAdyacencia!T6=1,SUMIFS(tblEnlaces[Coste (peso)],tblEnlaces[Nodo Origen],$C6,tblEnlaces[Nodo Destino],T$3,tblEnlaces[Activo],1),0)</f>
        <v>0</v>
      </c>
      <c r="U6" s="35">
        <f>IF(MatrizDeAdyacencia!U6=1,SUMIFS(tblEnlaces[Coste (peso)],tblEnlaces[Nodo Origen],$C6,tblEnlaces[Nodo Destino],U$3,tblEnlaces[Activo],1),0)</f>
        <v>0</v>
      </c>
      <c r="V6" s="36">
        <f>IF(MatrizDeAdyacencia!V6=1,SUMIFS(tblEnlaces[Coste (peso)],tblEnlaces[Nodo Origen],$C6,tblEnlaces[Nodo Destino],V$3,tblEnlaces[Activo],1),0)</f>
        <v>0</v>
      </c>
      <c r="Y6" s="28" t="s">
        <v>42</v>
      </c>
      <c r="Z6" s="34">
        <v>4</v>
      </c>
    </row>
    <row r="7" spans="2:27" ht="17.25" customHeight="1" x14ac:dyDescent="0.25">
      <c r="B7" s="14" t="str">
        <f>VLOOKUP(tblMatrizDeAdyacencia[[#This Row],[NodoOrigen \ NodoDestino]],tblNodos[],2,FALSE)</f>
        <v>Actividad comercial</v>
      </c>
      <c r="C7" s="5" t="s">
        <v>39</v>
      </c>
      <c r="D7" s="35">
        <f>IF(MatrizDeAdyacencia!D7=1,SUMIFS(tblEnlaces[Coste (peso)],tblEnlaces[Nodo Origen],$C7,tblEnlaces[Nodo Destino],D$3,tblEnlaces[Activo],1),0)</f>
        <v>0</v>
      </c>
      <c r="E7" s="35">
        <f>IF(MatrizDeAdyacencia!E7=1,SUMIFS(tblEnlaces[Coste (peso)],tblEnlaces[Nodo Origen],$C7,tblEnlaces[Nodo Destino],E$3,tblEnlaces[Activo],1),0)</f>
        <v>0</v>
      </c>
      <c r="F7" s="35">
        <f>IF(MatrizDeAdyacencia!F7=1,SUMIFS(tblEnlaces[Coste (peso)],tblEnlaces[Nodo Origen],$C7,tblEnlaces[Nodo Destino],F$3,tblEnlaces[Activo],1),0)</f>
        <v>0</v>
      </c>
      <c r="G7" s="35">
        <f>IF(MatrizDeAdyacencia!G7=1,SUMIFS(tblEnlaces[Coste (peso)],tblEnlaces[Nodo Origen],$C7,tblEnlaces[Nodo Destino],G$3,tblEnlaces[Activo],1),0)</f>
        <v>0</v>
      </c>
      <c r="H7" s="35">
        <f>IF(MatrizDeAdyacencia!H7=1,SUMIFS(tblEnlaces[Coste (peso)],tblEnlaces[Nodo Origen],$C7,tblEnlaces[Nodo Destino],H$3,tblEnlaces[Activo],1),0)</f>
        <v>0</v>
      </c>
      <c r="I7" s="35">
        <f>IF(MatrizDeAdyacencia!I7=1,SUMIFS(tblEnlaces[Coste (peso)],tblEnlaces[Nodo Origen],$C7,tblEnlaces[Nodo Destino],I$3,tblEnlaces[Activo],1),0)</f>
        <v>0</v>
      </c>
      <c r="J7" s="35">
        <f>IF(MatrizDeAdyacencia!J7=1,SUMIFS(tblEnlaces[Coste (peso)],tblEnlaces[Nodo Origen],$C7,tblEnlaces[Nodo Destino],J$3,tblEnlaces[Activo],1),0)</f>
        <v>0</v>
      </c>
      <c r="K7" s="35">
        <f>IF(MatrizDeAdyacencia!K7=1,SUMIFS(tblEnlaces[Coste (peso)],tblEnlaces[Nodo Origen],$C7,tblEnlaces[Nodo Destino],K$3,tblEnlaces[Activo],1),0)</f>
        <v>5</v>
      </c>
      <c r="L7" s="35">
        <f>IF(MatrizDeAdyacencia!L7=1,SUMIFS(tblEnlaces[Coste (peso)],tblEnlaces[Nodo Origen],$C7,tblEnlaces[Nodo Destino],L$3,tblEnlaces[Activo],1),0)</f>
        <v>0</v>
      </c>
      <c r="M7" s="35">
        <f>IF(MatrizDeAdyacencia!M7=1,SUMIFS(tblEnlaces[Coste (peso)],tblEnlaces[Nodo Origen],$C7,tblEnlaces[Nodo Destino],M$3,tblEnlaces[Activo],1),0)</f>
        <v>0</v>
      </c>
      <c r="N7" s="35">
        <f>IF(MatrizDeAdyacencia!N7=1,SUMIFS(tblEnlaces[Coste (peso)],tblEnlaces[Nodo Origen],$C7,tblEnlaces[Nodo Destino],N$3,tblEnlaces[Activo],1),0)</f>
        <v>0</v>
      </c>
      <c r="O7" s="35">
        <f>IF(MatrizDeAdyacencia!O7=1,SUMIFS(tblEnlaces[Coste (peso)],tblEnlaces[Nodo Origen],$C7,tblEnlaces[Nodo Destino],O$3,tblEnlaces[Activo],1),0)</f>
        <v>0</v>
      </c>
      <c r="P7" s="35">
        <f>IF(MatrizDeAdyacencia!P7=1,SUMIFS(tblEnlaces[Coste (peso)],tblEnlaces[Nodo Origen],$C7,tblEnlaces[Nodo Destino],P$3,tblEnlaces[Activo],1),0)</f>
        <v>0</v>
      </c>
      <c r="Q7" s="35">
        <f>IF(MatrizDeAdyacencia!Q7=1,SUMIFS(tblEnlaces[Coste (peso)],tblEnlaces[Nodo Origen],$C7,tblEnlaces[Nodo Destino],Q$3,tblEnlaces[Activo],1),0)</f>
        <v>0</v>
      </c>
      <c r="R7" s="35">
        <f>IF(MatrizDeAdyacencia!R7=1,SUMIFS(tblEnlaces[Coste (peso)],tblEnlaces[Nodo Origen],$C7,tblEnlaces[Nodo Destino],R$3,tblEnlaces[Activo],1),0)</f>
        <v>0</v>
      </c>
      <c r="S7" s="35">
        <f>IF(MatrizDeAdyacencia!S7=1,SUMIFS(tblEnlaces[Coste (peso)],tblEnlaces[Nodo Origen],$C7,tblEnlaces[Nodo Destino],S$3,tblEnlaces[Activo],1),0)</f>
        <v>0</v>
      </c>
      <c r="T7" s="35">
        <f>IF(MatrizDeAdyacencia!T7=1,SUMIFS(tblEnlaces[Coste (peso)],tblEnlaces[Nodo Origen],$C7,tblEnlaces[Nodo Destino],T$3,tblEnlaces[Activo],1),0)</f>
        <v>0</v>
      </c>
      <c r="U7" s="35">
        <f>IF(MatrizDeAdyacencia!U7=1,SUMIFS(tblEnlaces[Coste (peso)],tblEnlaces[Nodo Origen],$C7,tblEnlaces[Nodo Destino],U$3,tblEnlaces[Activo],1),0)</f>
        <v>0</v>
      </c>
      <c r="V7" s="36">
        <f>IF(MatrizDeAdyacencia!V7=1,SUMIFS(tblEnlaces[Coste (peso)],tblEnlaces[Nodo Origen],$C7,tblEnlaces[Nodo Destino],V$3,tblEnlaces[Activo],1),0)</f>
        <v>0</v>
      </c>
      <c r="Y7" s="28" t="s">
        <v>28</v>
      </c>
      <c r="Z7" s="34">
        <v>3</v>
      </c>
    </row>
    <row r="8" spans="2:27" ht="17.25" customHeight="1" x14ac:dyDescent="0.25">
      <c r="B8" s="14" t="str">
        <f>VLOOKUP(tblMatrizDeAdyacencia[[#This Row],[NodoOrigen \ NodoDestino]],tblNodos[],2,FALSE)</f>
        <v>Criminalidad menor</v>
      </c>
      <c r="C8" s="5" t="s">
        <v>43</v>
      </c>
      <c r="D8" s="35">
        <f>IF(MatrizDeAdyacencia!D8=1,SUMIFS(tblEnlaces[Coste (peso)],tblEnlaces[Nodo Origen],$C8,tblEnlaces[Nodo Destino],D$3,tblEnlaces[Activo],1),0)</f>
        <v>0</v>
      </c>
      <c r="E8" s="35">
        <f>IF(MatrizDeAdyacencia!E8=1,SUMIFS(tblEnlaces[Coste (peso)],tblEnlaces[Nodo Origen],$C8,tblEnlaces[Nodo Destino],E$3,tblEnlaces[Activo],1),0)</f>
        <v>0</v>
      </c>
      <c r="F8" s="35">
        <f>IF(MatrizDeAdyacencia!F8=1,SUMIFS(tblEnlaces[Coste (peso)],tblEnlaces[Nodo Origen],$C8,tblEnlaces[Nodo Destino],F$3,tblEnlaces[Activo],1),0)</f>
        <v>0</v>
      </c>
      <c r="G8" s="35">
        <f>IF(MatrizDeAdyacencia!G8=1,SUMIFS(tblEnlaces[Coste (peso)],tblEnlaces[Nodo Origen],$C8,tblEnlaces[Nodo Destino],G$3,tblEnlaces[Activo],1),0)</f>
        <v>0</v>
      </c>
      <c r="H8" s="35">
        <f>IF(MatrizDeAdyacencia!H8=1,SUMIFS(tblEnlaces[Coste (peso)],tblEnlaces[Nodo Origen],$C8,tblEnlaces[Nodo Destino],H$3,tblEnlaces[Activo],1),0)</f>
        <v>0</v>
      </c>
      <c r="I8" s="35">
        <f>IF(MatrizDeAdyacencia!I8=1,SUMIFS(tblEnlaces[Coste (peso)],tblEnlaces[Nodo Origen],$C8,tblEnlaces[Nodo Destino],I$3,tblEnlaces[Activo],1),0)</f>
        <v>0</v>
      </c>
      <c r="J8" s="35">
        <f>IF(MatrizDeAdyacencia!J8=1,SUMIFS(tblEnlaces[Coste (peso)],tblEnlaces[Nodo Origen],$C8,tblEnlaces[Nodo Destino],J$3,tblEnlaces[Activo],1),0)</f>
        <v>0</v>
      </c>
      <c r="K8" s="35">
        <f>IF(MatrizDeAdyacencia!K8=1,SUMIFS(tblEnlaces[Coste (peso)],tblEnlaces[Nodo Origen],$C8,tblEnlaces[Nodo Destino],K$3,tblEnlaces[Activo],1),0)</f>
        <v>0</v>
      </c>
      <c r="L8" s="35">
        <f>IF(MatrizDeAdyacencia!L8=1,SUMIFS(tblEnlaces[Coste (peso)],tblEnlaces[Nodo Origen],$C8,tblEnlaces[Nodo Destino],L$3,tblEnlaces[Activo],1),0)</f>
        <v>5</v>
      </c>
      <c r="M8" s="35">
        <f>IF(MatrizDeAdyacencia!M8=1,SUMIFS(tblEnlaces[Coste (peso)],tblEnlaces[Nodo Origen],$C8,tblEnlaces[Nodo Destino],M$3,tblEnlaces[Activo],1),0)</f>
        <v>0</v>
      </c>
      <c r="N8" s="35">
        <f>IF(MatrizDeAdyacencia!N8=1,SUMIFS(tblEnlaces[Coste (peso)],tblEnlaces[Nodo Origen],$C8,tblEnlaces[Nodo Destino],N$3,tblEnlaces[Activo],1),0)</f>
        <v>0</v>
      </c>
      <c r="O8" s="35">
        <f>IF(MatrizDeAdyacencia!O8=1,SUMIFS(tblEnlaces[Coste (peso)],tblEnlaces[Nodo Origen],$C8,tblEnlaces[Nodo Destino],O$3,tblEnlaces[Activo],1),0)</f>
        <v>0</v>
      </c>
      <c r="P8" s="35">
        <f>IF(MatrizDeAdyacencia!P8=1,SUMIFS(tblEnlaces[Coste (peso)],tblEnlaces[Nodo Origen],$C8,tblEnlaces[Nodo Destino],P$3,tblEnlaces[Activo],1),0)</f>
        <v>0</v>
      </c>
      <c r="Q8" s="35">
        <f>IF(MatrizDeAdyacencia!Q8=1,SUMIFS(tblEnlaces[Coste (peso)],tblEnlaces[Nodo Origen],$C8,tblEnlaces[Nodo Destino],Q$3,tblEnlaces[Activo],1),0)</f>
        <v>0</v>
      </c>
      <c r="R8" s="35">
        <f>IF(MatrizDeAdyacencia!R8=1,SUMIFS(tblEnlaces[Coste (peso)],tblEnlaces[Nodo Origen],$C8,tblEnlaces[Nodo Destino],R$3,tblEnlaces[Activo],1),0)</f>
        <v>0</v>
      </c>
      <c r="S8" s="35">
        <f>IF(MatrizDeAdyacencia!S8=1,SUMIFS(tblEnlaces[Coste (peso)],tblEnlaces[Nodo Origen],$C8,tblEnlaces[Nodo Destino],S$3,tblEnlaces[Activo],1),0)</f>
        <v>0</v>
      </c>
      <c r="T8" s="35">
        <f>IF(MatrizDeAdyacencia!T8=1,SUMIFS(tblEnlaces[Coste (peso)],tblEnlaces[Nodo Origen],$C8,tblEnlaces[Nodo Destino],T$3,tblEnlaces[Activo],1),0)</f>
        <v>0</v>
      </c>
      <c r="U8" s="35">
        <f>IF(MatrizDeAdyacencia!U8=1,SUMIFS(tblEnlaces[Coste (peso)],tblEnlaces[Nodo Origen],$C8,tblEnlaces[Nodo Destino],U$3,tblEnlaces[Activo],1),0)</f>
        <v>0</v>
      </c>
      <c r="V8" s="36">
        <f>IF(MatrizDeAdyacencia!V8=1,SUMIFS(tblEnlaces[Coste (peso)],tblEnlaces[Nodo Origen],$C8,tblEnlaces[Nodo Destino],V$3,tblEnlaces[Activo],1),0)</f>
        <v>0</v>
      </c>
      <c r="Y8" s="28" t="s">
        <v>50</v>
      </c>
      <c r="Z8" s="34">
        <v>2</v>
      </c>
    </row>
    <row r="9" spans="2:27" ht="17.25" customHeight="1" x14ac:dyDescent="0.25">
      <c r="B9" s="14" t="str">
        <f>VLOOKUP(tblMatrizDeAdyacencia[[#This Row],[NodoOrigen \ NodoDestino]],tblNodos[],2,FALSE)</f>
        <v>Aportaciones individuales</v>
      </c>
      <c r="C9" s="5" t="s">
        <v>46</v>
      </c>
      <c r="D9" s="35">
        <f>IF(MatrizDeAdyacencia!D9=1,SUMIFS(tblEnlaces[Coste (peso)],tblEnlaces[Nodo Origen],$C9,tblEnlaces[Nodo Destino],D$3,tblEnlaces[Activo],1),0)</f>
        <v>0</v>
      </c>
      <c r="E9" s="35">
        <f>IF(MatrizDeAdyacencia!E9=1,SUMIFS(tblEnlaces[Coste (peso)],tblEnlaces[Nodo Origen],$C9,tblEnlaces[Nodo Destino],E$3,tblEnlaces[Activo],1),0)</f>
        <v>0</v>
      </c>
      <c r="F9" s="35">
        <f>IF(MatrizDeAdyacencia!F9=1,SUMIFS(tblEnlaces[Coste (peso)],tblEnlaces[Nodo Origen],$C9,tblEnlaces[Nodo Destino],F$3,tblEnlaces[Activo],1),0)</f>
        <v>0</v>
      </c>
      <c r="G9" s="35">
        <f>IF(MatrizDeAdyacencia!G9=1,SUMIFS(tblEnlaces[Coste (peso)],tblEnlaces[Nodo Origen],$C9,tblEnlaces[Nodo Destino],G$3,tblEnlaces[Activo],1),0)</f>
        <v>0</v>
      </c>
      <c r="H9" s="35">
        <f>IF(MatrizDeAdyacencia!H9=1,SUMIFS(tblEnlaces[Coste (peso)],tblEnlaces[Nodo Origen],$C9,tblEnlaces[Nodo Destino],H$3,tblEnlaces[Activo],1),0)</f>
        <v>0</v>
      </c>
      <c r="I9" s="35">
        <f>IF(MatrizDeAdyacencia!I9=1,SUMIFS(tblEnlaces[Coste (peso)],tblEnlaces[Nodo Origen],$C9,tblEnlaces[Nodo Destino],I$3,tblEnlaces[Activo],1),0)</f>
        <v>0</v>
      </c>
      <c r="J9" s="35">
        <f>IF(MatrizDeAdyacencia!J9=1,SUMIFS(tblEnlaces[Coste (peso)],tblEnlaces[Nodo Origen],$C9,tblEnlaces[Nodo Destino],J$3,tblEnlaces[Activo],1),0)</f>
        <v>0</v>
      </c>
      <c r="K9" s="35">
        <f>IF(MatrizDeAdyacencia!K9=1,SUMIFS(tblEnlaces[Coste (peso)],tblEnlaces[Nodo Origen],$C9,tblEnlaces[Nodo Destino],K$3,tblEnlaces[Activo],1),0)</f>
        <v>0</v>
      </c>
      <c r="L9" s="35">
        <f>IF(MatrizDeAdyacencia!L9=1,SUMIFS(tblEnlaces[Coste (peso)],tblEnlaces[Nodo Origen],$C9,tblEnlaces[Nodo Destino],L$3,tblEnlaces[Activo],1),0)</f>
        <v>5</v>
      </c>
      <c r="M9" s="35">
        <f>IF(MatrizDeAdyacencia!M9=1,SUMIFS(tblEnlaces[Coste (peso)],tblEnlaces[Nodo Origen],$C9,tblEnlaces[Nodo Destino],M$3,tblEnlaces[Activo],1),0)</f>
        <v>0</v>
      </c>
      <c r="N9" s="35">
        <f>IF(MatrizDeAdyacencia!N9=1,SUMIFS(tblEnlaces[Coste (peso)],tblEnlaces[Nodo Origen],$C9,tblEnlaces[Nodo Destino],N$3,tblEnlaces[Activo],1),0)</f>
        <v>0</v>
      </c>
      <c r="O9" s="35">
        <f>IF(MatrizDeAdyacencia!O9=1,SUMIFS(tblEnlaces[Coste (peso)],tblEnlaces[Nodo Origen],$C9,tblEnlaces[Nodo Destino],O$3,tblEnlaces[Activo],1),0)</f>
        <v>0</v>
      </c>
      <c r="P9" s="35">
        <f>IF(MatrizDeAdyacencia!P9=1,SUMIFS(tblEnlaces[Coste (peso)],tblEnlaces[Nodo Origen],$C9,tblEnlaces[Nodo Destino],P$3,tblEnlaces[Activo],1),0)</f>
        <v>0</v>
      </c>
      <c r="Q9" s="35">
        <f>IF(MatrizDeAdyacencia!Q9=1,SUMIFS(tblEnlaces[Coste (peso)],tblEnlaces[Nodo Origen],$C9,tblEnlaces[Nodo Destino],Q$3,tblEnlaces[Activo],1),0)</f>
        <v>0</v>
      </c>
      <c r="R9" s="35">
        <f>IF(MatrizDeAdyacencia!R9=1,SUMIFS(tblEnlaces[Coste (peso)],tblEnlaces[Nodo Origen],$C9,tblEnlaces[Nodo Destino],R$3,tblEnlaces[Activo],1),0)</f>
        <v>0</v>
      </c>
      <c r="S9" s="35">
        <f>IF(MatrizDeAdyacencia!S9=1,SUMIFS(tblEnlaces[Coste (peso)],tblEnlaces[Nodo Origen],$C9,tblEnlaces[Nodo Destino],S$3,tblEnlaces[Activo],1),0)</f>
        <v>0</v>
      </c>
      <c r="T9" s="35">
        <f>IF(MatrizDeAdyacencia!T9=1,SUMIFS(tblEnlaces[Coste (peso)],tblEnlaces[Nodo Origen],$C9,tblEnlaces[Nodo Destino],T$3,tblEnlaces[Activo],1),0)</f>
        <v>0</v>
      </c>
      <c r="U9" s="35">
        <f>IF(MatrizDeAdyacencia!U9=1,SUMIFS(tblEnlaces[Coste (peso)],tblEnlaces[Nodo Origen],$C9,tblEnlaces[Nodo Destino],U$3,tblEnlaces[Activo],1),0)</f>
        <v>0</v>
      </c>
      <c r="V9" s="36">
        <f>IF(MatrizDeAdyacencia!V9=1,SUMIFS(tblEnlaces[Coste (peso)],tblEnlaces[Nodo Origen],$C9,tblEnlaces[Nodo Destino],V$3,tblEnlaces[Activo],1),0)</f>
        <v>0</v>
      </c>
      <c r="Y9" s="28" t="s">
        <v>29</v>
      </c>
      <c r="Z9" s="34">
        <v>1</v>
      </c>
    </row>
    <row r="10" spans="2:27" ht="17.25" customHeight="1" x14ac:dyDescent="0.25">
      <c r="B10" s="14" t="str">
        <f>VLOOKUP(tblMatrizDeAdyacencia[[#This Row],[NodoOrigen \ NodoDestino]],tblNodos[],2,FALSE)</f>
        <v>Colector local principal</v>
      </c>
      <c r="C10" s="5" t="s">
        <v>126</v>
      </c>
      <c r="D10" s="35">
        <f>IF(MatrizDeAdyacencia!D10=1,SUMIFS(tblEnlaces[Coste (peso)],tblEnlaces[Nodo Origen],$C10,tblEnlaces[Nodo Destino],D$3,tblEnlaces[Activo],1),0)</f>
        <v>0</v>
      </c>
      <c r="E10" s="35">
        <f>IF(MatrizDeAdyacencia!E10=1,SUMIFS(tblEnlaces[Coste (peso)],tblEnlaces[Nodo Origen],$C10,tblEnlaces[Nodo Destino],E$3,tblEnlaces[Activo],1),0)</f>
        <v>0</v>
      </c>
      <c r="F10" s="35">
        <f>IF(MatrizDeAdyacencia!F10=1,SUMIFS(tblEnlaces[Coste (peso)],tblEnlaces[Nodo Origen],$C10,tblEnlaces[Nodo Destino],F$3,tblEnlaces[Activo],1),0)</f>
        <v>0</v>
      </c>
      <c r="G10" s="35">
        <f>IF(MatrizDeAdyacencia!G10=1,SUMIFS(tblEnlaces[Coste (peso)],tblEnlaces[Nodo Origen],$C10,tblEnlaces[Nodo Destino],G$3,tblEnlaces[Activo],1),0)</f>
        <v>0</v>
      </c>
      <c r="H10" s="35">
        <f>IF(MatrizDeAdyacencia!H10=1,SUMIFS(tblEnlaces[Coste (peso)],tblEnlaces[Nodo Origen],$C10,tblEnlaces[Nodo Destino],H$3,tblEnlaces[Activo],1),0)</f>
        <v>0</v>
      </c>
      <c r="I10" s="35">
        <f>IF(MatrizDeAdyacencia!I10=1,SUMIFS(tblEnlaces[Coste (peso)],tblEnlaces[Nodo Origen],$C10,tblEnlaces[Nodo Destino],I$3,tblEnlaces[Activo],1),0)</f>
        <v>0</v>
      </c>
      <c r="J10" s="35">
        <f>IF(MatrizDeAdyacencia!J10=1,SUMIFS(tblEnlaces[Coste (peso)],tblEnlaces[Nodo Origen],$C10,tblEnlaces[Nodo Destino],J$3,tblEnlaces[Activo],1),0)</f>
        <v>0</v>
      </c>
      <c r="K10" s="35">
        <f>IF(MatrizDeAdyacencia!K10=1,SUMIFS(tblEnlaces[Coste (peso)],tblEnlaces[Nodo Origen],$C10,tblEnlaces[Nodo Destino],K$3,tblEnlaces[Activo],1),0)</f>
        <v>0</v>
      </c>
      <c r="L10" s="35">
        <f>IF(MatrizDeAdyacencia!L10=1,SUMIFS(tblEnlaces[Coste (peso)],tblEnlaces[Nodo Origen],$C10,tblEnlaces[Nodo Destino],L$3,tblEnlaces[Activo],1),0)</f>
        <v>0</v>
      </c>
      <c r="M10" s="35">
        <f>IF(MatrizDeAdyacencia!M10=1,SUMIFS(tblEnlaces[Coste (peso)],tblEnlaces[Nodo Origen],$C10,tblEnlaces[Nodo Destino],M$3,tblEnlaces[Activo],1),0)</f>
        <v>5</v>
      </c>
      <c r="N10" s="35">
        <f>IF(MatrizDeAdyacencia!N10=1,SUMIFS(tblEnlaces[Coste (peso)],tblEnlaces[Nodo Origen],$C10,tblEnlaces[Nodo Destino],N$3,tblEnlaces[Activo],1),0)</f>
        <v>3</v>
      </c>
      <c r="O10" s="35">
        <f>IF(MatrizDeAdyacencia!O10=1,SUMIFS(tblEnlaces[Coste (peso)],tblEnlaces[Nodo Origen],$C10,tblEnlaces[Nodo Destino],O$3,tblEnlaces[Activo],1),0)</f>
        <v>0</v>
      </c>
      <c r="P10" s="35">
        <f>IF(MatrizDeAdyacencia!P10=1,SUMIFS(tblEnlaces[Coste (peso)],tblEnlaces[Nodo Origen],$C10,tblEnlaces[Nodo Destino],P$3,tblEnlaces[Activo],1),0)</f>
        <v>0</v>
      </c>
      <c r="Q10" s="35">
        <f>IF(MatrizDeAdyacencia!Q10=1,SUMIFS(tblEnlaces[Coste (peso)],tblEnlaces[Nodo Origen],$C10,tblEnlaces[Nodo Destino],Q$3,tblEnlaces[Activo],1),0)</f>
        <v>0</v>
      </c>
      <c r="R10" s="35">
        <f>IF(MatrizDeAdyacencia!R10=1,SUMIFS(tblEnlaces[Coste (peso)],tblEnlaces[Nodo Origen],$C10,tblEnlaces[Nodo Destino],R$3,tblEnlaces[Activo],1),0)</f>
        <v>0</v>
      </c>
      <c r="S10" s="35">
        <f>IF(MatrizDeAdyacencia!S10=1,SUMIFS(tblEnlaces[Coste (peso)],tblEnlaces[Nodo Origen],$C10,tblEnlaces[Nodo Destino],S$3,tblEnlaces[Activo],1),0)</f>
        <v>0</v>
      </c>
      <c r="T10" s="35">
        <f>IF(MatrizDeAdyacencia!T10=1,SUMIFS(tblEnlaces[Coste (peso)],tblEnlaces[Nodo Origen],$C10,tblEnlaces[Nodo Destino],T$3,tblEnlaces[Activo],1),0)</f>
        <v>0</v>
      </c>
      <c r="U10" s="35">
        <f>IF(MatrizDeAdyacencia!U10=1,SUMIFS(tblEnlaces[Coste (peso)],tblEnlaces[Nodo Origen],$C10,tblEnlaces[Nodo Destino],U$3,tblEnlaces[Activo],1),0)</f>
        <v>0</v>
      </c>
      <c r="V10" s="36">
        <f>IF(MatrizDeAdyacencia!V10=1,SUMIFS(tblEnlaces[Coste (peso)],tblEnlaces[Nodo Origen],$C10,tblEnlaces[Nodo Destino],V$3,tblEnlaces[Activo],1),0)</f>
        <v>0</v>
      </c>
      <c r="Y10" s="28"/>
      <c r="Z10" s="28"/>
    </row>
    <row r="11" spans="2:27" ht="17.25" customHeight="1" x14ac:dyDescent="0.25">
      <c r="B11" s="14" t="str">
        <f>VLOOKUP(tblMatrizDeAdyacencia[[#This Row],[NodoOrigen \ NodoDestino]],tblNodos[],2,FALSE)</f>
        <v>Colector local secundario</v>
      </c>
      <c r="C11" s="5" t="s">
        <v>128</v>
      </c>
      <c r="D11" s="35">
        <f>IF(MatrizDeAdyacencia!D11=1,SUMIFS(tblEnlaces[Coste (peso)],tblEnlaces[Nodo Origen],$C11,tblEnlaces[Nodo Destino],D$3,tblEnlaces[Activo],1),0)</f>
        <v>0</v>
      </c>
      <c r="E11" s="35">
        <f>IF(MatrizDeAdyacencia!E11=1,SUMIFS(tblEnlaces[Coste (peso)],tblEnlaces[Nodo Origen],$C11,tblEnlaces[Nodo Destino],E$3,tblEnlaces[Activo],1),0)</f>
        <v>0</v>
      </c>
      <c r="F11" s="35">
        <f>IF(MatrizDeAdyacencia!F11=1,SUMIFS(tblEnlaces[Coste (peso)],tblEnlaces[Nodo Origen],$C11,tblEnlaces[Nodo Destino],F$3,tblEnlaces[Activo],1),0)</f>
        <v>0</v>
      </c>
      <c r="G11" s="35">
        <f>IF(MatrizDeAdyacencia!G11=1,SUMIFS(tblEnlaces[Coste (peso)],tblEnlaces[Nodo Origen],$C11,tblEnlaces[Nodo Destino],G$3,tblEnlaces[Activo],1),0)</f>
        <v>0</v>
      </c>
      <c r="H11" s="35">
        <f>IF(MatrizDeAdyacencia!H11=1,SUMIFS(tblEnlaces[Coste (peso)],tblEnlaces[Nodo Origen],$C11,tblEnlaces[Nodo Destino],H$3,tblEnlaces[Activo],1),0)</f>
        <v>0</v>
      </c>
      <c r="I11" s="35">
        <f>IF(MatrizDeAdyacencia!I11=1,SUMIFS(tblEnlaces[Coste (peso)],tblEnlaces[Nodo Origen],$C11,tblEnlaces[Nodo Destino],I$3,tblEnlaces[Activo],1),0)</f>
        <v>0</v>
      </c>
      <c r="J11" s="35">
        <f>IF(MatrizDeAdyacencia!J11=1,SUMIFS(tblEnlaces[Coste (peso)],tblEnlaces[Nodo Origen],$C11,tblEnlaces[Nodo Destino],J$3,tblEnlaces[Activo],1),0)</f>
        <v>0</v>
      </c>
      <c r="K11" s="35">
        <f>IF(MatrizDeAdyacencia!K11=1,SUMIFS(tblEnlaces[Coste (peso)],tblEnlaces[Nodo Origen],$C11,tblEnlaces[Nodo Destino],K$3,tblEnlaces[Activo],1),0)</f>
        <v>0</v>
      </c>
      <c r="L11" s="35">
        <f>IF(MatrizDeAdyacencia!L11=1,SUMIFS(tblEnlaces[Coste (peso)],tblEnlaces[Nodo Origen],$C11,tblEnlaces[Nodo Destino],L$3,tblEnlaces[Activo],1),0)</f>
        <v>0</v>
      </c>
      <c r="M11" s="35">
        <f>IF(MatrizDeAdyacencia!M11=1,SUMIFS(tblEnlaces[Coste (peso)],tblEnlaces[Nodo Origen],$C11,tblEnlaces[Nodo Destino],M$3,tblEnlaces[Activo],1),0)</f>
        <v>3</v>
      </c>
      <c r="N11" s="35">
        <f>IF(MatrizDeAdyacencia!N11=1,SUMIFS(tblEnlaces[Coste (peso)],tblEnlaces[Nodo Origen],$C11,tblEnlaces[Nodo Destino],N$3,tblEnlaces[Activo],1),0)</f>
        <v>0</v>
      </c>
      <c r="O11" s="35">
        <f>IF(MatrizDeAdyacencia!O11=1,SUMIFS(tblEnlaces[Coste (peso)],tblEnlaces[Nodo Origen],$C11,tblEnlaces[Nodo Destino],O$3,tblEnlaces[Activo],1),0)</f>
        <v>3</v>
      </c>
      <c r="P11" s="35">
        <f>IF(MatrizDeAdyacencia!P11=1,SUMIFS(tblEnlaces[Coste (peso)],tblEnlaces[Nodo Origen],$C11,tblEnlaces[Nodo Destino],P$3,tblEnlaces[Activo],1),0)</f>
        <v>0</v>
      </c>
      <c r="Q11" s="35">
        <f>IF(MatrizDeAdyacencia!Q11=1,SUMIFS(tblEnlaces[Coste (peso)],tblEnlaces[Nodo Origen],$C11,tblEnlaces[Nodo Destino],Q$3,tblEnlaces[Activo],1),0)</f>
        <v>0</v>
      </c>
      <c r="R11" s="35">
        <f>IF(MatrizDeAdyacencia!R11=1,SUMIFS(tblEnlaces[Coste (peso)],tblEnlaces[Nodo Origen],$C11,tblEnlaces[Nodo Destino],R$3,tblEnlaces[Activo],1),0)</f>
        <v>0</v>
      </c>
      <c r="S11" s="35">
        <f>IF(MatrizDeAdyacencia!S11=1,SUMIFS(tblEnlaces[Coste (peso)],tblEnlaces[Nodo Origen],$C11,tblEnlaces[Nodo Destino],S$3,tblEnlaces[Activo],1),0)</f>
        <v>0</v>
      </c>
      <c r="T11" s="35">
        <f>IF(MatrizDeAdyacencia!T11=1,SUMIFS(tblEnlaces[Coste (peso)],tblEnlaces[Nodo Origen],$C11,tblEnlaces[Nodo Destino],T$3,tblEnlaces[Activo],1),0)</f>
        <v>0</v>
      </c>
      <c r="U11" s="35">
        <f>IF(MatrizDeAdyacencia!U11=1,SUMIFS(tblEnlaces[Coste (peso)],tblEnlaces[Nodo Origen],$C11,tblEnlaces[Nodo Destino],U$3,tblEnlaces[Activo],1),0)</f>
        <v>0</v>
      </c>
      <c r="V11" s="36">
        <f>IF(MatrizDeAdyacencia!V11=1,SUMIFS(tblEnlaces[Coste (peso)],tblEnlaces[Nodo Origen],$C11,tblEnlaces[Nodo Destino],V$3,tblEnlaces[Activo],1),0)</f>
        <v>0</v>
      </c>
      <c r="Y11" s="90" t="s">
        <v>92</v>
      </c>
      <c r="Z11" s="90"/>
      <c r="AA11" s="33"/>
    </row>
    <row r="12" spans="2:27" ht="17.25" customHeight="1" x14ac:dyDescent="0.25">
      <c r="B12" s="14" t="str">
        <f>VLOOKUP(tblMatrizDeAdyacencia[[#This Row],[NodoOrigen \ NodoDestino]],tblNodos[],2,FALSE)</f>
        <v>Colector regional</v>
      </c>
      <c r="C12" s="5" t="s">
        <v>141</v>
      </c>
      <c r="D12" s="35">
        <f>IF(MatrizDeAdyacencia!D12=1,SUMIFS(tblEnlaces[Coste (peso)],tblEnlaces[Nodo Origen],$C12,tblEnlaces[Nodo Destino],D$3,tblEnlaces[Activo],1),0)</f>
        <v>0</v>
      </c>
      <c r="E12" s="35">
        <f>IF(MatrizDeAdyacencia!E12=1,SUMIFS(tblEnlaces[Coste (peso)],tblEnlaces[Nodo Origen],$C12,tblEnlaces[Nodo Destino],E$3,tblEnlaces[Activo],1),0)</f>
        <v>0</v>
      </c>
      <c r="F12" s="35">
        <f>IF(MatrizDeAdyacencia!F12=1,SUMIFS(tblEnlaces[Coste (peso)],tblEnlaces[Nodo Origen],$C12,tblEnlaces[Nodo Destino],F$3,tblEnlaces[Activo],1),0)</f>
        <v>0</v>
      </c>
      <c r="G12" s="35">
        <f>IF(MatrizDeAdyacencia!G12=1,SUMIFS(tblEnlaces[Coste (peso)],tblEnlaces[Nodo Origen],$C12,tblEnlaces[Nodo Destino],G$3,tblEnlaces[Activo],1),0)</f>
        <v>0</v>
      </c>
      <c r="H12" s="35">
        <f>IF(MatrizDeAdyacencia!H12=1,SUMIFS(tblEnlaces[Coste (peso)],tblEnlaces[Nodo Origen],$C12,tblEnlaces[Nodo Destino],H$3,tblEnlaces[Activo],1),0)</f>
        <v>0</v>
      </c>
      <c r="I12" s="35">
        <f>IF(MatrizDeAdyacencia!I12=1,SUMIFS(tblEnlaces[Coste (peso)],tblEnlaces[Nodo Origen],$C12,tblEnlaces[Nodo Destino],I$3,tblEnlaces[Activo],1),0)</f>
        <v>0</v>
      </c>
      <c r="J12" s="35">
        <f>IF(MatrizDeAdyacencia!J12=1,SUMIFS(tblEnlaces[Coste (peso)],tblEnlaces[Nodo Origen],$C12,tblEnlaces[Nodo Destino],J$3,tblEnlaces[Activo],1),0)</f>
        <v>0</v>
      </c>
      <c r="K12" s="35">
        <f>IF(MatrizDeAdyacencia!K12=1,SUMIFS(tblEnlaces[Coste (peso)],tblEnlaces[Nodo Origen],$C12,tblEnlaces[Nodo Destino],K$3,tblEnlaces[Activo],1),0)</f>
        <v>0</v>
      </c>
      <c r="L12" s="35">
        <f>IF(MatrizDeAdyacencia!L12=1,SUMIFS(tblEnlaces[Coste (peso)],tblEnlaces[Nodo Origen],$C12,tblEnlaces[Nodo Destino],L$3,tblEnlaces[Activo],1),0)</f>
        <v>0</v>
      </c>
      <c r="M12" s="35">
        <f>IF(MatrizDeAdyacencia!M12=1,SUMIFS(tblEnlaces[Coste (peso)],tblEnlaces[Nodo Origen],$C12,tblEnlaces[Nodo Destino],M$3,tblEnlaces[Activo],1),0)</f>
        <v>0</v>
      </c>
      <c r="N12" s="35">
        <f>IF(MatrizDeAdyacencia!N12=1,SUMIFS(tblEnlaces[Coste (peso)],tblEnlaces[Nodo Origen],$C12,tblEnlaces[Nodo Destino],N$3,tblEnlaces[Activo],1),0)</f>
        <v>5</v>
      </c>
      <c r="O12" s="35">
        <f>IF(MatrizDeAdyacencia!O12=1,SUMIFS(tblEnlaces[Coste (peso)],tblEnlaces[Nodo Origen],$C12,tblEnlaces[Nodo Destino],O$3,tblEnlaces[Activo],1),0)</f>
        <v>0</v>
      </c>
      <c r="P12" s="35">
        <f>IF(MatrizDeAdyacencia!P12=1,SUMIFS(tblEnlaces[Coste (peso)],tblEnlaces[Nodo Origen],$C12,tblEnlaces[Nodo Destino],P$3,tblEnlaces[Activo],1),0)</f>
        <v>5</v>
      </c>
      <c r="Q12" s="35">
        <f>IF(MatrizDeAdyacencia!Q12=1,SUMIFS(tblEnlaces[Coste (peso)],tblEnlaces[Nodo Origen],$C12,tblEnlaces[Nodo Destino],Q$3,tblEnlaces[Activo],1),0)</f>
        <v>0</v>
      </c>
      <c r="R12" s="35">
        <f>IF(MatrizDeAdyacencia!R12=1,SUMIFS(tblEnlaces[Coste (peso)],tblEnlaces[Nodo Origen],$C12,tblEnlaces[Nodo Destino],R$3,tblEnlaces[Activo],1),0)</f>
        <v>0</v>
      </c>
      <c r="S12" s="35">
        <f>IF(MatrizDeAdyacencia!S12=1,SUMIFS(tblEnlaces[Coste (peso)],tblEnlaces[Nodo Origen],$C12,tblEnlaces[Nodo Destino],S$3,tblEnlaces[Activo],1),0)</f>
        <v>0</v>
      </c>
      <c r="T12" s="35">
        <f>IF(MatrizDeAdyacencia!T12=1,SUMIFS(tblEnlaces[Coste (peso)],tblEnlaces[Nodo Origen],$C12,tblEnlaces[Nodo Destino],T$3,tblEnlaces[Activo],1),0)</f>
        <v>0</v>
      </c>
      <c r="U12" s="35">
        <f>IF(MatrizDeAdyacencia!U12=1,SUMIFS(tblEnlaces[Coste (peso)],tblEnlaces[Nodo Origen],$C12,tblEnlaces[Nodo Destino],U$3,tblEnlaces[Activo],1),0)</f>
        <v>0</v>
      </c>
      <c r="V12" s="36">
        <f>IF(MatrizDeAdyacencia!V12=1,SUMIFS(tblEnlaces[Coste (peso)],tblEnlaces[Nodo Origen],$C12,tblEnlaces[Nodo Destino],V$3,tblEnlaces[Activo],1),0)</f>
        <v>0</v>
      </c>
      <c r="Y12" s="27" t="s">
        <v>88</v>
      </c>
      <c r="Z12" s="27" t="s">
        <v>15</v>
      </c>
    </row>
    <row r="13" spans="2:27" ht="17.25" customHeight="1" x14ac:dyDescent="0.25">
      <c r="B13" s="14" t="str">
        <f>VLOOKUP(tblMatrizDeAdyacencia[[#This Row],[NodoOrigen \ NodoDestino]],tblNodos[],2,FALSE)</f>
        <v>Redistribuidor zona tránsito 1</v>
      </c>
      <c r="C13" s="5" t="s">
        <v>129</v>
      </c>
      <c r="D13" s="35">
        <f>IF(MatrizDeAdyacencia!D13=1,SUMIFS(tblEnlaces[Coste (peso)],tblEnlaces[Nodo Origen],$C13,tblEnlaces[Nodo Destino],D$3,tblEnlaces[Activo],1),0)</f>
        <v>0</v>
      </c>
      <c r="E13" s="35">
        <f>IF(MatrizDeAdyacencia!E13=1,SUMIFS(tblEnlaces[Coste (peso)],tblEnlaces[Nodo Origen],$C13,tblEnlaces[Nodo Destino],E$3,tblEnlaces[Activo],1),0)</f>
        <v>0</v>
      </c>
      <c r="F13" s="35">
        <f>IF(MatrizDeAdyacencia!F13=1,SUMIFS(tblEnlaces[Coste (peso)],tblEnlaces[Nodo Origen],$C13,tblEnlaces[Nodo Destino],F$3,tblEnlaces[Activo],1),0)</f>
        <v>0</v>
      </c>
      <c r="G13" s="35">
        <f>IF(MatrizDeAdyacencia!G13=1,SUMIFS(tblEnlaces[Coste (peso)],tblEnlaces[Nodo Origen],$C13,tblEnlaces[Nodo Destino],G$3,tblEnlaces[Activo],1),0)</f>
        <v>0</v>
      </c>
      <c r="H13" s="35">
        <f>IF(MatrizDeAdyacencia!H13=1,SUMIFS(tblEnlaces[Coste (peso)],tblEnlaces[Nodo Origen],$C13,tblEnlaces[Nodo Destino],H$3,tblEnlaces[Activo],1),0)</f>
        <v>0</v>
      </c>
      <c r="I13" s="35">
        <f>IF(MatrizDeAdyacencia!I13=1,SUMIFS(tblEnlaces[Coste (peso)],tblEnlaces[Nodo Origen],$C13,tblEnlaces[Nodo Destino],I$3,tblEnlaces[Activo],1),0)</f>
        <v>0</v>
      </c>
      <c r="J13" s="35">
        <f>IF(MatrizDeAdyacencia!J13=1,SUMIFS(tblEnlaces[Coste (peso)],tblEnlaces[Nodo Origen],$C13,tblEnlaces[Nodo Destino],J$3,tblEnlaces[Activo],1),0)</f>
        <v>0</v>
      </c>
      <c r="K13" s="35">
        <f>IF(MatrizDeAdyacencia!K13=1,SUMIFS(tblEnlaces[Coste (peso)],tblEnlaces[Nodo Origen],$C13,tblEnlaces[Nodo Destino],K$3,tblEnlaces[Activo],1),0)</f>
        <v>0</v>
      </c>
      <c r="L13" s="35">
        <f>IF(MatrizDeAdyacencia!L13=1,SUMIFS(tblEnlaces[Coste (peso)],tblEnlaces[Nodo Origen],$C13,tblEnlaces[Nodo Destino],L$3,tblEnlaces[Activo],1),0)</f>
        <v>0</v>
      </c>
      <c r="M13" s="35">
        <f>IF(MatrizDeAdyacencia!M13=1,SUMIFS(tblEnlaces[Coste (peso)],tblEnlaces[Nodo Origen],$C13,tblEnlaces[Nodo Destino],M$3,tblEnlaces[Activo],1),0)</f>
        <v>0</v>
      </c>
      <c r="N13" s="35">
        <f>IF(MatrizDeAdyacencia!N13=1,SUMIFS(tblEnlaces[Coste (peso)],tblEnlaces[Nodo Origen],$C13,tblEnlaces[Nodo Destino],N$3,tblEnlaces[Activo],1),0)</f>
        <v>0</v>
      </c>
      <c r="O13" s="35">
        <f>IF(MatrizDeAdyacencia!O13=1,SUMIFS(tblEnlaces[Coste (peso)],tblEnlaces[Nodo Origen],$C13,tblEnlaces[Nodo Destino],O$3,tblEnlaces[Activo],1),0)</f>
        <v>5</v>
      </c>
      <c r="P13" s="35">
        <f>IF(MatrizDeAdyacencia!P13=1,SUMIFS(tblEnlaces[Coste (peso)],tblEnlaces[Nodo Origen],$C13,tblEnlaces[Nodo Destino],P$3,tblEnlaces[Activo],1),0)</f>
        <v>5</v>
      </c>
      <c r="Q13" s="35">
        <f>IF(MatrizDeAdyacencia!Q13=1,SUMIFS(tblEnlaces[Coste (peso)],tblEnlaces[Nodo Origen],$C13,tblEnlaces[Nodo Destino],Q$3,tblEnlaces[Activo],1),0)</f>
        <v>0</v>
      </c>
      <c r="R13" s="35">
        <f>IF(MatrizDeAdyacencia!R13=1,SUMIFS(tblEnlaces[Coste (peso)],tblEnlaces[Nodo Origen],$C13,tblEnlaces[Nodo Destino],R$3,tblEnlaces[Activo],1),0)</f>
        <v>0</v>
      </c>
      <c r="S13" s="35">
        <f>IF(MatrizDeAdyacencia!S13=1,SUMIFS(tblEnlaces[Coste (peso)],tblEnlaces[Nodo Origen],$C13,tblEnlaces[Nodo Destino],S$3,tblEnlaces[Activo],1),0)</f>
        <v>0</v>
      </c>
      <c r="T13" s="35">
        <f>IF(MatrizDeAdyacencia!T13=1,SUMIFS(tblEnlaces[Coste (peso)],tblEnlaces[Nodo Origen],$C13,tblEnlaces[Nodo Destino],T$3,tblEnlaces[Activo],1),0)</f>
        <v>0</v>
      </c>
      <c r="U13" s="35">
        <f>IF(MatrizDeAdyacencia!U13=1,SUMIFS(tblEnlaces[Coste (peso)],tblEnlaces[Nodo Origen],$C13,tblEnlaces[Nodo Destino],U$3,tblEnlaces[Activo],1),0)</f>
        <v>0</v>
      </c>
      <c r="V13" s="36">
        <f>IF(MatrizDeAdyacencia!V13=1,SUMIFS(tblEnlaces[Coste (peso)],tblEnlaces[Nodo Origen],$C13,tblEnlaces[Nodo Destino],V$3,tblEnlaces[Activo],1),0)</f>
        <v>0</v>
      </c>
      <c r="Y13" s="28" t="s">
        <v>90</v>
      </c>
      <c r="Z13" s="39">
        <f>MIN(tblPesosCoste[Coste])</f>
        <v>1</v>
      </c>
    </row>
    <row r="14" spans="2:27" ht="17.25" customHeight="1" x14ac:dyDescent="0.25">
      <c r="B14" s="14" t="str">
        <f>VLOOKUP(tblMatrizDeAdyacencia[[#This Row],[NodoOrigen \ NodoDestino]],tblNodos[],2,FALSE)</f>
        <v>Redistribuidor zona tránsito 2</v>
      </c>
      <c r="C14" s="5" t="s">
        <v>130</v>
      </c>
      <c r="D14" s="35">
        <f>IF(MatrizDeAdyacencia!D14=1,SUMIFS(tblEnlaces[Coste (peso)],tblEnlaces[Nodo Origen],$C14,tblEnlaces[Nodo Destino],D$3,tblEnlaces[Activo],1),0)</f>
        <v>0</v>
      </c>
      <c r="E14" s="35">
        <f>IF(MatrizDeAdyacencia!E14=1,SUMIFS(tblEnlaces[Coste (peso)],tblEnlaces[Nodo Origen],$C14,tblEnlaces[Nodo Destino],E$3,tblEnlaces[Activo],1),0)</f>
        <v>0</v>
      </c>
      <c r="F14" s="35">
        <f>IF(MatrizDeAdyacencia!F14=1,SUMIFS(tblEnlaces[Coste (peso)],tblEnlaces[Nodo Origen],$C14,tblEnlaces[Nodo Destino],F$3,tblEnlaces[Activo],1),0)</f>
        <v>0</v>
      </c>
      <c r="G14" s="35">
        <f>IF(MatrizDeAdyacencia!G14=1,SUMIFS(tblEnlaces[Coste (peso)],tblEnlaces[Nodo Origen],$C14,tblEnlaces[Nodo Destino],G$3,tblEnlaces[Activo],1),0)</f>
        <v>0</v>
      </c>
      <c r="H14" s="35">
        <f>IF(MatrizDeAdyacencia!H14=1,SUMIFS(tblEnlaces[Coste (peso)],tblEnlaces[Nodo Origen],$C14,tblEnlaces[Nodo Destino],H$3,tblEnlaces[Activo],1),0)</f>
        <v>0</v>
      </c>
      <c r="I14" s="35">
        <f>IF(MatrizDeAdyacencia!I14=1,SUMIFS(tblEnlaces[Coste (peso)],tblEnlaces[Nodo Origen],$C14,tblEnlaces[Nodo Destino],I$3,tblEnlaces[Activo],1),0)</f>
        <v>0</v>
      </c>
      <c r="J14" s="35">
        <f>IF(MatrizDeAdyacencia!J14=1,SUMIFS(tblEnlaces[Coste (peso)],tblEnlaces[Nodo Origen],$C14,tblEnlaces[Nodo Destino],J$3,tblEnlaces[Activo],1),0)</f>
        <v>0</v>
      </c>
      <c r="K14" s="35">
        <f>IF(MatrizDeAdyacencia!K14=1,SUMIFS(tblEnlaces[Coste (peso)],tblEnlaces[Nodo Origen],$C14,tblEnlaces[Nodo Destino],K$3,tblEnlaces[Activo],1),0)</f>
        <v>0</v>
      </c>
      <c r="L14" s="35">
        <f>IF(MatrizDeAdyacencia!L14=1,SUMIFS(tblEnlaces[Coste (peso)],tblEnlaces[Nodo Origen],$C14,tblEnlaces[Nodo Destino],L$3,tblEnlaces[Activo],1),0)</f>
        <v>0</v>
      </c>
      <c r="M14" s="35">
        <f>IF(MatrizDeAdyacencia!M14=1,SUMIFS(tblEnlaces[Coste (peso)],tblEnlaces[Nodo Origen],$C14,tblEnlaces[Nodo Destino],M$3,tblEnlaces[Activo],1),0)</f>
        <v>0</v>
      </c>
      <c r="N14" s="35">
        <f>IF(MatrizDeAdyacencia!N14=1,SUMIFS(tblEnlaces[Coste (peso)],tblEnlaces[Nodo Origen],$C14,tblEnlaces[Nodo Destino],N$3,tblEnlaces[Activo],1),0)</f>
        <v>0</v>
      </c>
      <c r="O14" s="35">
        <f>IF(MatrizDeAdyacencia!O14=1,SUMIFS(tblEnlaces[Coste (peso)],tblEnlaces[Nodo Origen],$C14,tblEnlaces[Nodo Destino],O$3,tblEnlaces[Activo],1),0)</f>
        <v>3</v>
      </c>
      <c r="P14" s="35">
        <f>IF(MatrizDeAdyacencia!P14=1,SUMIFS(tblEnlaces[Coste (peso)],tblEnlaces[Nodo Origen],$C14,tblEnlaces[Nodo Destino],P$3,tblEnlaces[Activo],1),0)</f>
        <v>0</v>
      </c>
      <c r="Q14" s="35">
        <f>IF(MatrizDeAdyacencia!Q14=1,SUMIFS(tblEnlaces[Coste (peso)],tblEnlaces[Nodo Origen],$C14,tblEnlaces[Nodo Destino],Q$3,tblEnlaces[Activo],1),0)</f>
        <v>3</v>
      </c>
      <c r="R14" s="35">
        <f>IF(MatrizDeAdyacencia!R14=1,SUMIFS(tblEnlaces[Coste (peso)],tblEnlaces[Nodo Origen],$C14,tblEnlaces[Nodo Destino],R$3,tblEnlaces[Activo],1),0)</f>
        <v>0</v>
      </c>
      <c r="S14" s="35">
        <f>IF(MatrizDeAdyacencia!S14=1,SUMIFS(tblEnlaces[Coste (peso)],tblEnlaces[Nodo Origen],$C14,tblEnlaces[Nodo Destino],S$3,tblEnlaces[Activo],1),0)</f>
        <v>0</v>
      </c>
      <c r="T14" s="35">
        <f>IF(MatrizDeAdyacencia!T14=1,SUMIFS(tblEnlaces[Coste (peso)],tblEnlaces[Nodo Origen],$C14,tblEnlaces[Nodo Destino],T$3,tblEnlaces[Activo],1),0)</f>
        <v>0</v>
      </c>
      <c r="U14" s="35">
        <f>IF(MatrizDeAdyacencia!U14=1,SUMIFS(tblEnlaces[Coste (peso)],tblEnlaces[Nodo Origen],$C14,tblEnlaces[Nodo Destino],U$3,tblEnlaces[Activo],1),0)</f>
        <v>0</v>
      </c>
      <c r="V14" s="36">
        <f>IF(MatrizDeAdyacencia!V14=1,SUMIFS(tblEnlaces[Coste (peso)],tblEnlaces[Nodo Origen],$C14,tblEnlaces[Nodo Destino],V$3,tblEnlaces[Activo],1),0)</f>
        <v>0</v>
      </c>
      <c r="Y14" s="28" t="s">
        <v>91</v>
      </c>
      <c r="Z14" s="39">
        <f>MAX(tblPesosCoste[Coste])</f>
        <v>5</v>
      </c>
    </row>
    <row r="15" spans="2:27" ht="17.25" customHeight="1" x14ac:dyDescent="0.25">
      <c r="B15" s="14" t="str">
        <f>VLOOKUP(tblMatrizDeAdyacencia[[#This Row],[NodoOrigen \ NodoDestino]],tblNodos[],2,FALSE)</f>
        <v>Redistribuidor principal</v>
      </c>
      <c r="C15" s="5" t="s">
        <v>132</v>
      </c>
      <c r="D15" s="35">
        <f>IF(MatrizDeAdyacencia!D15=1,SUMIFS(tblEnlaces[Coste (peso)],tblEnlaces[Nodo Origen],$C15,tblEnlaces[Nodo Destino],D$3,tblEnlaces[Activo],1),0)</f>
        <v>0</v>
      </c>
      <c r="E15" s="35">
        <f>IF(MatrizDeAdyacencia!E15=1,SUMIFS(tblEnlaces[Coste (peso)],tblEnlaces[Nodo Origen],$C15,tblEnlaces[Nodo Destino],E$3,tblEnlaces[Activo],1),0)</f>
        <v>0</v>
      </c>
      <c r="F15" s="35">
        <f>IF(MatrizDeAdyacencia!F15=1,SUMIFS(tblEnlaces[Coste (peso)],tblEnlaces[Nodo Origen],$C15,tblEnlaces[Nodo Destino],F$3,tblEnlaces[Activo],1),0)</f>
        <v>0</v>
      </c>
      <c r="G15" s="35">
        <f>IF(MatrizDeAdyacencia!G15=1,SUMIFS(tblEnlaces[Coste (peso)],tblEnlaces[Nodo Origen],$C15,tblEnlaces[Nodo Destino],G$3,tblEnlaces[Activo],1),0)</f>
        <v>0</v>
      </c>
      <c r="H15" s="35">
        <f>IF(MatrizDeAdyacencia!H15=1,SUMIFS(tblEnlaces[Coste (peso)],tblEnlaces[Nodo Origen],$C15,tblEnlaces[Nodo Destino],H$3,tblEnlaces[Activo],1),0)</f>
        <v>0</v>
      </c>
      <c r="I15" s="35">
        <f>IF(MatrizDeAdyacencia!I15=1,SUMIFS(tblEnlaces[Coste (peso)],tblEnlaces[Nodo Origen],$C15,tblEnlaces[Nodo Destino],I$3,tblEnlaces[Activo],1),0)</f>
        <v>0</v>
      </c>
      <c r="J15" s="35">
        <f>IF(MatrizDeAdyacencia!J15=1,SUMIFS(tblEnlaces[Coste (peso)],tblEnlaces[Nodo Origen],$C15,tblEnlaces[Nodo Destino],J$3,tblEnlaces[Activo],1),0)</f>
        <v>0</v>
      </c>
      <c r="K15" s="35">
        <f>IF(MatrizDeAdyacencia!K15=1,SUMIFS(tblEnlaces[Coste (peso)],tblEnlaces[Nodo Origen],$C15,tblEnlaces[Nodo Destino],K$3,tblEnlaces[Activo],1),0)</f>
        <v>0</v>
      </c>
      <c r="L15" s="35">
        <f>IF(MatrizDeAdyacencia!L15=1,SUMIFS(tblEnlaces[Coste (peso)],tblEnlaces[Nodo Origen],$C15,tblEnlaces[Nodo Destino],L$3,tblEnlaces[Activo],1),0)</f>
        <v>0</v>
      </c>
      <c r="M15" s="35">
        <f>IF(MatrizDeAdyacencia!M15=1,SUMIFS(tblEnlaces[Coste (peso)],tblEnlaces[Nodo Origen],$C15,tblEnlaces[Nodo Destino],M$3,tblEnlaces[Activo],1),0)</f>
        <v>0</v>
      </c>
      <c r="N15" s="35">
        <f>IF(MatrizDeAdyacencia!N15=1,SUMIFS(tblEnlaces[Coste (peso)],tblEnlaces[Nodo Origen],$C15,tblEnlaces[Nodo Destino],N$3,tblEnlaces[Activo],1),0)</f>
        <v>0</v>
      </c>
      <c r="O15" s="35">
        <f>IF(MatrizDeAdyacencia!O15=1,SUMIFS(tblEnlaces[Coste (peso)],tblEnlaces[Nodo Origen],$C15,tblEnlaces[Nodo Destino],O$3,tblEnlaces[Activo],1),0)</f>
        <v>0</v>
      </c>
      <c r="P15" s="35">
        <f>IF(MatrizDeAdyacencia!P15=1,SUMIFS(tblEnlaces[Coste (peso)],tblEnlaces[Nodo Origen],$C15,tblEnlaces[Nodo Destino],P$3,tblEnlaces[Activo],1),0)</f>
        <v>0</v>
      </c>
      <c r="Q15" s="35">
        <f>IF(MatrizDeAdyacencia!Q15=1,SUMIFS(tblEnlaces[Coste (peso)],tblEnlaces[Nodo Origen],$C15,tblEnlaces[Nodo Destino],Q$3,tblEnlaces[Activo],1),0)</f>
        <v>0</v>
      </c>
      <c r="R15" s="35">
        <f>IF(MatrizDeAdyacencia!R15=1,SUMIFS(tblEnlaces[Coste (peso)],tblEnlaces[Nodo Origen],$C15,tblEnlaces[Nodo Destino],R$3,tblEnlaces[Activo],1),0)</f>
        <v>5</v>
      </c>
      <c r="S15" s="35">
        <f>IF(MatrizDeAdyacencia!S15=1,SUMIFS(tblEnlaces[Coste (peso)],tblEnlaces[Nodo Origen],$C15,tblEnlaces[Nodo Destino],S$3,tblEnlaces[Activo],1),0)</f>
        <v>0</v>
      </c>
      <c r="T15" s="35">
        <f>IF(MatrizDeAdyacencia!T15=1,SUMIFS(tblEnlaces[Coste (peso)],tblEnlaces[Nodo Origen],$C15,tblEnlaces[Nodo Destino],T$3,tblEnlaces[Activo],1),0)</f>
        <v>0</v>
      </c>
      <c r="U15" s="35">
        <f>IF(MatrizDeAdyacencia!U15=1,SUMIFS(tblEnlaces[Coste (peso)],tblEnlaces[Nodo Origen],$C15,tblEnlaces[Nodo Destino],U$3,tblEnlaces[Activo],1),0)</f>
        <v>0</v>
      </c>
      <c r="V15" s="36">
        <f>IF(MatrizDeAdyacencia!V15=1,SUMIFS(tblEnlaces[Coste (peso)],tblEnlaces[Nodo Origen],$C15,tblEnlaces[Nodo Destino],V$3,tblEnlaces[Activo],1),0)</f>
        <v>0</v>
      </c>
    </row>
    <row r="16" spans="2:27" ht="17.25" customHeight="1" x14ac:dyDescent="0.25">
      <c r="B16" s="14" t="str">
        <f>VLOOKUP(tblMatrizDeAdyacencia[[#This Row],[NodoOrigen \ NodoDestino]],tblNodos[],2,FALSE)</f>
        <v>Redistribuidor secundario 1</v>
      </c>
      <c r="C16" s="5" t="s">
        <v>145</v>
      </c>
      <c r="D16" s="35">
        <f>IF(MatrizDeAdyacencia!D16=1,SUMIFS(tblEnlaces[Coste (peso)],tblEnlaces[Nodo Origen],$C16,tblEnlaces[Nodo Destino],D$3,tblEnlaces[Activo],1),0)</f>
        <v>0</v>
      </c>
      <c r="E16" s="35">
        <f>IF(MatrizDeAdyacencia!E16=1,SUMIFS(tblEnlaces[Coste (peso)],tblEnlaces[Nodo Origen],$C16,tblEnlaces[Nodo Destino],E$3,tblEnlaces[Activo],1),0)</f>
        <v>0</v>
      </c>
      <c r="F16" s="35">
        <f>IF(MatrizDeAdyacencia!F16=1,SUMIFS(tblEnlaces[Coste (peso)],tblEnlaces[Nodo Origen],$C16,tblEnlaces[Nodo Destino],F$3,tblEnlaces[Activo],1),0)</f>
        <v>0</v>
      </c>
      <c r="G16" s="35">
        <f>IF(MatrizDeAdyacencia!G16=1,SUMIFS(tblEnlaces[Coste (peso)],tblEnlaces[Nodo Origen],$C16,tblEnlaces[Nodo Destino],G$3,tblEnlaces[Activo],1),0)</f>
        <v>0</v>
      </c>
      <c r="H16" s="35">
        <f>IF(MatrizDeAdyacencia!H16=1,SUMIFS(tblEnlaces[Coste (peso)],tblEnlaces[Nodo Origen],$C16,tblEnlaces[Nodo Destino],H$3,tblEnlaces[Activo],1),0)</f>
        <v>0</v>
      </c>
      <c r="I16" s="35">
        <f>IF(MatrizDeAdyacencia!I16=1,SUMIFS(tblEnlaces[Coste (peso)],tblEnlaces[Nodo Origen],$C16,tblEnlaces[Nodo Destino],I$3,tblEnlaces[Activo],1),0)</f>
        <v>0</v>
      </c>
      <c r="J16" s="35">
        <f>IF(MatrizDeAdyacencia!J16=1,SUMIFS(tblEnlaces[Coste (peso)],tblEnlaces[Nodo Origen],$C16,tblEnlaces[Nodo Destino],J$3,tblEnlaces[Activo],1),0)</f>
        <v>0</v>
      </c>
      <c r="K16" s="35">
        <f>IF(MatrizDeAdyacencia!K16=1,SUMIFS(tblEnlaces[Coste (peso)],tblEnlaces[Nodo Origen],$C16,tblEnlaces[Nodo Destino],K$3,tblEnlaces[Activo],1),0)</f>
        <v>0</v>
      </c>
      <c r="L16" s="35">
        <f>IF(MatrizDeAdyacencia!L16=1,SUMIFS(tblEnlaces[Coste (peso)],tblEnlaces[Nodo Origen],$C16,tblEnlaces[Nodo Destino],L$3,tblEnlaces[Activo],1),0)</f>
        <v>0</v>
      </c>
      <c r="M16" s="35">
        <f>IF(MatrizDeAdyacencia!M16=1,SUMIFS(tblEnlaces[Coste (peso)],tblEnlaces[Nodo Origen],$C16,tblEnlaces[Nodo Destino],M$3,tblEnlaces[Activo],1),0)</f>
        <v>0</v>
      </c>
      <c r="N16" s="35">
        <f>IF(MatrizDeAdyacencia!N16=1,SUMIFS(tblEnlaces[Coste (peso)],tblEnlaces[Nodo Origen],$C16,tblEnlaces[Nodo Destino],N$3,tblEnlaces[Activo],1),0)</f>
        <v>0</v>
      </c>
      <c r="O16" s="35">
        <f>IF(MatrizDeAdyacencia!O16=1,SUMIFS(tblEnlaces[Coste (peso)],tblEnlaces[Nodo Origen],$C16,tblEnlaces[Nodo Destino],O$3,tblEnlaces[Activo],1),0)</f>
        <v>0</v>
      </c>
      <c r="P16" s="35">
        <f>IF(MatrizDeAdyacencia!P16=1,SUMIFS(tblEnlaces[Coste (peso)],tblEnlaces[Nodo Origen],$C16,tblEnlaces[Nodo Destino],P$3,tblEnlaces[Activo],1),0)</f>
        <v>0</v>
      </c>
      <c r="Q16" s="35">
        <f>IF(MatrizDeAdyacencia!Q16=1,SUMIFS(tblEnlaces[Coste (peso)],tblEnlaces[Nodo Origen],$C16,tblEnlaces[Nodo Destino],Q$3,tblEnlaces[Activo],1),0)</f>
        <v>0</v>
      </c>
      <c r="R16" s="35">
        <f>IF(MatrizDeAdyacencia!R16=1,SUMIFS(tblEnlaces[Coste (peso)],tblEnlaces[Nodo Origen],$C16,tblEnlaces[Nodo Destino],R$3,tblEnlaces[Activo],1),0)</f>
        <v>5</v>
      </c>
      <c r="S16" s="35">
        <f>IF(MatrizDeAdyacencia!S16=1,SUMIFS(tblEnlaces[Coste (peso)],tblEnlaces[Nodo Origen],$C16,tblEnlaces[Nodo Destino],S$3,tblEnlaces[Activo],1),0)</f>
        <v>0</v>
      </c>
      <c r="T16" s="35">
        <f>IF(MatrizDeAdyacencia!T16=1,SUMIFS(tblEnlaces[Coste (peso)],tblEnlaces[Nodo Origen],$C16,tblEnlaces[Nodo Destino],T$3,tblEnlaces[Activo],1),0)</f>
        <v>0</v>
      </c>
      <c r="U16" s="35">
        <f>IF(MatrizDeAdyacencia!U16=1,SUMIFS(tblEnlaces[Coste (peso)],tblEnlaces[Nodo Origen],$C16,tblEnlaces[Nodo Destino],U$3,tblEnlaces[Activo],1),0)</f>
        <v>0</v>
      </c>
      <c r="V16" s="36">
        <f>IF(MatrizDeAdyacencia!V16=1,SUMIFS(tblEnlaces[Coste (peso)],tblEnlaces[Nodo Origen],$C16,tblEnlaces[Nodo Destino],V$3,tblEnlaces[Activo],1),0)</f>
        <v>0</v>
      </c>
    </row>
    <row r="17" spans="2:22" ht="17.25" customHeight="1" x14ac:dyDescent="0.25">
      <c r="B17" s="14" t="str">
        <f>VLOOKUP(tblMatrizDeAdyacencia[[#This Row],[NodoOrigen \ NodoDestino]],tblNodos[],2,FALSE)</f>
        <v>Redistribuidor secundario 2</v>
      </c>
      <c r="C17" s="5" t="s">
        <v>147</v>
      </c>
      <c r="D17" s="35">
        <f>IF(MatrizDeAdyacencia!D17=1,SUMIFS(tblEnlaces[Coste (peso)],tblEnlaces[Nodo Origen],$C17,tblEnlaces[Nodo Destino],D$3,tblEnlaces[Activo],1),0)</f>
        <v>0</v>
      </c>
      <c r="E17" s="35">
        <f>IF(MatrizDeAdyacencia!E17=1,SUMIFS(tblEnlaces[Coste (peso)],tblEnlaces[Nodo Origen],$C17,tblEnlaces[Nodo Destino],E$3,tblEnlaces[Activo],1),0)</f>
        <v>0</v>
      </c>
      <c r="F17" s="35">
        <f>IF(MatrizDeAdyacencia!F17=1,SUMIFS(tblEnlaces[Coste (peso)],tblEnlaces[Nodo Origen],$C17,tblEnlaces[Nodo Destino],F$3,tblEnlaces[Activo],1),0)</f>
        <v>0</v>
      </c>
      <c r="G17" s="35">
        <f>IF(MatrizDeAdyacencia!G17=1,SUMIFS(tblEnlaces[Coste (peso)],tblEnlaces[Nodo Origen],$C17,tblEnlaces[Nodo Destino],G$3,tblEnlaces[Activo],1),0)</f>
        <v>0</v>
      </c>
      <c r="H17" s="35">
        <f>IF(MatrizDeAdyacencia!H17=1,SUMIFS(tblEnlaces[Coste (peso)],tblEnlaces[Nodo Origen],$C17,tblEnlaces[Nodo Destino],H$3,tblEnlaces[Activo],1),0)</f>
        <v>0</v>
      </c>
      <c r="I17" s="35">
        <f>IF(MatrizDeAdyacencia!I17=1,SUMIFS(tblEnlaces[Coste (peso)],tblEnlaces[Nodo Origen],$C17,tblEnlaces[Nodo Destino],I$3,tblEnlaces[Activo],1),0)</f>
        <v>0</v>
      </c>
      <c r="J17" s="35">
        <f>IF(MatrizDeAdyacencia!J17=1,SUMIFS(tblEnlaces[Coste (peso)],tblEnlaces[Nodo Origen],$C17,tblEnlaces[Nodo Destino],J$3,tblEnlaces[Activo],1),0)</f>
        <v>0</v>
      </c>
      <c r="K17" s="35">
        <f>IF(MatrizDeAdyacencia!K17=1,SUMIFS(tblEnlaces[Coste (peso)],tblEnlaces[Nodo Origen],$C17,tblEnlaces[Nodo Destino],K$3,tblEnlaces[Activo],1),0)</f>
        <v>0</v>
      </c>
      <c r="L17" s="35">
        <f>IF(MatrizDeAdyacencia!L17=1,SUMIFS(tblEnlaces[Coste (peso)],tblEnlaces[Nodo Origen],$C17,tblEnlaces[Nodo Destino],L$3,tblEnlaces[Activo],1),0)</f>
        <v>0</v>
      </c>
      <c r="M17" s="35">
        <f>IF(MatrizDeAdyacencia!M17=1,SUMIFS(tblEnlaces[Coste (peso)],tblEnlaces[Nodo Origen],$C17,tblEnlaces[Nodo Destino],M$3,tblEnlaces[Activo],1),0)</f>
        <v>0</v>
      </c>
      <c r="N17" s="35">
        <f>IF(MatrizDeAdyacencia!N17=1,SUMIFS(tblEnlaces[Coste (peso)],tblEnlaces[Nodo Origen],$C17,tblEnlaces[Nodo Destino],N$3,tblEnlaces[Activo],1),0)</f>
        <v>0</v>
      </c>
      <c r="O17" s="35">
        <f>IF(MatrizDeAdyacencia!O17=1,SUMIFS(tblEnlaces[Coste (peso)],tblEnlaces[Nodo Origen],$C17,tblEnlaces[Nodo Destino],O$3,tblEnlaces[Activo],1),0)</f>
        <v>0</v>
      </c>
      <c r="P17" s="35">
        <f>IF(MatrizDeAdyacencia!P17=1,SUMIFS(tblEnlaces[Coste (peso)],tblEnlaces[Nodo Origen],$C17,tblEnlaces[Nodo Destino],P$3,tblEnlaces[Activo],1),0)</f>
        <v>0</v>
      </c>
      <c r="Q17" s="35">
        <f>IF(MatrizDeAdyacencia!Q17=1,SUMIFS(tblEnlaces[Coste (peso)],tblEnlaces[Nodo Origen],$C17,tblEnlaces[Nodo Destino],Q$3,tblEnlaces[Activo],1),0)</f>
        <v>0</v>
      </c>
      <c r="R17" s="35">
        <f>IF(MatrizDeAdyacencia!R17=1,SUMIFS(tblEnlaces[Coste (peso)],tblEnlaces[Nodo Origen],$C17,tblEnlaces[Nodo Destino],R$3,tblEnlaces[Activo],1),0)</f>
        <v>0</v>
      </c>
      <c r="S17" s="35">
        <f>IF(MatrizDeAdyacencia!S17=1,SUMIFS(tblEnlaces[Coste (peso)],tblEnlaces[Nodo Origen],$C17,tblEnlaces[Nodo Destino],S$3,tblEnlaces[Activo],1),0)</f>
        <v>5</v>
      </c>
      <c r="T17" s="35">
        <f>IF(MatrizDeAdyacencia!T17=1,SUMIFS(tblEnlaces[Coste (peso)],tblEnlaces[Nodo Origen],$C17,tblEnlaces[Nodo Destino],T$3,tblEnlaces[Activo],1),0)</f>
        <v>0</v>
      </c>
      <c r="U17" s="35">
        <f>IF(MatrizDeAdyacencia!U17=1,SUMIFS(tblEnlaces[Coste (peso)],tblEnlaces[Nodo Origen],$C17,tblEnlaces[Nodo Destino],U$3,tblEnlaces[Activo],1),0)</f>
        <v>0</v>
      </c>
      <c r="V17" s="36">
        <f>IF(MatrizDeAdyacencia!V17=1,SUMIFS(tblEnlaces[Coste (peso)],tblEnlaces[Nodo Origen],$C17,tblEnlaces[Nodo Destino],V$3,tblEnlaces[Activo],1),0)</f>
        <v>0</v>
      </c>
    </row>
    <row r="18" spans="2:22" ht="17.25" customHeight="1" x14ac:dyDescent="0.25">
      <c r="B18" s="14" t="str">
        <f>VLOOKUP(tblMatrizDeAdyacencia[[#This Row],[NodoOrigen \ NodoDestino]],tblNodos[],2,FALSE)</f>
        <v>Redistribuidor intermedio</v>
      </c>
      <c r="C18" s="5" t="s">
        <v>149</v>
      </c>
      <c r="D18" s="35">
        <f>IF(MatrizDeAdyacencia!D18=1,SUMIFS(tblEnlaces[Coste (peso)],tblEnlaces[Nodo Origen],$C18,tblEnlaces[Nodo Destino],D$3,tblEnlaces[Activo],1),0)</f>
        <v>0</v>
      </c>
      <c r="E18" s="35">
        <f>IF(MatrizDeAdyacencia!E18=1,SUMIFS(tblEnlaces[Coste (peso)],tblEnlaces[Nodo Origen],$C18,tblEnlaces[Nodo Destino],E$3,tblEnlaces[Activo],1),0)</f>
        <v>0</v>
      </c>
      <c r="F18" s="35">
        <f>IF(MatrizDeAdyacencia!F18=1,SUMIFS(tblEnlaces[Coste (peso)],tblEnlaces[Nodo Origen],$C18,tblEnlaces[Nodo Destino],F$3,tblEnlaces[Activo],1),0)</f>
        <v>0</v>
      </c>
      <c r="G18" s="35">
        <f>IF(MatrizDeAdyacencia!G18=1,SUMIFS(tblEnlaces[Coste (peso)],tblEnlaces[Nodo Origen],$C18,tblEnlaces[Nodo Destino],G$3,tblEnlaces[Activo],1),0)</f>
        <v>0</v>
      </c>
      <c r="H18" s="35">
        <f>IF(MatrizDeAdyacencia!H18=1,SUMIFS(tblEnlaces[Coste (peso)],tblEnlaces[Nodo Origen],$C18,tblEnlaces[Nodo Destino],H$3,tblEnlaces[Activo],1),0)</f>
        <v>0</v>
      </c>
      <c r="I18" s="35">
        <f>IF(MatrizDeAdyacencia!I18=1,SUMIFS(tblEnlaces[Coste (peso)],tblEnlaces[Nodo Origen],$C18,tblEnlaces[Nodo Destino],I$3,tblEnlaces[Activo],1),0)</f>
        <v>0</v>
      </c>
      <c r="J18" s="35">
        <f>IF(MatrizDeAdyacencia!J18=1,SUMIFS(tblEnlaces[Coste (peso)],tblEnlaces[Nodo Origen],$C18,tblEnlaces[Nodo Destino],J$3,tblEnlaces[Activo],1),0)</f>
        <v>0</v>
      </c>
      <c r="K18" s="35">
        <f>IF(MatrizDeAdyacencia!K18=1,SUMIFS(tblEnlaces[Coste (peso)],tblEnlaces[Nodo Origen],$C18,tblEnlaces[Nodo Destino],K$3,tblEnlaces[Activo],1),0)</f>
        <v>0</v>
      </c>
      <c r="L18" s="35">
        <f>IF(MatrizDeAdyacencia!L18=1,SUMIFS(tblEnlaces[Coste (peso)],tblEnlaces[Nodo Origen],$C18,tblEnlaces[Nodo Destino],L$3,tblEnlaces[Activo],1),0)</f>
        <v>0</v>
      </c>
      <c r="M18" s="35">
        <f>IF(MatrizDeAdyacencia!M18=1,SUMIFS(tblEnlaces[Coste (peso)],tblEnlaces[Nodo Origen],$C18,tblEnlaces[Nodo Destino],M$3,tblEnlaces[Activo],1),0)</f>
        <v>0</v>
      </c>
      <c r="N18" s="35">
        <f>IF(MatrizDeAdyacencia!N18=1,SUMIFS(tblEnlaces[Coste (peso)],tblEnlaces[Nodo Origen],$C18,tblEnlaces[Nodo Destino],N$3,tblEnlaces[Activo],1),0)</f>
        <v>0</v>
      </c>
      <c r="O18" s="35">
        <f>IF(MatrizDeAdyacencia!O18=1,SUMIFS(tblEnlaces[Coste (peso)],tblEnlaces[Nodo Origen],$C18,tblEnlaces[Nodo Destino],O$3,tblEnlaces[Activo],1),0)</f>
        <v>0</v>
      </c>
      <c r="P18" s="35">
        <f>IF(MatrizDeAdyacencia!P18=1,SUMIFS(tblEnlaces[Coste (peso)],tblEnlaces[Nodo Origen],$C18,tblEnlaces[Nodo Destino],P$3,tblEnlaces[Activo],1),0)</f>
        <v>0</v>
      </c>
      <c r="Q18" s="35">
        <f>IF(MatrizDeAdyacencia!Q18=1,SUMIFS(tblEnlaces[Coste (peso)],tblEnlaces[Nodo Origen],$C18,tblEnlaces[Nodo Destino],Q$3,tblEnlaces[Activo],1),0)</f>
        <v>0</v>
      </c>
      <c r="R18" s="35">
        <f>IF(MatrizDeAdyacencia!R18=1,SUMIFS(tblEnlaces[Coste (peso)],tblEnlaces[Nodo Origen],$C18,tblEnlaces[Nodo Destino],R$3,tblEnlaces[Activo],1),0)</f>
        <v>0</v>
      </c>
      <c r="S18" s="35">
        <f>IF(MatrizDeAdyacencia!S18=1,SUMIFS(tblEnlaces[Coste (peso)],tblEnlaces[Nodo Origen],$C18,tblEnlaces[Nodo Destino],S$3,tblEnlaces[Activo],1),0)</f>
        <v>0</v>
      </c>
      <c r="T18" s="35">
        <f>IF(MatrizDeAdyacencia!T18=1,SUMIFS(tblEnlaces[Coste (peso)],tblEnlaces[Nodo Origen],$C18,tblEnlaces[Nodo Destino],T$3,tblEnlaces[Activo],1),0)</f>
        <v>3</v>
      </c>
      <c r="U18" s="35">
        <f>IF(MatrizDeAdyacencia!U18=1,SUMIFS(tblEnlaces[Coste (peso)],tblEnlaces[Nodo Origen],$C18,tblEnlaces[Nodo Destino],U$3,tblEnlaces[Activo],1),0)</f>
        <v>0</v>
      </c>
      <c r="V18" s="36">
        <f>IF(MatrizDeAdyacencia!V18=1,SUMIFS(tblEnlaces[Coste (peso)],tblEnlaces[Nodo Origen],$C18,tblEnlaces[Nodo Destino],V$3,tblEnlaces[Activo],1),0)</f>
        <v>5</v>
      </c>
    </row>
    <row r="19" spans="2:22" ht="17.25" customHeight="1" x14ac:dyDescent="0.25">
      <c r="B19" s="14" t="str">
        <f>VLOOKUP(tblMatrizDeAdyacencia[[#This Row],[NodoOrigen \ NodoDestino]],tblNodos[],2,FALSE)</f>
        <v>Redistribuidor logístico</v>
      </c>
      <c r="C19" s="5" t="s">
        <v>150</v>
      </c>
      <c r="D19" s="35">
        <f>IF(MatrizDeAdyacencia!D19=1,SUMIFS(tblEnlaces[Coste (peso)],tblEnlaces[Nodo Origen],$C19,tblEnlaces[Nodo Destino],D$3,tblEnlaces[Activo],1),0)</f>
        <v>0</v>
      </c>
      <c r="E19" s="35">
        <f>IF(MatrizDeAdyacencia!E19=1,SUMIFS(tblEnlaces[Coste (peso)],tblEnlaces[Nodo Origen],$C19,tblEnlaces[Nodo Destino],E$3,tblEnlaces[Activo],1),0)</f>
        <v>0</v>
      </c>
      <c r="F19" s="35">
        <f>IF(MatrizDeAdyacencia!F19=1,SUMIFS(tblEnlaces[Coste (peso)],tblEnlaces[Nodo Origen],$C19,tblEnlaces[Nodo Destino],F$3,tblEnlaces[Activo],1),0)</f>
        <v>0</v>
      </c>
      <c r="G19" s="35">
        <f>IF(MatrizDeAdyacencia!G19=1,SUMIFS(tblEnlaces[Coste (peso)],tblEnlaces[Nodo Origen],$C19,tblEnlaces[Nodo Destino],G$3,tblEnlaces[Activo],1),0)</f>
        <v>0</v>
      </c>
      <c r="H19" s="35">
        <f>IF(MatrizDeAdyacencia!H19=1,SUMIFS(tblEnlaces[Coste (peso)],tblEnlaces[Nodo Origen],$C19,tblEnlaces[Nodo Destino],H$3,tblEnlaces[Activo],1),0)</f>
        <v>0</v>
      </c>
      <c r="I19" s="35">
        <f>IF(MatrizDeAdyacencia!I19=1,SUMIFS(tblEnlaces[Coste (peso)],tblEnlaces[Nodo Origen],$C19,tblEnlaces[Nodo Destino],I$3,tblEnlaces[Activo],1),0)</f>
        <v>0</v>
      </c>
      <c r="J19" s="35">
        <f>IF(MatrizDeAdyacencia!J19=1,SUMIFS(tblEnlaces[Coste (peso)],tblEnlaces[Nodo Origen],$C19,tblEnlaces[Nodo Destino],J$3,tblEnlaces[Activo],1),0)</f>
        <v>0</v>
      </c>
      <c r="K19" s="35">
        <f>IF(MatrizDeAdyacencia!K19=1,SUMIFS(tblEnlaces[Coste (peso)],tblEnlaces[Nodo Origen],$C19,tblEnlaces[Nodo Destino],K$3,tblEnlaces[Activo],1),0)</f>
        <v>0</v>
      </c>
      <c r="L19" s="35">
        <f>IF(MatrizDeAdyacencia!L19=1,SUMIFS(tblEnlaces[Coste (peso)],tblEnlaces[Nodo Origen],$C19,tblEnlaces[Nodo Destino],L$3,tblEnlaces[Activo],1),0)</f>
        <v>0</v>
      </c>
      <c r="M19" s="35">
        <f>IF(MatrizDeAdyacencia!M19=1,SUMIFS(tblEnlaces[Coste (peso)],tblEnlaces[Nodo Origen],$C19,tblEnlaces[Nodo Destino],M$3,tblEnlaces[Activo],1),0)</f>
        <v>0</v>
      </c>
      <c r="N19" s="35">
        <f>IF(MatrizDeAdyacencia!N19=1,SUMIFS(tblEnlaces[Coste (peso)],tblEnlaces[Nodo Origen],$C19,tblEnlaces[Nodo Destino],N$3,tblEnlaces[Activo],1),0)</f>
        <v>0</v>
      </c>
      <c r="O19" s="35">
        <f>IF(MatrizDeAdyacencia!O19=1,SUMIFS(tblEnlaces[Coste (peso)],tblEnlaces[Nodo Origen],$C19,tblEnlaces[Nodo Destino],O$3,tblEnlaces[Activo],1),0)</f>
        <v>0</v>
      </c>
      <c r="P19" s="35">
        <f>IF(MatrizDeAdyacencia!P19=1,SUMIFS(tblEnlaces[Coste (peso)],tblEnlaces[Nodo Origen],$C19,tblEnlaces[Nodo Destino],P$3,tblEnlaces[Activo],1),0)</f>
        <v>0</v>
      </c>
      <c r="Q19" s="35">
        <f>IF(MatrizDeAdyacencia!Q19=1,SUMIFS(tblEnlaces[Coste (peso)],tblEnlaces[Nodo Origen],$C19,tblEnlaces[Nodo Destino],Q$3,tblEnlaces[Activo],1),0)</f>
        <v>0</v>
      </c>
      <c r="R19" s="35">
        <f>IF(MatrizDeAdyacencia!R19=1,SUMIFS(tblEnlaces[Coste (peso)],tblEnlaces[Nodo Origen],$C19,tblEnlaces[Nodo Destino],R$3,tblEnlaces[Activo],1),0)</f>
        <v>0</v>
      </c>
      <c r="S19" s="35">
        <f>IF(MatrizDeAdyacencia!S19=1,SUMIFS(tblEnlaces[Coste (peso)],tblEnlaces[Nodo Origen],$C19,tblEnlaces[Nodo Destino],S$3,tblEnlaces[Activo],1),0)</f>
        <v>0</v>
      </c>
      <c r="T19" s="35">
        <f>IF(MatrizDeAdyacencia!T19=1,SUMIFS(tblEnlaces[Coste (peso)],tblEnlaces[Nodo Origen],$C19,tblEnlaces[Nodo Destino],T$3,tblEnlaces[Activo],1),0)</f>
        <v>3</v>
      </c>
      <c r="U19" s="35">
        <f>IF(MatrizDeAdyacencia!U19=1,SUMIFS(tblEnlaces[Coste (peso)],tblEnlaces[Nodo Origen],$C19,tblEnlaces[Nodo Destino],U$3,tblEnlaces[Activo],1),0)</f>
        <v>0</v>
      </c>
      <c r="V19" s="36">
        <f>IF(MatrizDeAdyacencia!V19=1,SUMIFS(tblEnlaces[Coste (peso)],tblEnlaces[Nodo Origen],$C19,tblEnlaces[Nodo Destino],V$3,tblEnlaces[Activo],1),0)</f>
        <v>5</v>
      </c>
    </row>
    <row r="20" spans="2:22" ht="17.25" customHeight="1" x14ac:dyDescent="0.25">
      <c r="B20" s="14" t="str">
        <f>VLOOKUP(tblMatrizDeAdyacencia[[#This Row],[NodoOrigen \ NodoDestino]],tblNodos[],2,FALSE)</f>
        <v>Redistribuidor financiero</v>
      </c>
      <c r="C20" s="5" t="s">
        <v>151</v>
      </c>
      <c r="D20" s="35">
        <f>IF(MatrizDeAdyacencia!D20=1,SUMIFS(tblEnlaces[Coste (peso)],tblEnlaces[Nodo Origen],$C20,tblEnlaces[Nodo Destino],D$3,tblEnlaces[Activo],1),0)</f>
        <v>0</v>
      </c>
      <c r="E20" s="35">
        <f>IF(MatrizDeAdyacencia!E20=1,SUMIFS(tblEnlaces[Coste (peso)],tblEnlaces[Nodo Origen],$C20,tblEnlaces[Nodo Destino],E$3,tblEnlaces[Activo],1),0)</f>
        <v>0</v>
      </c>
      <c r="F20" s="35">
        <f>IF(MatrizDeAdyacencia!F20=1,SUMIFS(tblEnlaces[Coste (peso)],tblEnlaces[Nodo Origen],$C20,tblEnlaces[Nodo Destino],F$3,tblEnlaces[Activo],1),0)</f>
        <v>0</v>
      </c>
      <c r="G20" s="35">
        <f>IF(MatrizDeAdyacencia!G20=1,SUMIFS(tblEnlaces[Coste (peso)],tblEnlaces[Nodo Origen],$C20,tblEnlaces[Nodo Destino],G$3,tblEnlaces[Activo],1),0)</f>
        <v>0</v>
      </c>
      <c r="H20" s="35">
        <f>IF(MatrizDeAdyacencia!H20=1,SUMIFS(tblEnlaces[Coste (peso)],tblEnlaces[Nodo Origen],$C20,tblEnlaces[Nodo Destino],H$3,tblEnlaces[Activo],1),0)</f>
        <v>0</v>
      </c>
      <c r="I20" s="35">
        <f>IF(MatrizDeAdyacencia!I20=1,SUMIFS(tblEnlaces[Coste (peso)],tblEnlaces[Nodo Origen],$C20,tblEnlaces[Nodo Destino],I$3,tblEnlaces[Activo],1),0)</f>
        <v>0</v>
      </c>
      <c r="J20" s="35">
        <f>IF(MatrizDeAdyacencia!J20=1,SUMIFS(tblEnlaces[Coste (peso)],tblEnlaces[Nodo Origen],$C20,tblEnlaces[Nodo Destino],J$3,tblEnlaces[Activo],1),0)</f>
        <v>0</v>
      </c>
      <c r="K20" s="35">
        <f>IF(MatrizDeAdyacencia!K20=1,SUMIFS(tblEnlaces[Coste (peso)],tblEnlaces[Nodo Origen],$C20,tblEnlaces[Nodo Destino],K$3,tblEnlaces[Activo],1),0)</f>
        <v>0</v>
      </c>
      <c r="L20" s="35">
        <f>IF(MatrizDeAdyacencia!L20=1,SUMIFS(tblEnlaces[Coste (peso)],tblEnlaces[Nodo Origen],$C20,tblEnlaces[Nodo Destino],L$3,tblEnlaces[Activo],1),0)</f>
        <v>0</v>
      </c>
      <c r="M20" s="35">
        <f>IF(MatrizDeAdyacencia!M20=1,SUMIFS(tblEnlaces[Coste (peso)],tblEnlaces[Nodo Origen],$C20,tblEnlaces[Nodo Destino],M$3,tblEnlaces[Activo],1),0)</f>
        <v>0</v>
      </c>
      <c r="N20" s="35">
        <f>IF(MatrizDeAdyacencia!N20=1,SUMIFS(tblEnlaces[Coste (peso)],tblEnlaces[Nodo Origen],$C20,tblEnlaces[Nodo Destino],N$3,tblEnlaces[Activo],1),0)</f>
        <v>0</v>
      </c>
      <c r="O20" s="35">
        <f>IF(MatrizDeAdyacencia!O20=1,SUMIFS(tblEnlaces[Coste (peso)],tblEnlaces[Nodo Origen],$C20,tblEnlaces[Nodo Destino],O$3,tblEnlaces[Activo],1),0)</f>
        <v>0</v>
      </c>
      <c r="P20" s="35">
        <f>IF(MatrizDeAdyacencia!P20=1,SUMIFS(tblEnlaces[Coste (peso)],tblEnlaces[Nodo Origen],$C20,tblEnlaces[Nodo Destino],P$3,tblEnlaces[Activo],1),0)</f>
        <v>0</v>
      </c>
      <c r="Q20" s="35">
        <f>IF(MatrizDeAdyacencia!Q20=1,SUMIFS(tblEnlaces[Coste (peso)],tblEnlaces[Nodo Origen],$C20,tblEnlaces[Nodo Destino],Q$3,tblEnlaces[Activo],1),0)</f>
        <v>0</v>
      </c>
      <c r="R20" s="35">
        <f>IF(MatrizDeAdyacencia!R20=1,SUMIFS(tblEnlaces[Coste (peso)],tblEnlaces[Nodo Origen],$C20,tblEnlaces[Nodo Destino],R$3,tblEnlaces[Activo],1),0)</f>
        <v>0</v>
      </c>
      <c r="S20" s="35">
        <f>IF(MatrizDeAdyacencia!S20=1,SUMIFS(tblEnlaces[Coste (peso)],tblEnlaces[Nodo Origen],$C20,tblEnlaces[Nodo Destino],S$3,tblEnlaces[Activo],1),0)</f>
        <v>0</v>
      </c>
      <c r="T20" s="35">
        <f>IF(MatrizDeAdyacencia!T20=1,SUMIFS(tblEnlaces[Coste (peso)],tblEnlaces[Nodo Origen],$C20,tblEnlaces[Nodo Destino],T$3,tblEnlaces[Activo],1),0)</f>
        <v>0</v>
      </c>
      <c r="U20" s="35">
        <f>IF(MatrizDeAdyacencia!U20=1,SUMIFS(tblEnlaces[Coste (peso)],tblEnlaces[Nodo Origen],$C20,tblEnlaces[Nodo Destino],U$3,tblEnlaces[Activo],1),0)</f>
        <v>5</v>
      </c>
      <c r="V20" s="36">
        <f>IF(MatrizDeAdyacencia!V20=1,SUMIFS(tblEnlaces[Coste (peso)],tblEnlaces[Nodo Origen],$C20,tblEnlaces[Nodo Destino],V$3,tblEnlaces[Activo],1),0)</f>
        <v>3</v>
      </c>
    </row>
    <row r="21" spans="2:22" ht="17.25" customHeight="1" x14ac:dyDescent="0.25">
      <c r="B21" s="14" t="str">
        <f>VLOOKUP(tblMatrizDeAdyacencia[[#This Row],[NodoOrigen \ NodoDestino]],tblNodos[],2,FALSE)</f>
        <v>Redistribuidor final</v>
      </c>
      <c r="C21" s="5" t="s">
        <v>153</v>
      </c>
      <c r="D21" s="35">
        <f>IF(MatrizDeAdyacencia!D21=1,SUMIFS(tblEnlaces[Coste (peso)],tblEnlaces[Nodo Origen],$C21,tblEnlaces[Nodo Destino],D$3,tblEnlaces[Activo],1),0)</f>
        <v>0</v>
      </c>
      <c r="E21" s="35">
        <f>IF(MatrizDeAdyacencia!E21=1,SUMIFS(tblEnlaces[Coste (peso)],tblEnlaces[Nodo Origen],$C21,tblEnlaces[Nodo Destino],E$3,tblEnlaces[Activo],1),0)</f>
        <v>0</v>
      </c>
      <c r="F21" s="35">
        <f>IF(MatrizDeAdyacencia!F21=1,SUMIFS(tblEnlaces[Coste (peso)],tblEnlaces[Nodo Origen],$C21,tblEnlaces[Nodo Destino],F$3,tblEnlaces[Activo],1),0)</f>
        <v>0</v>
      </c>
      <c r="G21" s="35">
        <f>IF(MatrizDeAdyacencia!G21=1,SUMIFS(tblEnlaces[Coste (peso)],tblEnlaces[Nodo Origen],$C21,tblEnlaces[Nodo Destino],G$3,tblEnlaces[Activo],1),0)</f>
        <v>0</v>
      </c>
      <c r="H21" s="35">
        <f>IF(MatrizDeAdyacencia!H21=1,SUMIFS(tblEnlaces[Coste (peso)],tblEnlaces[Nodo Origen],$C21,tblEnlaces[Nodo Destino],H$3,tblEnlaces[Activo],1),0)</f>
        <v>0</v>
      </c>
      <c r="I21" s="35">
        <f>IF(MatrizDeAdyacencia!I21=1,SUMIFS(tblEnlaces[Coste (peso)],tblEnlaces[Nodo Origen],$C21,tblEnlaces[Nodo Destino],I$3,tblEnlaces[Activo],1),0)</f>
        <v>0</v>
      </c>
      <c r="J21" s="35">
        <f>IF(MatrizDeAdyacencia!J21=1,SUMIFS(tblEnlaces[Coste (peso)],tblEnlaces[Nodo Origen],$C21,tblEnlaces[Nodo Destino],J$3,tblEnlaces[Activo],1),0)</f>
        <v>0</v>
      </c>
      <c r="K21" s="35">
        <f>IF(MatrizDeAdyacencia!K21=1,SUMIFS(tblEnlaces[Coste (peso)],tblEnlaces[Nodo Origen],$C21,tblEnlaces[Nodo Destino],K$3,tblEnlaces[Activo],1),0)</f>
        <v>0</v>
      </c>
      <c r="L21" s="35">
        <f>IF(MatrizDeAdyacencia!L21=1,SUMIFS(tblEnlaces[Coste (peso)],tblEnlaces[Nodo Origen],$C21,tblEnlaces[Nodo Destino],L$3,tblEnlaces[Activo],1),0)</f>
        <v>0</v>
      </c>
      <c r="M21" s="35">
        <f>IF(MatrizDeAdyacencia!M21=1,SUMIFS(tblEnlaces[Coste (peso)],tblEnlaces[Nodo Origen],$C21,tblEnlaces[Nodo Destino],M$3,tblEnlaces[Activo],1),0)</f>
        <v>0</v>
      </c>
      <c r="N21" s="35">
        <f>IF(MatrizDeAdyacencia!N21=1,SUMIFS(tblEnlaces[Coste (peso)],tblEnlaces[Nodo Origen],$C21,tblEnlaces[Nodo Destino],N$3,tblEnlaces[Activo],1),0)</f>
        <v>0</v>
      </c>
      <c r="O21" s="35">
        <f>IF(MatrizDeAdyacencia!O21=1,SUMIFS(tblEnlaces[Coste (peso)],tblEnlaces[Nodo Origen],$C21,tblEnlaces[Nodo Destino],O$3,tblEnlaces[Activo],1),0)</f>
        <v>0</v>
      </c>
      <c r="P21" s="35">
        <f>IF(MatrizDeAdyacencia!P21=1,SUMIFS(tblEnlaces[Coste (peso)],tblEnlaces[Nodo Origen],$C21,tblEnlaces[Nodo Destino],P$3,tblEnlaces[Activo],1),0)</f>
        <v>0</v>
      </c>
      <c r="Q21" s="35">
        <f>IF(MatrizDeAdyacencia!Q21=1,SUMIFS(tblEnlaces[Coste (peso)],tblEnlaces[Nodo Origen],$C21,tblEnlaces[Nodo Destino],Q$3,tblEnlaces[Activo],1),0)</f>
        <v>0</v>
      </c>
      <c r="R21" s="35">
        <f>IF(MatrizDeAdyacencia!R21=1,SUMIFS(tblEnlaces[Coste (peso)],tblEnlaces[Nodo Origen],$C21,tblEnlaces[Nodo Destino],R$3,tblEnlaces[Activo],1),0)</f>
        <v>0</v>
      </c>
      <c r="S21" s="35">
        <f>IF(MatrizDeAdyacencia!S21=1,SUMIFS(tblEnlaces[Coste (peso)],tblEnlaces[Nodo Origen],$C21,tblEnlaces[Nodo Destino],S$3,tblEnlaces[Activo],1),0)</f>
        <v>0</v>
      </c>
      <c r="T21" s="35">
        <f>IF(MatrizDeAdyacencia!T21=1,SUMIFS(tblEnlaces[Coste (peso)],tblEnlaces[Nodo Origen],$C21,tblEnlaces[Nodo Destino],T$3,tblEnlaces[Activo],1),0)</f>
        <v>0</v>
      </c>
      <c r="U21" s="35">
        <f>IF(MatrizDeAdyacencia!U21=1,SUMIFS(tblEnlaces[Coste (peso)],tblEnlaces[Nodo Origen],$C21,tblEnlaces[Nodo Destino],U$3,tblEnlaces[Activo],1),0)</f>
        <v>0</v>
      </c>
      <c r="V21" s="36">
        <f>IF(MatrizDeAdyacencia!V21=1,SUMIFS(tblEnlaces[Coste (peso)],tblEnlaces[Nodo Origen],$C21,tblEnlaces[Nodo Destino],V$3,tblEnlaces[Activo],1),0)</f>
        <v>5</v>
      </c>
    </row>
    <row r="22" spans="2:22" ht="17.25" customHeight="1" x14ac:dyDescent="0.25">
      <c r="B22" s="15" t="str">
        <f>VLOOKUP(tblMatrizDeAdyacencia[[#This Row],[NodoOrigen \ NodoDestino]],tblNodos[],2,FALSE)</f>
        <v>Destino operativo final</v>
      </c>
      <c r="C22" s="10" t="s">
        <v>133</v>
      </c>
      <c r="D22" s="37">
        <f>IF(MatrizDeAdyacencia!D22=1,SUMIFS(tblEnlaces[Coste (peso)],tblEnlaces[Nodo Origen],$C22,tblEnlaces[Nodo Destino],D$3,tblEnlaces[Activo],1),0)</f>
        <v>0</v>
      </c>
      <c r="E22" s="37">
        <f>IF(MatrizDeAdyacencia!E22=1,SUMIFS(tblEnlaces[Coste (peso)],tblEnlaces[Nodo Origen],$C22,tblEnlaces[Nodo Destino],E$3,tblEnlaces[Activo],1),0)</f>
        <v>0</v>
      </c>
      <c r="F22" s="37">
        <f>IF(MatrizDeAdyacencia!F22=1,SUMIFS(tblEnlaces[Coste (peso)],tblEnlaces[Nodo Origen],$C22,tblEnlaces[Nodo Destino],F$3,tblEnlaces[Activo],1),0)</f>
        <v>0</v>
      </c>
      <c r="G22" s="37">
        <f>IF(MatrizDeAdyacencia!G22=1,SUMIFS(tblEnlaces[Coste (peso)],tblEnlaces[Nodo Origen],$C22,tblEnlaces[Nodo Destino],G$3,tblEnlaces[Activo],1),0)</f>
        <v>0</v>
      </c>
      <c r="H22" s="37">
        <f>IF(MatrizDeAdyacencia!H22=1,SUMIFS(tblEnlaces[Coste (peso)],tblEnlaces[Nodo Origen],$C22,tblEnlaces[Nodo Destino],H$3,tblEnlaces[Activo],1),0)</f>
        <v>0</v>
      </c>
      <c r="I22" s="37">
        <f>IF(MatrizDeAdyacencia!I22=1,SUMIFS(tblEnlaces[Coste (peso)],tblEnlaces[Nodo Origen],$C22,tblEnlaces[Nodo Destino],I$3,tblEnlaces[Activo],1),0)</f>
        <v>0</v>
      </c>
      <c r="J22" s="37">
        <f>IF(MatrizDeAdyacencia!J22=1,SUMIFS(tblEnlaces[Coste (peso)],tblEnlaces[Nodo Origen],$C22,tblEnlaces[Nodo Destino],J$3,tblEnlaces[Activo],1),0)</f>
        <v>0</v>
      </c>
      <c r="K22" s="37">
        <f>IF(MatrizDeAdyacencia!K22=1,SUMIFS(tblEnlaces[Coste (peso)],tblEnlaces[Nodo Origen],$C22,tblEnlaces[Nodo Destino],K$3,tblEnlaces[Activo],1),0)</f>
        <v>0</v>
      </c>
      <c r="L22" s="37">
        <f>IF(MatrizDeAdyacencia!L22=1,SUMIFS(tblEnlaces[Coste (peso)],tblEnlaces[Nodo Origen],$C22,tblEnlaces[Nodo Destino],L$3,tblEnlaces[Activo],1),0)</f>
        <v>0</v>
      </c>
      <c r="M22" s="37">
        <f>IF(MatrizDeAdyacencia!M22=1,SUMIFS(tblEnlaces[Coste (peso)],tblEnlaces[Nodo Origen],$C22,tblEnlaces[Nodo Destino],M$3,tblEnlaces[Activo],1),0)</f>
        <v>0</v>
      </c>
      <c r="N22" s="37">
        <f>IF(MatrizDeAdyacencia!N22=1,SUMIFS(tblEnlaces[Coste (peso)],tblEnlaces[Nodo Origen],$C22,tblEnlaces[Nodo Destino],N$3,tblEnlaces[Activo],1),0)</f>
        <v>0</v>
      </c>
      <c r="O22" s="37">
        <f>IF(MatrizDeAdyacencia!O22=1,SUMIFS(tblEnlaces[Coste (peso)],tblEnlaces[Nodo Origen],$C22,tblEnlaces[Nodo Destino],O$3,tblEnlaces[Activo],1),0)</f>
        <v>0</v>
      </c>
      <c r="P22" s="37">
        <f>IF(MatrizDeAdyacencia!P22=1,SUMIFS(tblEnlaces[Coste (peso)],tblEnlaces[Nodo Origen],$C22,tblEnlaces[Nodo Destino],P$3,tblEnlaces[Activo],1),0)</f>
        <v>0</v>
      </c>
      <c r="Q22" s="37">
        <f>IF(MatrizDeAdyacencia!Q22=1,SUMIFS(tblEnlaces[Coste (peso)],tblEnlaces[Nodo Origen],$C22,tblEnlaces[Nodo Destino],Q$3,tblEnlaces[Activo],1),0)</f>
        <v>0</v>
      </c>
      <c r="R22" s="37">
        <f>IF(MatrizDeAdyacencia!R22=1,SUMIFS(tblEnlaces[Coste (peso)],tblEnlaces[Nodo Origen],$C22,tblEnlaces[Nodo Destino],R$3,tblEnlaces[Activo],1),0)</f>
        <v>0</v>
      </c>
      <c r="S22" s="37">
        <f>IF(MatrizDeAdyacencia!S22=1,SUMIFS(tblEnlaces[Coste (peso)],tblEnlaces[Nodo Origen],$C22,tblEnlaces[Nodo Destino],S$3,tblEnlaces[Activo],1),0)</f>
        <v>0</v>
      </c>
      <c r="T22" s="37">
        <f>IF(MatrizDeAdyacencia!T22=1,SUMIFS(tblEnlaces[Coste (peso)],tblEnlaces[Nodo Origen],$C22,tblEnlaces[Nodo Destino],T$3,tblEnlaces[Activo],1),0)</f>
        <v>0</v>
      </c>
      <c r="U22" s="37">
        <f>IF(MatrizDeAdyacencia!U22=1,SUMIFS(tblEnlaces[Coste (peso)],tblEnlaces[Nodo Origen],$C22,tblEnlaces[Nodo Destino],U$3,tblEnlaces[Activo],1),0)</f>
        <v>0</v>
      </c>
      <c r="V22" s="38">
        <f>IF(MatrizDeAdyacencia!V22=1,SUMIFS(tblEnlaces[Coste (peso)],tblEnlaces[Nodo Origen],$C22,tblEnlaces[Nodo Destino],V$3,tblEnlaces[Activo],1),0)</f>
        <v>0</v>
      </c>
    </row>
  </sheetData>
  <mergeCells count="3">
    <mergeCell ref="B2:C2"/>
    <mergeCell ref="Y11:Z11"/>
    <mergeCell ref="Y3:Z3"/>
  </mergeCells>
  <conditionalFormatting sqref="D4:V22">
    <cfRule type="colorScale" priority="1">
      <colorScale>
        <cfvo type="num" val="0"/>
        <cfvo type="formula" val="($Z$13+$Z$14)/2"/>
        <cfvo type="formula" val="$Z$14"/>
        <color theme="0"/>
        <color rgb="FFFFEB84"/>
        <color rgb="FFF8696B"/>
      </colorScale>
    </cfRule>
    <cfRule type="cellIs" dxfId="7" priority="4" operator="equal">
      <formula>0</formula>
    </cfRule>
  </conditionalFormatting>
  <pageMargins left="0.75" right="0.75" top="1" bottom="1" header="0.5" footer="0.5"/>
  <pageSetup paperSize="9" orientation="portrait" r:id="rId1"/>
  <tableParts count="3">
    <tablePart r:id="rId2"/>
    <tablePart r:id="rId3"/>
    <tablePart r:id="rId4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38D335-B43D-4BCD-9E5E-7A66D672F094}">
  <dimension ref="B2:AP22"/>
  <sheetViews>
    <sheetView showGridLines="0" topLeftCell="B2" zoomScaleNormal="100" workbookViewId="0">
      <selection activeCell="X21" sqref="X21"/>
    </sheetView>
  </sheetViews>
  <sheetFormatPr baseColWidth="10" defaultColWidth="9.140625" defaultRowHeight="17.25" customHeight="1" x14ac:dyDescent="0.25"/>
  <cols>
    <col min="1" max="1" width="9.140625" style="3" customWidth="1"/>
    <col min="2" max="2" width="40.85546875" style="3" customWidth="1"/>
    <col min="3" max="3" width="12" style="3" customWidth="1"/>
    <col min="4" max="4" width="6.7109375" style="3" customWidth="1"/>
    <col min="5" max="22" width="5.140625" style="3" customWidth="1"/>
    <col min="23" max="24" width="9.140625" style="3" customWidth="1"/>
    <col min="25" max="25" width="18.7109375" style="3" customWidth="1"/>
    <col min="26" max="26" width="10.140625" style="3" customWidth="1"/>
    <col min="27" max="27" width="11.140625" style="3" customWidth="1"/>
    <col min="28" max="28" width="10.85546875" style="3" customWidth="1"/>
    <col min="29" max="29" width="11.140625" style="3" customWidth="1"/>
    <col min="30" max="30" width="9.85546875" style="3" customWidth="1"/>
    <col min="31" max="31" width="7.7109375" style="3" customWidth="1"/>
    <col min="32" max="16384" width="9.140625" style="3"/>
  </cols>
  <sheetData>
    <row r="2" spans="2:42" s="14" customFormat="1" ht="134.25" customHeight="1" x14ac:dyDescent="0.25">
      <c r="B2" s="75" t="s">
        <v>100</v>
      </c>
      <c r="C2" s="76"/>
      <c r="D2" s="24" t="str">
        <f>VLOOKUP(tblMatrizDeAdyacencia[[#Headers],[O1]],tblNodos[],2,FALSE)</f>
        <v>Extorsión local</v>
      </c>
      <c r="E2" s="24" t="str">
        <f>VLOOKUP(tblMatrizDeAdyacencia[[#Headers],[O2]],tblNodos[],2,FALSE)</f>
        <v>Tráfico ilícito</v>
      </c>
      <c r="F2" s="24" t="str">
        <f>VLOOKUP(tblMatrizDeAdyacencia[[#Headers],[O3]],tblNodos[],2,FALSE)</f>
        <v>Donaciones externas</v>
      </c>
      <c r="G2" s="24" t="str">
        <f>VLOOKUP(tblMatrizDeAdyacencia[[#Headers],[O4]],tblNodos[],2,FALSE)</f>
        <v>Actividad comercial</v>
      </c>
      <c r="H2" s="24" t="str">
        <f>VLOOKUP(tblMatrizDeAdyacencia[[#Headers],[O5]],tblNodos[],2,FALSE)</f>
        <v>Criminalidad menor</v>
      </c>
      <c r="I2" s="24" t="str">
        <f>VLOOKUP(tblMatrizDeAdyacencia[[#Headers],[O6]],tblNodos[],2,FALSE)</f>
        <v>Aportaciones individuales</v>
      </c>
      <c r="J2" s="24" t="str">
        <f>VLOOKUP(tblMatrizDeAdyacencia[[#Headers],[C1]],tblNodos[],2,FALSE)</f>
        <v>Colector local principal</v>
      </c>
      <c r="K2" s="24" t="str">
        <f>VLOOKUP(tblMatrizDeAdyacencia[[#Headers],[C2]],tblNodos[],2,FALSE)</f>
        <v>Colector local secundario</v>
      </c>
      <c r="L2" s="24" t="str">
        <f>VLOOKUP(tblMatrizDeAdyacencia[[#Headers],[C3]],tblNodos[],2,FALSE)</f>
        <v>Colector regional</v>
      </c>
      <c r="M2" s="24" t="str">
        <f>VLOOKUP(tblMatrizDeAdyacencia[[#Headers],[R1]],tblNodos[],2,FALSE)</f>
        <v>Redistribuidor zona tránsito 1</v>
      </c>
      <c r="N2" s="24" t="str">
        <f>VLOOKUP(tblMatrizDeAdyacencia[[#Headers],[R2]],tblNodos[],2,FALSE)</f>
        <v>Redistribuidor zona tránsito 2</v>
      </c>
      <c r="O2" s="24" t="str">
        <f>VLOOKUP(tblMatrizDeAdyacencia[[#Headers],[R3]],tblNodos[],2,FALSE)</f>
        <v>Redistribuidor principal</v>
      </c>
      <c r="P2" s="24" t="str">
        <f>VLOOKUP(tblMatrizDeAdyacencia[[#Headers],[R4]],tblNodos[],2,FALSE)</f>
        <v>Redistribuidor secundario 1</v>
      </c>
      <c r="Q2" s="24" t="str">
        <f>VLOOKUP(tblMatrizDeAdyacencia[[#Headers],[R5]],tblNodos[],2,FALSE)</f>
        <v>Redistribuidor secundario 2</v>
      </c>
      <c r="R2" s="24" t="str">
        <f>VLOOKUP(tblMatrizDeAdyacencia[[#Headers],[R6]],tblNodos[],2,FALSE)</f>
        <v>Redistribuidor intermedio</v>
      </c>
      <c r="S2" s="24" t="str">
        <f>VLOOKUP(tblMatrizDeAdyacencia[[#Headers],[R7]],tblNodos[],2,FALSE)</f>
        <v>Redistribuidor logístico</v>
      </c>
      <c r="T2" s="24" t="str">
        <f>VLOOKUP(tblMatrizDeAdyacencia[[#Headers],[R8]],tblNodos[],2,FALSE)</f>
        <v>Redistribuidor financiero</v>
      </c>
      <c r="U2" s="24" t="str">
        <f>VLOOKUP(tblMatrizDeAdyacencia[[#Headers],[R9]],tblNodos[],2,FALSE)</f>
        <v>Redistribuidor final</v>
      </c>
      <c r="V2" s="24" t="str">
        <f>VLOOKUP(tblMatrizDeAdyacencia[[#Headers],[D1]],tblNodos[],2,FALSE)</f>
        <v>Destino operativo final</v>
      </c>
      <c r="W2" s="23"/>
      <c r="AF2"/>
      <c r="AG2"/>
      <c r="AH2"/>
      <c r="AI2"/>
      <c r="AJ2"/>
      <c r="AK2"/>
      <c r="AL2"/>
      <c r="AM2"/>
      <c r="AN2"/>
      <c r="AO2"/>
      <c r="AP2"/>
    </row>
    <row r="3" spans="2:42" ht="35.25" customHeight="1" x14ac:dyDescent="0.25">
      <c r="B3" s="7" t="s">
        <v>82</v>
      </c>
      <c r="C3" s="54" t="s">
        <v>83</v>
      </c>
      <c r="D3" s="5" t="s">
        <v>22</v>
      </c>
      <c r="E3" s="5" t="s">
        <v>30</v>
      </c>
      <c r="F3" s="5" t="s">
        <v>34</v>
      </c>
      <c r="G3" s="5" t="s">
        <v>39</v>
      </c>
      <c r="H3" s="5" t="s">
        <v>43</v>
      </c>
      <c r="I3" s="5" t="s">
        <v>46</v>
      </c>
      <c r="J3" s="5" t="s">
        <v>126</v>
      </c>
      <c r="K3" s="5" t="s">
        <v>128</v>
      </c>
      <c r="L3" s="5" t="s">
        <v>141</v>
      </c>
      <c r="M3" s="5" t="s">
        <v>129</v>
      </c>
      <c r="N3" s="5" t="s">
        <v>130</v>
      </c>
      <c r="O3" s="5" t="s">
        <v>132</v>
      </c>
      <c r="P3" s="5" t="s">
        <v>145</v>
      </c>
      <c r="Q3" s="5" t="s">
        <v>147</v>
      </c>
      <c r="R3" s="5" t="s">
        <v>149</v>
      </c>
      <c r="S3" s="5" t="s">
        <v>150</v>
      </c>
      <c r="T3" s="5" t="s">
        <v>151</v>
      </c>
      <c r="U3" s="5" t="s">
        <v>153</v>
      </c>
      <c r="V3" s="10" t="s">
        <v>133</v>
      </c>
      <c r="Y3" s="73" t="s">
        <v>86</v>
      </c>
      <c r="Z3" s="74"/>
      <c r="AA3" s="74"/>
      <c r="AB3" s="74"/>
      <c r="AC3" s="74"/>
      <c r="AD3" s="40"/>
      <c r="AF3"/>
      <c r="AG3"/>
      <c r="AH3"/>
      <c r="AI3"/>
      <c r="AJ3"/>
      <c r="AK3"/>
      <c r="AL3"/>
      <c r="AM3"/>
      <c r="AN3"/>
      <c r="AO3"/>
      <c r="AP3"/>
    </row>
    <row r="4" spans="2:42" ht="17.25" customHeight="1" x14ac:dyDescent="0.25">
      <c r="B4" s="13" t="str">
        <f>VLOOKUP(tblMatrizDeAdyacencia[[#This Row],[NodoOrigen \ NodoDestino]],tblNodos[],2,FALSE)</f>
        <v>Extorsión local</v>
      </c>
      <c r="C4" s="5" t="s">
        <v>22</v>
      </c>
      <c r="D4" s="35">
        <f>IF(MatrizDeAdyacencia!D4=1,SUMIFS(tblEnlaces[Valor Operativo (peso)],tblEnlaces[Nodo Origen],$C4,tblEnlaces[Nodo Destino],D$3,tblEnlaces[Activo],1),0)</f>
        <v>0</v>
      </c>
      <c r="E4" s="35">
        <f>IF(MatrizDeAdyacencia!E4=1,SUMIFS(tblEnlaces[Valor Operativo (peso)],tblEnlaces[Nodo Origen],$C4,tblEnlaces[Nodo Destino],E$3,tblEnlaces[Activo],1),0)</f>
        <v>0</v>
      </c>
      <c r="F4" s="35">
        <f>IF(MatrizDeAdyacencia!F4=1,SUMIFS(tblEnlaces[Valor Operativo (peso)],tblEnlaces[Nodo Origen],$C4,tblEnlaces[Nodo Destino],F$3,tblEnlaces[Activo],1),0)</f>
        <v>0</v>
      </c>
      <c r="G4" s="35">
        <f>IF(MatrizDeAdyacencia!G4=1,SUMIFS(tblEnlaces[Valor Operativo (peso)],tblEnlaces[Nodo Origen],$C4,tblEnlaces[Nodo Destino],G$3,tblEnlaces[Activo],1),0)</f>
        <v>0</v>
      </c>
      <c r="H4" s="35">
        <f>IF(MatrizDeAdyacencia!H4=1,SUMIFS(tblEnlaces[Valor Operativo (peso)],tblEnlaces[Nodo Origen],$C4,tblEnlaces[Nodo Destino],H$3,tblEnlaces[Activo],1),0)</f>
        <v>0</v>
      </c>
      <c r="I4" s="35">
        <f>IF(MatrizDeAdyacencia!I4=1,SUMIFS(tblEnlaces[Valor Operativo (peso)],tblEnlaces[Nodo Origen],$C4,tblEnlaces[Nodo Destino],I$3,tblEnlaces[Activo],1),0)</f>
        <v>0</v>
      </c>
      <c r="J4" s="35">
        <f>IF(MatrizDeAdyacencia!J4=1,SUMIFS(tblEnlaces[Valor Operativo (peso)],tblEnlaces[Nodo Origen],$C4,tblEnlaces[Nodo Destino],J$3,tblEnlaces[Activo],1),0)</f>
        <v>16</v>
      </c>
      <c r="K4" s="35">
        <f>IF(MatrizDeAdyacencia!K4=1,SUMIFS(tblEnlaces[Valor Operativo (peso)],tblEnlaces[Nodo Origen],$C4,tblEnlaces[Nodo Destino],K$3,tblEnlaces[Activo],1),0)</f>
        <v>0</v>
      </c>
      <c r="L4" s="35">
        <f>IF(MatrizDeAdyacencia!L4=1,SUMIFS(tblEnlaces[Valor Operativo (peso)],tblEnlaces[Nodo Origen],$C4,tblEnlaces[Nodo Destino],L$3,tblEnlaces[Activo],1),0)</f>
        <v>0</v>
      </c>
      <c r="M4" s="35">
        <f>IF(MatrizDeAdyacencia!M4=1,SUMIFS(tblEnlaces[Valor Operativo (peso)],tblEnlaces[Nodo Origen],$C4,tblEnlaces[Nodo Destino],M$3,tblEnlaces[Activo],1),0)</f>
        <v>0</v>
      </c>
      <c r="N4" s="35">
        <f>IF(MatrizDeAdyacencia!N4=1,SUMIFS(tblEnlaces[Valor Operativo (peso)],tblEnlaces[Nodo Origen],$C4,tblEnlaces[Nodo Destino],N$3,tblEnlaces[Activo],1),0)</f>
        <v>0</v>
      </c>
      <c r="O4" s="35">
        <f>IF(MatrizDeAdyacencia!O4=1,SUMIFS(tblEnlaces[Valor Operativo (peso)],tblEnlaces[Nodo Origen],$C4,tblEnlaces[Nodo Destino],O$3,tblEnlaces[Activo],1),0)</f>
        <v>0</v>
      </c>
      <c r="P4" s="35">
        <f>IF(MatrizDeAdyacencia!P4=1,SUMIFS(tblEnlaces[Valor Operativo (peso)],tblEnlaces[Nodo Origen],$C4,tblEnlaces[Nodo Destino],P$3,tblEnlaces[Activo],1),0)</f>
        <v>0</v>
      </c>
      <c r="Q4" s="35">
        <f>IF(MatrizDeAdyacencia!Q4=1,SUMIFS(tblEnlaces[Valor Operativo (peso)],tblEnlaces[Nodo Origen],$C4,tblEnlaces[Nodo Destino],Q$3,tblEnlaces[Activo],1),0)</f>
        <v>0</v>
      </c>
      <c r="R4" s="35">
        <f>IF(MatrizDeAdyacencia!R4=1,SUMIFS(tblEnlaces[Valor Operativo (peso)],tblEnlaces[Nodo Origen],$C4,tblEnlaces[Nodo Destino],R$3,tblEnlaces[Activo],1),0)</f>
        <v>0</v>
      </c>
      <c r="S4" s="35">
        <f>IF(MatrizDeAdyacencia!S4=1,SUMIFS(tblEnlaces[Valor Operativo (peso)],tblEnlaces[Nodo Origen],$C4,tblEnlaces[Nodo Destino],S$3,tblEnlaces[Activo],1),0)</f>
        <v>0</v>
      </c>
      <c r="T4" s="35">
        <f>IF(MatrizDeAdyacencia!T4=1,SUMIFS(tblEnlaces[Valor Operativo (peso)],tblEnlaces[Nodo Origen],$C4,tblEnlaces[Nodo Destino],T$3,tblEnlaces[Activo],1),0)</f>
        <v>0</v>
      </c>
      <c r="U4" s="35">
        <f>IF(MatrizDeAdyacencia!U4=1,SUMIFS(tblEnlaces[Valor Operativo (peso)],tblEnlaces[Nodo Origen],$C4,tblEnlaces[Nodo Destino],U$3,tblEnlaces[Activo],1),0)</f>
        <v>0</v>
      </c>
      <c r="V4" s="35">
        <f>IF(MatrizDeAdyacencia!V4=1,SUMIFS(tblEnlaces[Valor Operativo (peso)],tblEnlaces[Nodo Origen],$C4,tblEnlaces[Nodo Destino],V$3,tblEnlaces[Activo],1),0)</f>
        <v>0</v>
      </c>
      <c r="Y4" s="27" t="s">
        <v>87</v>
      </c>
      <c r="Z4" s="56" t="s">
        <v>16</v>
      </c>
      <c r="AA4" s="56" t="s">
        <v>17</v>
      </c>
      <c r="AB4" s="56" t="s">
        <v>18</v>
      </c>
      <c r="AC4" s="57" t="s">
        <v>19</v>
      </c>
      <c r="AD4" s="40"/>
      <c r="AF4"/>
      <c r="AG4"/>
      <c r="AH4"/>
      <c r="AI4"/>
      <c r="AJ4"/>
      <c r="AK4"/>
      <c r="AL4"/>
      <c r="AM4"/>
      <c r="AN4"/>
      <c r="AO4"/>
      <c r="AP4"/>
    </row>
    <row r="5" spans="2:42" ht="17.25" customHeight="1" x14ac:dyDescent="0.25">
      <c r="B5" s="14" t="str">
        <f>VLOOKUP(tblMatrizDeAdyacencia[[#This Row],[NodoOrigen \ NodoDestino]],tblNodos[],2,FALSE)</f>
        <v>Tráfico ilícito</v>
      </c>
      <c r="C5" s="5" t="s">
        <v>30</v>
      </c>
      <c r="D5" s="35">
        <f>IF(MatrizDeAdyacencia!D5=1,SUMIFS(tblEnlaces[Valor Operativo (peso)],tblEnlaces[Nodo Origen],$C5,tblEnlaces[Nodo Destino],D$3,tblEnlaces[Activo],1),0)</f>
        <v>0</v>
      </c>
      <c r="E5" s="35">
        <f>IF(MatrizDeAdyacencia!E5=1,SUMIFS(tblEnlaces[Valor Operativo (peso)],tblEnlaces[Nodo Origen],$C5,tblEnlaces[Nodo Destino],E$3,tblEnlaces[Activo],1),0)</f>
        <v>0</v>
      </c>
      <c r="F5" s="35">
        <f>IF(MatrizDeAdyacencia!F5=1,SUMIFS(tblEnlaces[Valor Operativo (peso)],tblEnlaces[Nodo Origen],$C5,tblEnlaces[Nodo Destino],F$3,tblEnlaces[Activo],1),0)</f>
        <v>0</v>
      </c>
      <c r="G5" s="35">
        <f>IF(MatrizDeAdyacencia!G5=1,SUMIFS(tblEnlaces[Valor Operativo (peso)],tblEnlaces[Nodo Origen],$C5,tblEnlaces[Nodo Destino],G$3,tblEnlaces[Activo],1),0)</f>
        <v>0</v>
      </c>
      <c r="H5" s="35">
        <f>IF(MatrizDeAdyacencia!H5=1,SUMIFS(tblEnlaces[Valor Operativo (peso)],tblEnlaces[Nodo Origen],$C5,tblEnlaces[Nodo Destino],H$3,tblEnlaces[Activo],1),0)</f>
        <v>0</v>
      </c>
      <c r="I5" s="35">
        <f>IF(MatrizDeAdyacencia!I5=1,SUMIFS(tblEnlaces[Valor Operativo (peso)],tblEnlaces[Nodo Origen],$C5,tblEnlaces[Nodo Destino],I$3,tblEnlaces[Activo],1),0)</f>
        <v>0</v>
      </c>
      <c r="J5" s="35">
        <f>IF(MatrizDeAdyacencia!J5=1,SUMIFS(tblEnlaces[Valor Operativo (peso)],tblEnlaces[Nodo Origen],$C5,tblEnlaces[Nodo Destino],J$3,tblEnlaces[Activo],1),0)</f>
        <v>16</v>
      </c>
      <c r="K5" s="35">
        <f>IF(MatrizDeAdyacencia!K5=1,SUMIFS(tblEnlaces[Valor Operativo (peso)],tblEnlaces[Nodo Origen],$C5,tblEnlaces[Nodo Destino],K$3,tblEnlaces[Activo],1),0)</f>
        <v>0</v>
      </c>
      <c r="L5" s="35">
        <f>IF(MatrizDeAdyacencia!L5=1,SUMIFS(tblEnlaces[Valor Operativo (peso)],tblEnlaces[Nodo Origen],$C5,tblEnlaces[Nodo Destino],L$3,tblEnlaces[Activo],1),0)</f>
        <v>0</v>
      </c>
      <c r="M5" s="35">
        <f>IF(MatrizDeAdyacencia!M5=1,SUMIFS(tblEnlaces[Valor Operativo (peso)],tblEnlaces[Nodo Origen],$C5,tblEnlaces[Nodo Destino],M$3,tblEnlaces[Activo],1),0)</f>
        <v>0</v>
      </c>
      <c r="N5" s="35">
        <f>IF(MatrizDeAdyacencia!N5=1,SUMIFS(tblEnlaces[Valor Operativo (peso)],tblEnlaces[Nodo Origen],$C5,tblEnlaces[Nodo Destino],N$3,tblEnlaces[Activo],1),0)</f>
        <v>0</v>
      </c>
      <c r="O5" s="35">
        <f>IF(MatrizDeAdyacencia!O5=1,SUMIFS(tblEnlaces[Valor Operativo (peso)],tblEnlaces[Nodo Origen],$C5,tblEnlaces[Nodo Destino],O$3,tblEnlaces[Activo],1),0)</f>
        <v>0</v>
      </c>
      <c r="P5" s="35">
        <f>IF(MatrizDeAdyacencia!P5=1,SUMIFS(tblEnlaces[Valor Operativo (peso)],tblEnlaces[Nodo Origen],$C5,tblEnlaces[Nodo Destino],P$3,tblEnlaces[Activo],1),0)</f>
        <v>0</v>
      </c>
      <c r="Q5" s="35">
        <f>IF(MatrizDeAdyacencia!Q5=1,SUMIFS(tblEnlaces[Valor Operativo (peso)],tblEnlaces[Nodo Origen],$C5,tblEnlaces[Nodo Destino],Q$3,tblEnlaces[Activo],1),0)</f>
        <v>0</v>
      </c>
      <c r="R5" s="35">
        <f>IF(MatrizDeAdyacencia!R5=1,SUMIFS(tblEnlaces[Valor Operativo (peso)],tblEnlaces[Nodo Origen],$C5,tblEnlaces[Nodo Destino],R$3,tblEnlaces[Activo],1),0)</f>
        <v>0</v>
      </c>
      <c r="S5" s="35">
        <f>IF(MatrizDeAdyacencia!S5=1,SUMIFS(tblEnlaces[Valor Operativo (peso)],tblEnlaces[Nodo Origen],$C5,tblEnlaces[Nodo Destino],S$3,tblEnlaces[Activo],1),0)</f>
        <v>0</v>
      </c>
      <c r="T5" s="35">
        <f>IF(MatrizDeAdyacencia!T5=1,SUMIFS(tblEnlaces[Valor Operativo (peso)],tblEnlaces[Nodo Origen],$C5,tblEnlaces[Nodo Destino],T$3,tblEnlaces[Activo],1),0)</f>
        <v>0</v>
      </c>
      <c r="U5" s="35">
        <f>IF(MatrizDeAdyacencia!U5=1,SUMIFS(tblEnlaces[Valor Operativo (peso)],tblEnlaces[Nodo Origen],$C5,tblEnlaces[Nodo Destino],U$3,tblEnlaces[Activo],1),0)</f>
        <v>0</v>
      </c>
      <c r="V5" s="36">
        <f>IF(MatrizDeAdyacencia!V5=1,SUMIFS(tblEnlaces[Valor Operativo (peso)],tblEnlaces[Nodo Origen],$C5,tblEnlaces[Nodo Destino],V$3,tblEnlaces[Activo],1),0)</f>
        <v>0</v>
      </c>
      <c r="Y5" s="28" t="s">
        <v>27</v>
      </c>
      <c r="Z5" s="28">
        <v>1</v>
      </c>
      <c r="AA5" s="28">
        <v>5</v>
      </c>
      <c r="AB5" s="28">
        <v>1</v>
      </c>
      <c r="AC5" s="28">
        <v>1</v>
      </c>
      <c r="AD5" s="40"/>
      <c r="AF5"/>
      <c r="AG5"/>
      <c r="AH5"/>
      <c r="AI5"/>
      <c r="AJ5"/>
      <c r="AK5"/>
      <c r="AL5"/>
      <c r="AM5"/>
      <c r="AN5"/>
      <c r="AO5"/>
      <c r="AP5"/>
    </row>
    <row r="6" spans="2:42" ht="17.25" customHeight="1" x14ac:dyDescent="0.25">
      <c r="B6" s="14" t="str">
        <f>VLOOKUP(tblMatrizDeAdyacencia[[#This Row],[NodoOrigen \ NodoDestino]],tblNodos[],2,FALSE)</f>
        <v>Donaciones externas</v>
      </c>
      <c r="C6" s="5" t="s">
        <v>34</v>
      </c>
      <c r="D6" s="35">
        <f>IF(MatrizDeAdyacencia!D6=1,SUMIFS(tblEnlaces[Valor Operativo (peso)],tblEnlaces[Nodo Origen],$C6,tblEnlaces[Nodo Destino],D$3,tblEnlaces[Activo],1),0)</f>
        <v>0</v>
      </c>
      <c r="E6" s="35">
        <f>IF(MatrizDeAdyacencia!E6=1,SUMIFS(tblEnlaces[Valor Operativo (peso)],tblEnlaces[Nodo Origen],$C6,tblEnlaces[Nodo Destino],E$3,tblEnlaces[Activo],1),0)</f>
        <v>0</v>
      </c>
      <c r="F6" s="35">
        <f>IF(MatrizDeAdyacencia!F6=1,SUMIFS(tblEnlaces[Valor Operativo (peso)],tblEnlaces[Nodo Origen],$C6,tblEnlaces[Nodo Destino],F$3,tblEnlaces[Activo],1),0)</f>
        <v>0</v>
      </c>
      <c r="G6" s="35">
        <f>IF(MatrizDeAdyacencia!G6=1,SUMIFS(tblEnlaces[Valor Operativo (peso)],tblEnlaces[Nodo Origen],$C6,tblEnlaces[Nodo Destino],G$3,tblEnlaces[Activo],1),0)</f>
        <v>0</v>
      </c>
      <c r="H6" s="35">
        <f>IF(MatrizDeAdyacencia!H6=1,SUMIFS(tblEnlaces[Valor Operativo (peso)],tblEnlaces[Nodo Origen],$C6,tblEnlaces[Nodo Destino],H$3,tblEnlaces[Activo],1),0)</f>
        <v>0</v>
      </c>
      <c r="I6" s="35">
        <f>IF(MatrizDeAdyacencia!I6=1,SUMIFS(tblEnlaces[Valor Operativo (peso)],tblEnlaces[Nodo Origen],$C6,tblEnlaces[Nodo Destino],I$3,tblEnlaces[Activo],1),0)</f>
        <v>0</v>
      </c>
      <c r="J6" s="35">
        <f>IF(MatrizDeAdyacencia!J6=1,SUMIFS(tblEnlaces[Valor Operativo (peso)],tblEnlaces[Nodo Origen],$C6,tblEnlaces[Nodo Destino],J$3,tblEnlaces[Activo],1),0)</f>
        <v>0</v>
      </c>
      <c r="K6" s="35">
        <f>IF(MatrizDeAdyacencia!K6=1,SUMIFS(tblEnlaces[Valor Operativo (peso)],tblEnlaces[Nodo Origen],$C6,tblEnlaces[Nodo Destino],K$3,tblEnlaces[Activo],1),0)</f>
        <v>14</v>
      </c>
      <c r="L6" s="35">
        <f>IF(MatrizDeAdyacencia!L6=1,SUMIFS(tblEnlaces[Valor Operativo (peso)],tblEnlaces[Nodo Origen],$C6,tblEnlaces[Nodo Destino],L$3,tblEnlaces[Activo],1),0)</f>
        <v>0</v>
      </c>
      <c r="M6" s="35">
        <f>IF(MatrizDeAdyacencia!M6=1,SUMIFS(tblEnlaces[Valor Operativo (peso)],tblEnlaces[Nodo Origen],$C6,tblEnlaces[Nodo Destino],M$3,tblEnlaces[Activo],1),0)</f>
        <v>0</v>
      </c>
      <c r="N6" s="35">
        <f>IF(MatrizDeAdyacencia!N6=1,SUMIFS(tblEnlaces[Valor Operativo (peso)],tblEnlaces[Nodo Origen],$C6,tblEnlaces[Nodo Destino],N$3,tblEnlaces[Activo],1),0)</f>
        <v>0</v>
      </c>
      <c r="O6" s="35">
        <f>IF(MatrizDeAdyacencia!O6=1,SUMIFS(tblEnlaces[Valor Operativo (peso)],tblEnlaces[Nodo Origen],$C6,tblEnlaces[Nodo Destino],O$3,tblEnlaces[Activo],1),0)</f>
        <v>0</v>
      </c>
      <c r="P6" s="35">
        <f>IF(MatrizDeAdyacencia!P6=1,SUMIFS(tblEnlaces[Valor Operativo (peso)],tblEnlaces[Nodo Origen],$C6,tblEnlaces[Nodo Destino],P$3,tblEnlaces[Activo],1),0)</f>
        <v>0</v>
      </c>
      <c r="Q6" s="35">
        <f>IF(MatrizDeAdyacencia!Q6=1,SUMIFS(tblEnlaces[Valor Operativo (peso)],tblEnlaces[Nodo Origen],$C6,tblEnlaces[Nodo Destino],Q$3,tblEnlaces[Activo],1),0)</f>
        <v>0</v>
      </c>
      <c r="R6" s="35">
        <f>IF(MatrizDeAdyacencia!R6=1,SUMIFS(tblEnlaces[Valor Operativo (peso)],tblEnlaces[Nodo Origen],$C6,tblEnlaces[Nodo Destino],R$3,tblEnlaces[Activo],1),0)</f>
        <v>0</v>
      </c>
      <c r="S6" s="35">
        <f>IF(MatrizDeAdyacencia!S6=1,SUMIFS(tblEnlaces[Valor Operativo (peso)],tblEnlaces[Nodo Origen],$C6,tblEnlaces[Nodo Destino],S$3,tblEnlaces[Activo],1),0)</f>
        <v>0</v>
      </c>
      <c r="T6" s="35">
        <f>IF(MatrizDeAdyacencia!T6=1,SUMIFS(tblEnlaces[Valor Operativo (peso)],tblEnlaces[Nodo Origen],$C6,tblEnlaces[Nodo Destino],T$3,tblEnlaces[Activo],1),0)</f>
        <v>0</v>
      </c>
      <c r="U6" s="35">
        <f>IF(MatrizDeAdyacencia!U6=1,SUMIFS(tblEnlaces[Valor Operativo (peso)],tblEnlaces[Nodo Origen],$C6,tblEnlaces[Nodo Destino],U$3,tblEnlaces[Activo],1),0)</f>
        <v>0</v>
      </c>
      <c r="V6" s="36">
        <f>IF(MatrizDeAdyacencia!V6=1,SUMIFS(tblEnlaces[Valor Operativo (peso)],tblEnlaces[Nodo Origen],$C6,tblEnlaces[Nodo Destino],V$3,tblEnlaces[Activo],1),0)</f>
        <v>0</v>
      </c>
      <c r="Y6" s="28" t="s">
        <v>42</v>
      </c>
      <c r="Z6" s="28">
        <v>2</v>
      </c>
      <c r="AA6" s="28">
        <v>4</v>
      </c>
      <c r="AB6" s="28">
        <v>2</v>
      </c>
      <c r="AC6" s="28">
        <v>2</v>
      </c>
      <c r="AD6" s="40"/>
      <c r="AF6"/>
      <c r="AG6"/>
      <c r="AH6"/>
      <c r="AI6"/>
      <c r="AJ6"/>
      <c r="AK6"/>
      <c r="AL6"/>
      <c r="AM6"/>
      <c r="AN6"/>
      <c r="AO6"/>
      <c r="AP6"/>
    </row>
    <row r="7" spans="2:42" ht="17.25" customHeight="1" x14ac:dyDescent="0.25">
      <c r="B7" s="14" t="str">
        <f>VLOOKUP(tblMatrizDeAdyacencia[[#This Row],[NodoOrigen \ NodoDestino]],tblNodos[],2,FALSE)</f>
        <v>Actividad comercial</v>
      </c>
      <c r="C7" s="5" t="s">
        <v>39</v>
      </c>
      <c r="D7" s="35">
        <f>IF(MatrizDeAdyacencia!D7=1,SUMIFS(tblEnlaces[Valor Operativo (peso)],tblEnlaces[Nodo Origen],$C7,tblEnlaces[Nodo Destino],D$3,tblEnlaces[Activo],1),0)</f>
        <v>0</v>
      </c>
      <c r="E7" s="35">
        <f>IF(MatrizDeAdyacencia!E7=1,SUMIFS(tblEnlaces[Valor Operativo (peso)],tblEnlaces[Nodo Origen],$C7,tblEnlaces[Nodo Destino],E$3,tblEnlaces[Activo],1),0)</f>
        <v>0</v>
      </c>
      <c r="F7" s="35">
        <f>IF(MatrizDeAdyacencia!F7=1,SUMIFS(tblEnlaces[Valor Operativo (peso)],tblEnlaces[Nodo Origen],$C7,tblEnlaces[Nodo Destino],F$3,tblEnlaces[Activo],1),0)</f>
        <v>0</v>
      </c>
      <c r="G7" s="35">
        <f>IF(MatrizDeAdyacencia!G7=1,SUMIFS(tblEnlaces[Valor Operativo (peso)],tblEnlaces[Nodo Origen],$C7,tblEnlaces[Nodo Destino],G$3,tblEnlaces[Activo],1),0)</f>
        <v>0</v>
      </c>
      <c r="H7" s="35">
        <f>IF(MatrizDeAdyacencia!H7=1,SUMIFS(tblEnlaces[Valor Operativo (peso)],tblEnlaces[Nodo Origen],$C7,tblEnlaces[Nodo Destino],H$3,tblEnlaces[Activo],1),0)</f>
        <v>0</v>
      </c>
      <c r="I7" s="35">
        <f>IF(MatrizDeAdyacencia!I7=1,SUMIFS(tblEnlaces[Valor Operativo (peso)],tblEnlaces[Nodo Origen],$C7,tblEnlaces[Nodo Destino],I$3,tblEnlaces[Activo],1),0)</f>
        <v>0</v>
      </c>
      <c r="J7" s="35">
        <f>IF(MatrizDeAdyacencia!J7=1,SUMIFS(tblEnlaces[Valor Operativo (peso)],tblEnlaces[Nodo Origen],$C7,tblEnlaces[Nodo Destino],J$3,tblEnlaces[Activo],1),0)</f>
        <v>0</v>
      </c>
      <c r="K7" s="35">
        <f>IF(MatrizDeAdyacencia!K7=1,SUMIFS(tblEnlaces[Valor Operativo (peso)],tblEnlaces[Nodo Origen],$C7,tblEnlaces[Nodo Destino],K$3,tblEnlaces[Activo],1),0)</f>
        <v>13</v>
      </c>
      <c r="L7" s="35">
        <f>IF(MatrizDeAdyacencia!L7=1,SUMIFS(tblEnlaces[Valor Operativo (peso)],tblEnlaces[Nodo Origen],$C7,tblEnlaces[Nodo Destino],L$3,tblEnlaces[Activo],1),0)</f>
        <v>0</v>
      </c>
      <c r="M7" s="35">
        <f>IF(MatrizDeAdyacencia!M7=1,SUMIFS(tblEnlaces[Valor Operativo (peso)],tblEnlaces[Nodo Origen],$C7,tblEnlaces[Nodo Destino],M$3,tblEnlaces[Activo],1),0)</f>
        <v>0</v>
      </c>
      <c r="N7" s="35">
        <f>IF(MatrizDeAdyacencia!N7=1,SUMIFS(tblEnlaces[Valor Operativo (peso)],tblEnlaces[Nodo Origen],$C7,tblEnlaces[Nodo Destino],N$3,tblEnlaces[Activo],1),0)</f>
        <v>0</v>
      </c>
      <c r="O7" s="35">
        <f>IF(MatrizDeAdyacencia!O7=1,SUMIFS(tblEnlaces[Valor Operativo (peso)],tblEnlaces[Nodo Origen],$C7,tblEnlaces[Nodo Destino],O$3,tblEnlaces[Activo],1),0)</f>
        <v>0</v>
      </c>
      <c r="P7" s="35">
        <f>IF(MatrizDeAdyacencia!P7=1,SUMIFS(tblEnlaces[Valor Operativo (peso)],tblEnlaces[Nodo Origen],$C7,tblEnlaces[Nodo Destino],P$3,tblEnlaces[Activo],1),0)</f>
        <v>0</v>
      </c>
      <c r="Q7" s="35">
        <f>IF(MatrizDeAdyacencia!Q7=1,SUMIFS(tblEnlaces[Valor Operativo (peso)],tblEnlaces[Nodo Origen],$C7,tblEnlaces[Nodo Destino],Q$3,tblEnlaces[Activo],1),0)</f>
        <v>0</v>
      </c>
      <c r="R7" s="35">
        <f>IF(MatrizDeAdyacencia!R7=1,SUMIFS(tblEnlaces[Valor Operativo (peso)],tblEnlaces[Nodo Origen],$C7,tblEnlaces[Nodo Destino],R$3,tblEnlaces[Activo],1),0)</f>
        <v>0</v>
      </c>
      <c r="S7" s="35">
        <f>IF(MatrizDeAdyacencia!S7=1,SUMIFS(tblEnlaces[Valor Operativo (peso)],tblEnlaces[Nodo Origen],$C7,tblEnlaces[Nodo Destino],S$3,tblEnlaces[Activo],1),0)</f>
        <v>0</v>
      </c>
      <c r="T7" s="35">
        <f>IF(MatrizDeAdyacencia!T7=1,SUMIFS(tblEnlaces[Valor Operativo (peso)],tblEnlaces[Nodo Origen],$C7,tblEnlaces[Nodo Destino],T$3,tblEnlaces[Activo],1),0)</f>
        <v>0</v>
      </c>
      <c r="U7" s="35">
        <f>IF(MatrizDeAdyacencia!U7=1,SUMIFS(tblEnlaces[Valor Operativo (peso)],tblEnlaces[Nodo Origen],$C7,tblEnlaces[Nodo Destino],U$3,tblEnlaces[Activo],1),0)</f>
        <v>0</v>
      </c>
      <c r="V7" s="36">
        <f>IF(MatrizDeAdyacencia!V7=1,SUMIFS(tblEnlaces[Valor Operativo (peso)],tblEnlaces[Nodo Origen],$C7,tblEnlaces[Nodo Destino],V$3,tblEnlaces[Activo],1),0)</f>
        <v>0</v>
      </c>
      <c r="Y7" s="28" t="s">
        <v>28</v>
      </c>
      <c r="Z7" s="28">
        <v>3</v>
      </c>
      <c r="AA7" s="28">
        <v>3</v>
      </c>
      <c r="AB7" s="28">
        <v>3</v>
      </c>
      <c r="AC7" s="28">
        <v>3</v>
      </c>
      <c r="AD7" s="40"/>
      <c r="AF7"/>
      <c r="AG7"/>
      <c r="AH7"/>
      <c r="AI7"/>
      <c r="AJ7"/>
      <c r="AK7"/>
      <c r="AL7"/>
      <c r="AM7"/>
      <c r="AN7"/>
      <c r="AO7"/>
      <c r="AP7"/>
    </row>
    <row r="8" spans="2:42" ht="17.25" customHeight="1" x14ac:dyDescent="0.25">
      <c r="B8" s="14" t="str">
        <f>VLOOKUP(tblMatrizDeAdyacencia[[#This Row],[NodoOrigen \ NodoDestino]],tblNodos[],2,FALSE)</f>
        <v>Criminalidad menor</v>
      </c>
      <c r="C8" s="5" t="s">
        <v>43</v>
      </c>
      <c r="D8" s="35">
        <f>IF(MatrizDeAdyacencia!D8=1,SUMIFS(tblEnlaces[Valor Operativo (peso)],tblEnlaces[Nodo Origen],$C8,tblEnlaces[Nodo Destino],D$3,tblEnlaces[Activo],1),0)</f>
        <v>0</v>
      </c>
      <c r="E8" s="35">
        <f>IF(MatrizDeAdyacencia!E8=1,SUMIFS(tblEnlaces[Valor Operativo (peso)],tblEnlaces[Nodo Origen],$C8,tblEnlaces[Nodo Destino],E$3,tblEnlaces[Activo],1),0)</f>
        <v>0</v>
      </c>
      <c r="F8" s="35">
        <f>IF(MatrizDeAdyacencia!F8=1,SUMIFS(tblEnlaces[Valor Operativo (peso)],tblEnlaces[Nodo Origen],$C8,tblEnlaces[Nodo Destino],F$3,tblEnlaces[Activo],1),0)</f>
        <v>0</v>
      </c>
      <c r="G8" s="35">
        <f>IF(MatrizDeAdyacencia!G8=1,SUMIFS(tblEnlaces[Valor Operativo (peso)],tblEnlaces[Nodo Origen],$C8,tblEnlaces[Nodo Destino],G$3,tblEnlaces[Activo],1),0)</f>
        <v>0</v>
      </c>
      <c r="H8" s="35">
        <f>IF(MatrizDeAdyacencia!H8=1,SUMIFS(tblEnlaces[Valor Operativo (peso)],tblEnlaces[Nodo Origen],$C8,tblEnlaces[Nodo Destino],H$3,tblEnlaces[Activo],1),0)</f>
        <v>0</v>
      </c>
      <c r="I8" s="35">
        <f>IF(MatrizDeAdyacencia!I8=1,SUMIFS(tblEnlaces[Valor Operativo (peso)],tblEnlaces[Nodo Origen],$C8,tblEnlaces[Nodo Destino],I$3,tblEnlaces[Activo],1),0)</f>
        <v>0</v>
      </c>
      <c r="J8" s="35">
        <f>IF(MatrizDeAdyacencia!J8=1,SUMIFS(tblEnlaces[Valor Operativo (peso)],tblEnlaces[Nodo Origen],$C8,tblEnlaces[Nodo Destino],J$3,tblEnlaces[Activo],1),0)</f>
        <v>0</v>
      </c>
      <c r="K8" s="35">
        <f>IF(MatrizDeAdyacencia!K8=1,SUMIFS(tblEnlaces[Valor Operativo (peso)],tblEnlaces[Nodo Origen],$C8,tblEnlaces[Nodo Destino],K$3,tblEnlaces[Activo],1),0)</f>
        <v>0</v>
      </c>
      <c r="L8" s="35">
        <f>IF(MatrizDeAdyacencia!L8=1,SUMIFS(tblEnlaces[Valor Operativo (peso)],tblEnlaces[Nodo Origen],$C8,tblEnlaces[Nodo Destino],L$3,tblEnlaces[Activo],1),0)</f>
        <v>16</v>
      </c>
      <c r="M8" s="35">
        <f>IF(MatrizDeAdyacencia!M8=1,SUMIFS(tblEnlaces[Valor Operativo (peso)],tblEnlaces[Nodo Origen],$C8,tblEnlaces[Nodo Destino],M$3,tblEnlaces[Activo],1),0)</f>
        <v>0</v>
      </c>
      <c r="N8" s="35">
        <f>IF(MatrizDeAdyacencia!N8=1,SUMIFS(tblEnlaces[Valor Operativo (peso)],tblEnlaces[Nodo Origen],$C8,tblEnlaces[Nodo Destino],N$3,tblEnlaces[Activo],1),0)</f>
        <v>0</v>
      </c>
      <c r="O8" s="35">
        <f>IF(MatrizDeAdyacencia!O8=1,SUMIFS(tblEnlaces[Valor Operativo (peso)],tblEnlaces[Nodo Origen],$C8,tblEnlaces[Nodo Destino],O$3,tblEnlaces[Activo],1),0)</f>
        <v>0</v>
      </c>
      <c r="P8" s="35">
        <f>IF(MatrizDeAdyacencia!P8=1,SUMIFS(tblEnlaces[Valor Operativo (peso)],tblEnlaces[Nodo Origen],$C8,tblEnlaces[Nodo Destino],P$3,tblEnlaces[Activo],1),0)</f>
        <v>0</v>
      </c>
      <c r="Q8" s="35">
        <f>IF(MatrizDeAdyacencia!Q8=1,SUMIFS(tblEnlaces[Valor Operativo (peso)],tblEnlaces[Nodo Origen],$C8,tblEnlaces[Nodo Destino],Q$3,tblEnlaces[Activo],1),0)</f>
        <v>0</v>
      </c>
      <c r="R8" s="35">
        <f>IF(MatrizDeAdyacencia!R8=1,SUMIFS(tblEnlaces[Valor Operativo (peso)],tblEnlaces[Nodo Origen],$C8,tblEnlaces[Nodo Destino],R$3,tblEnlaces[Activo],1),0)</f>
        <v>0</v>
      </c>
      <c r="S8" s="35">
        <f>IF(MatrizDeAdyacencia!S8=1,SUMIFS(tblEnlaces[Valor Operativo (peso)],tblEnlaces[Nodo Origen],$C8,tblEnlaces[Nodo Destino],S$3,tblEnlaces[Activo],1),0)</f>
        <v>0</v>
      </c>
      <c r="T8" s="35">
        <f>IF(MatrizDeAdyacencia!T8=1,SUMIFS(tblEnlaces[Valor Operativo (peso)],tblEnlaces[Nodo Origen],$C8,tblEnlaces[Nodo Destino],T$3,tblEnlaces[Activo],1),0)</f>
        <v>0</v>
      </c>
      <c r="U8" s="35">
        <f>IF(MatrizDeAdyacencia!U8=1,SUMIFS(tblEnlaces[Valor Operativo (peso)],tblEnlaces[Nodo Origen],$C8,tblEnlaces[Nodo Destino],U$3,tblEnlaces[Activo],1),0)</f>
        <v>0</v>
      </c>
      <c r="V8" s="36">
        <f>IF(MatrizDeAdyacencia!V8=1,SUMIFS(tblEnlaces[Valor Operativo (peso)],tblEnlaces[Nodo Origen],$C8,tblEnlaces[Nodo Destino],V$3,tblEnlaces[Activo],1),0)</f>
        <v>0</v>
      </c>
      <c r="Y8" s="28" t="s">
        <v>50</v>
      </c>
      <c r="Z8" s="28">
        <v>4</v>
      </c>
      <c r="AA8" s="28">
        <v>2</v>
      </c>
      <c r="AB8" s="28">
        <v>4</v>
      </c>
      <c r="AC8" s="28">
        <v>4</v>
      </c>
      <c r="AD8" s="40"/>
      <c r="AF8"/>
      <c r="AG8"/>
      <c r="AH8"/>
      <c r="AI8"/>
      <c r="AJ8"/>
      <c r="AK8"/>
      <c r="AL8"/>
      <c r="AM8"/>
      <c r="AN8"/>
      <c r="AO8"/>
      <c r="AP8"/>
    </row>
    <row r="9" spans="2:42" ht="17.25" customHeight="1" x14ac:dyDescent="0.25">
      <c r="B9" s="14" t="str">
        <f>VLOOKUP(tblMatrizDeAdyacencia[[#This Row],[NodoOrigen \ NodoDestino]],tblNodos[],2,FALSE)</f>
        <v>Aportaciones individuales</v>
      </c>
      <c r="C9" s="5" t="s">
        <v>46</v>
      </c>
      <c r="D9" s="35">
        <f>IF(MatrizDeAdyacencia!D9=1,SUMIFS(tblEnlaces[Valor Operativo (peso)],tblEnlaces[Nodo Origen],$C9,tblEnlaces[Nodo Destino],D$3,tblEnlaces[Activo],1),0)</f>
        <v>0</v>
      </c>
      <c r="E9" s="35">
        <f>IF(MatrizDeAdyacencia!E9=1,SUMIFS(tblEnlaces[Valor Operativo (peso)],tblEnlaces[Nodo Origen],$C9,tblEnlaces[Nodo Destino],E$3,tblEnlaces[Activo],1),0)</f>
        <v>0</v>
      </c>
      <c r="F9" s="35">
        <f>IF(MatrizDeAdyacencia!F9=1,SUMIFS(tblEnlaces[Valor Operativo (peso)],tblEnlaces[Nodo Origen],$C9,tblEnlaces[Nodo Destino],F$3,tblEnlaces[Activo],1),0)</f>
        <v>0</v>
      </c>
      <c r="G9" s="35">
        <f>IF(MatrizDeAdyacencia!G9=1,SUMIFS(tblEnlaces[Valor Operativo (peso)],tblEnlaces[Nodo Origen],$C9,tblEnlaces[Nodo Destino],G$3,tblEnlaces[Activo],1),0)</f>
        <v>0</v>
      </c>
      <c r="H9" s="35">
        <f>IF(MatrizDeAdyacencia!H9=1,SUMIFS(tblEnlaces[Valor Operativo (peso)],tblEnlaces[Nodo Origen],$C9,tblEnlaces[Nodo Destino],H$3,tblEnlaces[Activo],1),0)</f>
        <v>0</v>
      </c>
      <c r="I9" s="35">
        <f>IF(MatrizDeAdyacencia!I9=1,SUMIFS(tblEnlaces[Valor Operativo (peso)],tblEnlaces[Nodo Origen],$C9,tblEnlaces[Nodo Destino],I$3,tblEnlaces[Activo],1),0)</f>
        <v>0</v>
      </c>
      <c r="J9" s="35">
        <f>IF(MatrizDeAdyacencia!J9=1,SUMIFS(tblEnlaces[Valor Operativo (peso)],tblEnlaces[Nodo Origen],$C9,tblEnlaces[Nodo Destino],J$3,tblEnlaces[Activo],1),0)</f>
        <v>0</v>
      </c>
      <c r="K9" s="35">
        <f>IF(MatrizDeAdyacencia!K9=1,SUMIFS(tblEnlaces[Valor Operativo (peso)],tblEnlaces[Nodo Origen],$C9,tblEnlaces[Nodo Destino],K$3,tblEnlaces[Activo],1),0)</f>
        <v>0</v>
      </c>
      <c r="L9" s="35">
        <f>IF(MatrizDeAdyacencia!L9=1,SUMIFS(tblEnlaces[Valor Operativo (peso)],tblEnlaces[Nodo Origen],$C9,tblEnlaces[Nodo Destino],L$3,tblEnlaces[Activo],1),0)</f>
        <v>14</v>
      </c>
      <c r="M9" s="35">
        <f>IF(MatrizDeAdyacencia!M9=1,SUMIFS(tblEnlaces[Valor Operativo (peso)],tblEnlaces[Nodo Origen],$C9,tblEnlaces[Nodo Destino],M$3,tblEnlaces[Activo],1),0)</f>
        <v>0</v>
      </c>
      <c r="N9" s="35">
        <f>IF(MatrizDeAdyacencia!N9=1,SUMIFS(tblEnlaces[Valor Operativo (peso)],tblEnlaces[Nodo Origen],$C9,tblEnlaces[Nodo Destino],N$3,tblEnlaces[Activo],1),0)</f>
        <v>0</v>
      </c>
      <c r="O9" s="35">
        <f>IF(MatrizDeAdyacencia!O9=1,SUMIFS(tblEnlaces[Valor Operativo (peso)],tblEnlaces[Nodo Origen],$C9,tblEnlaces[Nodo Destino],O$3,tblEnlaces[Activo],1),0)</f>
        <v>0</v>
      </c>
      <c r="P9" s="35">
        <f>IF(MatrizDeAdyacencia!P9=1,SUMIFS(tblEnlaces[Valor Operativo (peso)],tblEnlaces[Nodo Origen],$C9,tblEnlaces[Nodo Destino],P$3,tblEnlaces[Activo],1),0)</f>
        <v>0</v>
      </c>
      <c r="Q9" s="35">
        <f>IF(MatrizDeAdyacencia!Q9=1,SUMIFS(tblEnlaces[Valor Operativo (peso)],tblEnlaces[Nodo Origen],$C9,tblEnlaces[Nodo Destino],Q$3,tblEnlaces[Activo],1),0)</f>
        <v>0</v>
      </c>
      <c r="R9" s="35">
        <f>IF(MatrizDeAdyacencia!R9=1,SUMIFS(tblEnlaces[Valor Operativo (peso)],tblEnlaces[Nodo Origen],$C9,tblEnlaces[Nodo Destino],R$3,tblEnlaces[Activo],1),0)</f>
        <v>0</v>
      </c>
      <c r="S9" s="35">
        <f>IF(MatrizDeAdyacencia!S9=1,SUMIFS(tblEnlaces[Valor Operativo (peso)],tblEnlaces[Nodo Origen],$C9,tblEnlaces[Nodo Destino],S$3,tblEnlaces[Activo],1),0)</f>
        <v>0</v>
      </c>
      <c r="T9" s="35">
        <f>IF(MatrizDeAdyacencia!T9=1,SUMIFS(tblEnlaces[Valor Operativo (peso)],tblEnlaces[Nodo Origen],$C9,tblEnlaces[Nodo Destino],T$3,tblEnlaces[Activo],1),0)</f>
        <v>0</v>
      </c>
      <c r="U9" s="35">
        <f>IF(MatrizDeAdyacencia!U9=1,SUMIFS(tblEnlaces[Valor Operativo (peso)],tblEnlaces[Nodo Origen],$C9,tblEnlaces[Nodo Destino],U$3,tblEnlaces[Activo],1),0)</f>
        <v>0</v>
      </c>
      <c r="V9" s="36">
        <f>IF(MatrizDeAdyacencia!V9=1,SUMIFS(tblEnlaces[Valor Operativo (peso)],tblEnlaces[Nodo Origen],$C9,tblEnlaces[Nodo Destino],V$3,tblEnlaces[Activo],1),0)</f>
        <v>0</v>
      </c>
      <c r="Y9" s="28" t="s">
        <v>29</v>
      </c>
      <c r="Z9" s="28">
        <v>5</v>
      </c>
      <c r="AA9" s="28">
        <v>1</v>
      </c>
      <c r="AB9" s="28">
        <v>5</v>
      </c>
      <c r="AC9" s="28">
        <v>5</v>
      </c>
      <c r="AD9" s="40"/>
      <c r="AF9"/>
      <c r="AG9"/>
      <c r="AH9"/>
      <c r="AI9"/>
      <c r="AJ9"/>
      <c r="AK9"/>
      <c r="AL9"/>
      <c r="AM9"/>
      <c r="AN9"/>
      <c r="AO9"/>
      <c r="AP9"/>
    </row>
    <row r="10" spans="2:42" ht="17.25" customHeight="1" x14ac:dyDescent="0.25">
      <c r="B10" s="14" t="str">
        <f>VLOOKUP(tblMatrizDeAdyacencia[[#This Row],[NodoOrigen \ NodoDestino]],tblNodos[],2,FALSE)</f>
        <v>Colector local principal</v>
      </c>
      <c r="C10" s="5" t="s">
        <v>126</v>
      </c>
      <c r="D10" s="35">
        <f>IF(MatrizDeAdyacencia!D10=1,SUMIFS(tblEnlaces[Valor Operativo (peso)],tblEnlaces[Nodo Origen],$C10,tblEnlaces[Nodo Destino],D$3,tblEnlaces[Activo],1),0)</f>
        <v>0</v>
      </c>
      <c r="E10" s="35">
        <f>IF(MatrizDeAdyacencia!E10=1,SUMIFS(tblEnlaces[Valor Operativo (peso)],tblEnlaces[Nodo Origen],$C10,tblEnlaces[Nodo Destino],E$3,tblEnlaces[Activo],1),0)</f>
        <v>0</v>
      </c>
      <c r="F10" s="35">
        <f>IF(MatrizDeAdyacencia!F10=1,SUMIFS(tblEnlaces[Valor Operativo (peso)],tblEnlaces[Nodo Origen],$C10,tblEnlaces[Nodo Destino],F$3,tblEnlaces[Activo],1),0)</f>
        <v>0</v>
      </c>
      <c r="G10" s="35">
        <f>IF(MatrizDeAdyacencia!G10=1,SUMIFS(tblEnlaces[Valor Operativo (peso)],tblEnlaces[Nodo Origen],$C10,tblEnlaces[Nodo Destino],G$3,tblEnlaces[Activo],1),0)</f>
        <v>0</v>
      </c>
      <c r="H10" s="35">
        <f>IF(MatrizDeAdyacencia!H10=1,SUMIFS(tblEnlaces[Valor Operativo (peso)],tblEnlaces[Nodo Origen],$C10,tblEnlaces[Nodo Destino],H$3,tblEnlaces[Activo],1),0)</f>
        <v>0</v>
      </c>
      <c r="I10" s="35">
        <f>IF(MatrizDeAdyacencia!I10=1,SUMIFS(tblEnlaces[Valor Operativo (peso)],tblEnlaces[Nodo Origen],$C10,tblEnlaces[Nodo Destino],I$3,tblEnlaces[Activo],1),0)</f>
        <v>0</v>
      </c>
      <c r="J10" s="35">
        <f>IF(MatrizDeAdyacencia!J10=1,SUMIFS(tblEnlaces[Valor Operativo (peso)],tblEnlaces[Nodo Origen],$C10,tblEnlaces[Nodo Destino],J$3,tblEnlaces[Activo],1),0)</f>
        <v>0</v>
      </c>
      <c r="K10" s="35">
        <f>IF(MatrizDeAdyacencia!K10=1,SUMIFS(tblEnlaces[Valor Operativo (peso)],tblEnlaces[Nodo Origen],$C10,tblEnlaces[Nodo Destino],K$3,tblEnlaces[Activo],1),0)</f>
        <v>0</v>
      </c>
      <c r="L10" s="35">
        <f>IF(MatrizDeAdyacencia!L10=1,SUMIFS(tblEnlaces[Valor Operativo (peso)],tblEnlaces[Nodo Origen],$C10,tblEnlaces[Nodo Destino],L$3,tblEnlaces[Activo],1),0)</f>
        <v>0</v>
      </c>
      <c r="M10" s="35">
        <f>IF(MatrizDeAdyacencia!M10=1,SUMIFS(tblEnlaces[Valor Operativo (peso)],tblEnlaces[Nodo Origen],$C10,tblEnlaces[Nodo Destino],M$3,tblEnlaces[Activo],1),0)</f>
        <v>18</v>
      </c>
      <c r="N10" s="35">
        <f>IF(MatrizDeAdyacencia!N10=1,SUMIFS(tblEnlaces[Valor Operativo (peso)],tblEnlaces[Nodo Origen],$C10,tblEnlaces[Nodo Destino],N$3,tblEnlaces[Activo],1),0)</f>
        <v>11</v>
      </c>
      <c r="O10" s="35">
        <f>IF(MatrizDeAdyacencia!O10=1,SUMIFS(tblEnlaces[Valor Operativo (peso)],tblEnlaces[Nodo Origen],$C10,tblEnlaces[Nodo Destino],O$3,tblEnlaces[Activo],1),0)</f>
        <v>0</v>
      </c>
      <c r="P10" s="35">
        <f>IF(MatrizDeAdyacencia!P10=1,SUMIFS(tblEnlaces[Valor Operativo (peso)],tblEnlaces[Nodo Origen],$C10,tblEnlaces[Nodo Destino],P$3,tblEnlaces[Activo],1),0)</f>
        <v>0</v>
      </c>
      <c r="Q10" s="35">
        <f>IF(MatrizDeAdyacencia!Q10=1,SUMIFS(tblEnlaces[Valor Operativo (peso)],tblEnlaces[Nodo Origen],$C10,tblEnlaces[Nodo Destino],Q$3,tblEnlaces[Activo],1),0)</f>
        <v>0</v>
      </c>
      <c r="R10" s="35">
        <f>IF(MatrizDeAdyacencia!R10=1,SUMIFS(tblEnlaces[Valor Operativo (peso)],tblEnlaces[Nodo Origen],$C10,tblEnlaces[Nodo Destino],R$3,tblEnlaces[Activo],1),0)</f>
        <v>0</v>
      </c>
      <c r="S10" s="35">
        <f>IF(MatrizDeAdyacencia!S10=1,SUMIFS(tblEnlaces[Valor Operativo (peso)],tblEnlaces[Nodo Origen],$C10,tblEnlaces[Nodo Destino],S$3,tblEnlaces[Activo],1),0)</f>
        <v>0</v>
      </c>
      <c r="T10" s="35">
        <f>IF(MatrizDeAdyacencia!T10=1,SUMIFS(tblEnlaces[Valor Operativo (peso)],tblEnlaces[Nodo Origen],$C10,tblEnlaces[Nodo Destino],T$3,tblEnlaces[Activo],1),0)</f>
        <v>0</v>
      </c>
      <c r="U10" s="35">
        <f>IF(MatrizDeAdyacencia!U10=1,SUMIFS(tblEnlaces[Valor Operativo (peso)],tblEnlaces[Nodo Origen],$C10,tblEnlaces[Nodo Destino],U$3,tblEnlaces[Activo],1),0)</f>
        <v>0</v>
      </c>
      <c r="V10" s="36">
        <f>IF(MatrizDeAdyacencia!V10=1,SUMIFS(tblEnlaces[Valor Operativo (peso)],tblEnlaces[Nodo Origen],$C10,tblEnlaces[Nodo Destino],V$3,tblEnlaces[Activo],1),0)</f>
        <v>0</v>
      </c>
      <c r="Y10" s="28"/>
      <c r="Z10" s="28"/>
      <c r="AA10" s="28"/>
      <c r="AB10" s="28"/>
      <c r="AC10" s="28"/>
      <c r="AD10" s="28"/>
      <c r="AF10"/>
      <c r="AG10"/>
      <c r="AH10"/>
      <c r="AI10"/>
      <c r="AJ10"/>
      <c r="AK10"/>
      <c r="AL10"/>
      <c r="AM10"/>
      <c r="AN10"/>
      <c r="AO10"/>
      <c r="AP10"/>
    </row>
    <row r="11" spans="2:42" ht="17.25" customHeight="1" x14ac:dyDescent="0.25">
      <c r="B11" s="14" t="str">
        <f>VLOOKUP(tblMatrizDeAdyacencia[[#This Row],[NodoOrigen \ NodoDestino]],tblNodos[],2,FALSE)</f>
        <v>Colector local secundario</v>
      </c>
      <c r="C11" s="5" t="s">
        <v>128</v>
      </c>
      <c r="D11" s="35">
        <f>IF(MatrizDeAdyacencia!D11=1,SUMIFS(tblEnlaces[Valor Operativo (peso)],tblEnlaces[Nodo Origen],$C11,tblEnlaces[Nodo Destino],D$3,tblEnlaces[Activo],1),0)</f>
        <v>0</v>
      </c>
      <c r="E11" s="35">
        <f>IF(MatrizDeAdyacencia!E11=1,SUMIFS(tblEnlaces[Valor Operativo (peso)],tblEnlaces[Nodo Origen],$C11,tblEnlaces[Nodo Destino],E$3,tblEnlaces[Activo],1),0)</f>
        <v>0</v>
      </c>
      <c r="F11" s="35">
        <f>IF(MatrizDeAdyacencia!F11=1,SUMIFS(tblEnlaces[Valor Operativo (peso)],tblEnlaces[Nodo Origen],$C11,tblEnlaces[Nodo Destino],F$3,tblEnlaces[Activo],1),0)</f>
        <v>0</v>
      </c>
      <c r="G11" s="35">
        <f>IF(MatrizDeAdyacencia!G11=1,SUMIFS(tblEnlaces[Valor Operativo (peso)],tblEnlaces[Nodo Origen],$C11,tblEnlaces[Nodo Destino],G$3,tblEnlaces[Activo],1),0)</f>
        <v>0</v>
      </c>
      <c r="H11" s="35">
        <f>IF(MatrizDeAdyacencia!H11=1,SUMIFS(tblEnlaces[Valor Operativo (peso)],tblEnlaces[Nodo Origen],$C11,tblEnlaces[Nodo Destino],H$3,tblEnlaces[Activo],1),0)</f>
        <v>0</v>
      </c>
      <c r="I11" s="35">
        <f>IF(MatrizDeAdyacencia!I11=1,SUMIFS(tblEnlaces[Valor Operativo (peso)],tblEnlaces[Nodo Origen],$C11,tblEnlaces[Nodo Destino],I$3,tblEnlaces[Activo],1),0)</f>
        <v>0</v>
      </c>
      <c r="J11" s="35">
        <f>IF(MatrizDeAdyacencia!J11=1,SUMIFS(tblEnlaces[Valor Operativo (peso)],tblEnlaces[Nodo Origen],$C11,tblEnlaces[Nodo Destino],J$3,tblEnlaces[Activo],1),0)</f>
        <v>0</v>
      </c>
      <c r="K11" s="35">
        <f>IF(MatrizDeAdyacencia!K11=1,SUMIFS(tblEnlaces[Valor Operativo (peso)],tblEnlaces[Nodo Origen],$C11,tblEnlaces[Nodo Destino],K$3,tblEnlaces[Activo],1),0)</f>
        <v>0</v>
      </c>
      <c r="L11" s="35">
        <f>IF(MatrizDeAdyacencia!L11=1,SUMIFS(tblEnlaces[Valor Operativo (peso)],tblEnlaces[Nodo Origen],$C11,tblEnlaces[Nodo Destino],L$3,tblEnlaces[Activo],1),0)</f>
        <v>0</v>
      </c>
      <c r="M11" s="35">
        <f>IF(MatrizDeAdyacencia!M11=1,SUMIFS(tblEnlaces[Valor Operativo (peso)],tblEnlaces[Nodo Origen],$C11,tblEnlaces[Nodo Destino],M$3,tblEnlaces[Activo],1),0)</f>
        <v>17</v>
      </c>
      <c r="N11" s="35">
        <f>IF(MatrizDeAdyacencia!N11=1,SUMIFS(tblEnlaces[Valor Operativo (peso)],tblEnlaces[Nodo Origen],$C11,tblEnlaces[Nodo Destino],N$3,tblEnlaces[Activo],1),0)</f>
        <v>0</v>
      </c>
      <c r="O11" s="35">
        <f>IF(MatrizDeAdyacencia!O11=1,SUMIFS(tblEnlaces[Valor Operativo (peso)],tblEnlaces[Nodo Origen],$C11,tblEnlaces[Nodo Destino],O$3,tblEnlaces[Activo],1),0)</f>
        <v>14</v>
      </c>
      <c r="P11" s="35">
        <f>IF(MatrizDeAdyacencia!P11=1,SUMIFS(tblEnlaces[Valor Operativo (peso)],tblEnlaces[Nodo Origen],$C11,tblEnlaces[Nodo Destino],P$3,tblEnlaces[Activo],1),0)</f>
        <v>0</v>
      </c>
      <c r="Q11" s="35">
        <f>IF(MatrizDeAdyacencia!Q11=1,SUMIFS(tblEnlaces[Valor Operativo (peso)],tblEnlaces[Nodo Origen],$C11,tblEnlaces[Nodo Destino],Q$3,tblEnlaces[Activo],1),0)</f>
        <v>0</v>
      </c>
      <c r="R11" s="35">
        <f>IF(MatrizDeAdyacencia!R11=1,SUMIFS(tblEnlaces[Valor Operativo (peso)],tblEnlaces[Nodo Origen],$C11,tblEnlaces[Nodo Destino],R$3,tblEnlaces[Activo],1),0)</f>
        <v>0</v>
      </c>
      <c r="S11" s="35">
        <f>IF(MatrizDeAdyacencia!S11=1,SUMIFS(tblEnlaces[Valor Operativo (peso)],tblEnlaces[Nodo Origen],$C11,tblEnlaces[Nodo Destino],S$3,tblEnlaces[Activo],1),0)</f>
        <v>0</v>
      </c>
      <c r="T11" s="35">
        <f>IF(MatrizDeAdyacencia!T11=1,SUMIFS(tblEnlaces[Valor Operativo (peso)],tblEnlaces[Nodo Origen],$C11,tblEnlaces[Nodo Destino],T$3,tblEnlaces[Activo],1),0)</f>
        <v>0</v>
      </c>
      <c r="U11" s="35">
        <f>IF(MatrizDeAdyacencia!U11=1,SUMIFS(tblEnlaces[Valor Operativo (peso)],tblEnlaces[Nodo Origen],$C11,tblEnlaces[Nodo Destino],U$3,tblEnlaces[Activo],1),0)</f>
        <v>0</v>
      </c>
      <c r="V11" s="36">
        <f>IF(MatrizDeAdyacencia!V11=1,SUMIFS(tblEnlaces[Valor Operativo (peso)],tblEnlaces[Nodo Origen],$C11,tblEnlaces[Nodo Destino],V$3,tblEnlaces[Activo],1),0)</f>
        <v>0</v>
      </c>
      <c r="Y11" s="42"/>
      <c r="Z11" s="42"/>
      <c r="AA11" s="42"/>
      <c r="AB11" s="42"/>
      <c r="AC11" s="42"/>
      <c r="AD11" s="42"/>
      <c r="AE11" s="33"/>
      <c r="AF11"/>
      <c r="AG11"/>
      <c r="AH11"/>
      <c r="AI11"/>
      <c r="AJ11"/>
      <c r="AK11"/>
      <c r="AL11"/>
      <c r="AM11"/>
      <c r="AN11"/>
      <c r="AO11"/>
      <c r="AP11"/>
    </row>
    <row r="12" spans="2:42" ht="17.25" customHeight="1" x14ac:dyDescent="0.25">
      <c r="B12" s="14" t="str">
        <f>VLOOKUP(tblMatrizDeAdyacencia[[#This Row],[NodoOrigen \ NodoDestino]],tblNodos[],2,FALSE)</f>
        <v>Colector regional</v>
      </c>
      <c r="C12" s="5" t="s">
        <v>141</v>
      </c>
      <c r="D12" s="35">
        <f>IF(MatrizDeAdyacencia!D12=1,SUMIFS(tblEnlaces[Valor Operativo (peso)],tblEnlaces[Nodo Origen],$C12,tblEnlaces[Nodo Destino],D$3,tblEnlaces[Activo],1),0)</f>
        <v>0</v>
      </c>
      <c r="E12" s="35">
        <f>IF(MatrizDeAdyacencia!E12=1,SUMIFS(tblEnlaces[Valor Operativo (peso)],tblEnlaces[Nodo Origen],$C12,tblEnlaces[Nodo Destino],E$3,tblEnlaces[Activo],1),0)</f>
        <v>0</v>
      </c>
      <c r="F12" s="35">
        <f>IF(MatrizDeAdyacencia!F12=1,SUMIFS(tblEnlaces[Valor Operativo (peso)],tblEnlaces[Nodo Origen],$C12,tblEnlaces[Nodo Destino],F$3,tblEnlaces[Activo],1),0)</f>
        <v>0</v>
      </c>
      <c r="G12" s="35">
        <f>IF(MatrizDeAdyacencia!G12=1,SUMIFS(tblEnlaces[Valor Operativo (peso)],tblEnlaces[Nodo Origen],$C12,tblEnlaces[Nodo Destino],G$3,tblEnlaces[Activo],1),0)</f>
        <v>0</v>
      </c>
      <c r="H12" s="35">
        <f>IF(MatrizDeAdyacencia!H12=1,SUMIFS(tblEnlaces[Valor Operativo (peso)],tblEnlaces[Nodo Origen],$C12,tblEnlaces[Nodo Destino],H$3,tblEnlaces[Activo],1),0)</f>
        <v>0</v>
      </c>
      <c r="I12" s="35">
        <f>IF(MatrizDeAdyacencia!I12=1,SUMIFS(tblEnlaces[Valor Operativo (peso)],tblEnlaces[Nodo Origen],$C12,tblEnlaces[Nodo Destino],I$3,tblEnlaces[Activo],1),0)</f>
        <v>0</v>
      </c>
      <c r="J12" s="35">
        <f>IF(MatrizDeAdyacencia!J12=1,SUMIFS(tblEnlaces[Valor Operativo (peso)],tblEnlaces[Nodo Origen],$C12,tblEnlaces[Nodo Destino],J$3,tblEnlaces[Activo],1),0)</f>
        <v>0</v>
      </c>
      <c r="K12" s="35">
        <f>IF(MatrizDeAdyacencia!K12=1,SUMIFS(tblEnlaces[Valor Operativo (peso)],tblEnlaces[Nodo Origen],$C12,tblEnlaces[Nodo Destino],K$3,tblEnlaces[Activo],1),0)</f>
        <v>0</v>
      </c>
      <c r="L12" s="35">
        <f>IF(MatrizDeAdyacencia!L12=1,SUMIFS(tblEnlaces[Valor Operativo (peso)],tblEnlaces[Nodo Origen],$C12,tblEnlaces[Nodo Destino],L$3,tblEnlaces[Activo],1),0)</f>
        <v>0</v>
      </c>
      <c r="M12" s="35">
        <f>IF(MatrizDeAdyacencia!M12=1,SUMIFS(tblEnlaces[Valor Operativo (peso)],tblEnlaces[Nodo Origen],$C12,tblEnlaces[Nodo Destino],M$3,tblEnlaces[Activo],1),0)</f>
        <v>0</v>
      </c>
      <c r="N12" s="35">
        <f>IF(MatrizDeAdyacencia!N12=1,SUMIFS(tblEnlaces[Valor Operativo (peso)],tblEnlaces[Nodo Origen],$C12,tblEnlaces[Nodo Destino],N$3,tblEnlaces[Activo],1),0)</f>
        <v>18</v>
      </c>
      <c r="O12" s="35">
        <f>IF(MatrizDeAdyacencia!O12=1,SUMIFS(tblEnlaces[Valor Operativo (peso)],tblEnlaces[Nodo Origen],$C12,tblEnlaces[Nodo Destino],O$3,tblEnlaces[Activo],1),0)</f>
        <v>0</v>
      </c>
      <c r="P12" s="35">
        <f>IF(MatrizDeAdyacencia!P12=1,SUMIFS(tblEnlaces[Valor Operativo (peso)],tblEnlaces[Nodo Origen],$C12,tblEnlaces[Nodo Destino],P$3,tblEnlaces[Activo],1),0)</f>
        <v>14</v>
      </c>
      <c r="Q12" s="35">
        <f>IF(MatrizDeAdyacencia!Q12=1,SUMIFS(tblEnlaces[Valor Operativo (peso)],tblEnlaces[Nodo Origen],$C12,tblEnlaces[Nodo Destino],Q$3,tblEnlaces[Activo],1),0)</f>
        <v>0</v>
      </c>
      <c r="R12" s="35">
        <f>IF(MatrizDeAdyacencia!R12=1,SUMIFS(tblEnlaces[Valor Operativo (peso)],tblEnlaces[Nodo Origen],$C12,tblEnlaces[Nodo Destino],R$3,tblEnlaces[Activo],1),0)</f>
        <v>0</v>
      </c>
      <c r="S12" s="35">
        <f>IF(MatrizDeAdyacencia!S12=1,SUMIFS(tblEnlaces[Valor Operativo (peso)],tblEnlaces[Nodo Origen],$C12,tblEnlaces[Nodo Destino],S$3,tblEnlaces[Activo],1),0)</f>
        <v>0</v>
      </c>
      <c r="T12" s="35">
        <f>IF(MatrizDeAdyacencia!T12=1,SUMIFS(tblEnlaces[Valor Operativo (peso)],tblEnlaces[Nodo Origen],$C12,tblEnlaces[Nodo Destino],T$3,tblEnlaces[Activo],1),0)</f>
        <v>0</v>
      </c>
      <c r="U12" s="35">
        <f>IF(MatrizDeAdyacencia!U12=1,SUMIFS(tblEnlaces[Valor Operativo (peso)],tblEnlaces[Nodo Origen],$C12,tblEnlaces[Nodo Destino],U$3,tblEnlaces[Activo],1),0)</f>
        <v>0</v>
      </c>
      <c r="V12" s="36">
        <f>IF(MatrizDeAdyacencia!V12=1,SUMIFS(tblEnlaces[Valor Operativo (peso)],tblEnlaces[Nodo Origen],$C12,tblEnlaces[Nodo Destino],V$3,tblEnlaces[Activo],1),0)</f>
        <v>0</v>
      </c>
      <c r="Y12" s="27" t="s">
        <v>88</v>
      </c>
      <c r="Z12" s="27" t="s">
        <v>16</v>
      </c>
      <c r="AA12" s="27" t="s">
        <v>17</v>
      </c>
      <c r="AB12" s="27" t="s">
        <v>18</v>
      </c>
      <c r="AC12" s="27" t="s">
        <v>19</v>
      </c>
      <c r="AD12" s="27" t="s">
        <v>89</v>
      </c>
      <c r="AF12"/>
      <c r="AG12"/>
      <c r="AH12"/>
      <c r="AI12"/>
      <c r="AJ12"/>
      <c r="AK12"/>
      <c r="AL12"/>
      <c r="AM12"/>
      <c r="AN12"/>
      <c r="AO12"/>
      <c r="AP12"/>
    </row>
    <row r="13" spans="2:42" ht="17.25" customHeight="1" x14ac:dyDescent="0.25">
      <c r="B13" s="14" t="str">
        <f>VLOOKUP(tblMatrizDeAdyacencia[[#This Row],[NodoOrigen \ NodoDestino]],tblNodos[],2,FALSE)</f>
        <v>Redistribuidor zona tránsito 1</v>
      </c>
      <c r="C13" s="5" t="s">
        <v>129</v>
      </c>
      <c r="D13" s="35">
        <f>IF(MatrizDeAdyacencia!D13=1,SUMIFS(tblEnlaces[Valor Operativo (peso)],tblEnlaces[Nodo Origen],$C13,tblEnlaces[Nodo Destino],D$3,tblEnlaces[Activo],1),0)</f>
        <v>0</v>
      </c>
      <c r="E13" s="35">
        <f>IF(MatrizDeAdyacencia!E13=1,SUMIFS(tblEnlaces[Valor Operativo (peso)],tblEnlaces[Nodo Origen],$C13,tblEnlaces[Nodo Destino],E$3,tblEnlaces[Activo],1),0)</f>
        <v>0</v>
      </c>
      <c r="F13" s="35">
        <f>IF(MatrizDeAdyacencia!F13=1,SUMIFS(tblEnlaces[Valor Operativo (peso)],tblEnlaces[Nodo Origen],$C13,tblEnlaces[Nodo Destino],F$3,tblEnlaces[Activo],1),0)</f>
        <v>0</v>
      </c>
      <c r="G13" s="35">
        <f>IF(MatrizDeAdyacencia!G13=1,SUMIFS(tblEnlaces[Valor Operativo (peso)],tblEnlaces[Nodo Origen],$C13,tblEnlaces[Nodo Destino],G$3,tblEnlaces[Activo],1),0)</f>
        <v>0</v>
      </c>
      <c r="H13" s="35">
        <f>IF(MatrizDeAdyacencia!H13=1,SUMIFS(tblEnlaces[Valor Operativo (peso)],tblEnlaces[Nodo Origen],$C13,tblEnlaces[Nodo Destino],H$3,tblEnlaces[Activo],1),0)</f>
        <v>0</v>
      </c>
      <c r="I13" s="35">
        <f>IF(MatrizDeAdyacencia!I13=1,SUMIFS(tblEnlaces[Valor Operativo (peso)],tblEnlaces[Nodo Origen],$C13,tblEnlaces[Nodo Destino],I$3,tblEnlaces[Activo],1),0)</f>
        <v>0</v>
      </c>
      <c r="J13" s="35">
        <f>IF(MatrizDeAdyacencia!J13=1,SUMIFS(tblEnlaces[Valor Operativo (peso)],tblEnlaces[Nodo Origen],$C13,tblEnlaces[Nodo Destino],J$3,tblEnlaces[Activo],1),0)</f>
        <v>0</v>
      </c>
      <c r="K13" s="35">
        <f>IF(MatrizDeAdyacencia!K13=1,SUMIFS(tblEnlaces[Valor Operativo (peso)],tblEnlaces[Nodo Origen],$C13,tblEnlaces[Nodo Destino],K$3,tblEnlaces[Activo],1),0)</f>
        <v>0</v>
      </c>
      <c r="L13" s="35">
        <f>IF(MatrizDeAdyacencia!L13=1,SUMIFS(tblEnlaces[Valor Operativo (peso)],tblEnlaces[Nodo Origen],$C13,tblEnlaces[Nodo Destino],L$3,tblEnlaces[Activo],1),0)</f>
        <v>0</v>
      </c>
      <c r="M13" s="35">
        <f>IF(MatrizDeAdyacencia!M13=1,SUMIFS(tblEnlaces[Valor Operativo (peso)],tblEnlaces[Nodo Origen],$C13,tblEnlaces[Nodo Destino],M$3,tblEnlaces[Activo],1),0)</f>
        <v>0</v>
      </c>
      <c r="N13" s="35">
        <f>IF(MatrizDeAdyacencia!N13=1,SUMIFS(tblEnlaces[Valor Operativo (peso)],tblEnlaces[Nodo Origen],$C13,tblEnlaces[Nodo Destino],N$3,tblEnlaces[Activo],1),0)</f>
        <v>0</v>
      </c>
      <c r="O13" s="35">
        <f>IF(MatrizDeAdyacencia!O13=1,SUMIFS(tblEnlaces[Valor Operativo (peso)],tblEnlaces[Nodo Origen],$C13,tblEnlaces[Nodo Destino],O$3,tblEnlaces[Activo],1),0)</f>
        <v>14</v>
      </c>
      <c r="P13" s="35">
        <f>IF(MatrizDeAdyacencia!P13=1,SUMIFS(tblEnlaces[Valor Operativo (peso)],tblEnlaces[Nodo Origen],$C13,tblEnlaces[Nodo Destino],P$3,tblEnlaces[Activo],1),0)</f>
        <v>13</v>
      </c>
      <c r="Q13" s="35">
        <f>IF(MatrizDeAdyacencia!Q13=1,SUMIFS(tblEnlaces[Valor Operativo (peso)],tblEnlaces[Nodo Origen],$C13,tblEnlaces[Nodo Destino],Q$3,tblEnlaces[Activo],1),0)</f>
        <v>0</v>
      </c>
      <c r="R13" s="35">
        <f>IF(MatrizDeAdyacencia!R13=1,SUMIFS(tblEnlaces[Valor Operativo (peso)],tblEnlaces[Nodo Origen],$C13,tblEnlaces[Nodo Destino],R$3,tblEnlaces[Activo],1),0)</f>
        <v>0</v>
      </c>
      <c r="S13" s="35">
        <f>IF(MatrizDeAdyacencia!S13=1,SUMIFS(tblEnlaces[Valor Operativo (peso)],tblEnlaces[Nodo Origen],$C13,tblEnlaces[Nodo Destino],S$3,tblEnlaces[Activo],1),0)</f>
        <v>0</v>
      </c>
      <c r="T13" s="35">
        <f>IF(MatrizDeAdyacencia!T13=1,SUMIFS(tblEnlaces[Valor Operativo (peso)],tblEnlaces[Nodo Origen],$C13,tblEnlaces[Nodo Destino],T$3,tblEnlaces[Activo],1),0)</f>
        <v>0</v>
      </c>
      <c r="U13" s="35">
        <f>IF(MatrizDeAdyacencia!U13=1,SUMIFS(tblEnlaces[Valor Operativo (peso)],tblEnlaces[Nodo Origen],$C13,tblEnlaces[Nodo Destino],U$3,tblEnlaces[Activo],1),0)</f>
        <v>0</v>
      </c>
      <c r="V13" s="36">
        <f>IF(MatrizDeAdyacencia!V13=1,SUMIFS(tblEnlaces[Valor Operativo (peso)],tblEnlaces[Nodo Origen],$C13,tblEnlaces[Nodo Destino],V$3,tblEnlaces[Activo],1),0)</f>
        <v>0</v>
      </c>
      <c r="Y13" s="28" t="s">
        <v>90</v>
      </c>
      <c r="Z13" s="41">
        <v>1</v>
      </c>
      <c r="AA13" s="41">
        <v>1</v>
      </c>
      <c r="AB13" s="41">
        <v>1</v>
      </c>
      <c r="AC13" s="41">
        <v>1</v>
      </c>
      <c r="AD13" s="41">
        <v>4</v>
      </c>
      <c r="AF13"/>
      <c r="AG13"/>
      <c r="AH13"/>
      <c r="AI13"/>
      <c r="AJ13"/>
      <c r="AK13"/>
      <c r="AL13"/>
      <c r="AM13"/>
      <c r="AN13"/>
      <c r="AO13"/>
      <c r="AP13"/>
    </row>
    <row r="14" spans="2:42" ht="17.25" customHeight="1" x14ac:dyDescent="0.25">
      <c r="B14" s="14" t="str">
        <f>VLOOKUP(tblMatrizDeAdyacencia[[#This Row],[NodoOrigen \ NodoDestino]],tblNodos[],2,FALSE)</f>
        <v>Redistribuidor zona tránsito 2</v>
      </c>
      <c r="C14" s="5" t="s">
        <v>130</v>
      </c>
      <c r="D14" s="35">
        <f>IF(MatrizDeAdyacencia!D14=1,SUMIFS(tblEnlaces[Valor Operativo (peso)],tblEnlaces[Nodo Origen],$C14,tblEnlaces[Nodo Destino],D$3,tblEnlaces[Activo],1),0)</f>
        <v>0</v>
      </c>
      <c r="E14" s="35">
        <f>IF(MatrizDeAdyacencia!E14=1,SUMIFS(tblEnlaces[Valor Operativo (peso)],tblEnlaces[Nodo Origen],$C14,tblEnlaces[Nodo Destino],E$3,tblEnlaces[Activo],1),0)</f>
        <v>0</v>
      </c>
      <c r="F14" s="35">
        <f>IF(MatrizDeAdyacencia!F14=1,SUMIFS(tblEnlaces[Valor Operativo (peso)],tblEnlaces[Nodo Origen],$C14,tblEnlaces[Nodo Destino],F$3,tblEnlaces[Activo],1),0)</f>
        <v>0</v>
      </c>
      <c r="G14" s="35">
        <f>IF(MatrizDeAdyacencia!G14=1,SUMIFS(tblEnlaces[Valor Operativo (peso)],tblEnlaces[Nodo Origen],$C14,tblEnlaces[Nodo Destino],G$3,tblEnlaces[Activo],1),0)</f>
        <v>0</v>
      </c>
      <c r="H14" s="35">
        <f>IF(MatrizDeAdyacencia!H14=1,SUMIFS(tblEnlaces[Valor Operativo (peso)],tblEnlaces[Nodo Origen],$C14,tblEnlaces[Nodo Destino],H$3,tblEnlaces[Activo],1),0)</f>
        <v>0</v>
      </c>
      <c r="I14" s="35">
        <f>IF(MatrizDeAdyacencia!I14=1,SUMIFS(tblEnlaces[Valor Operativo (peso)],tblEnlaces[Nodo Origen],$C14,tblEnlaces[Nodo Destino],I$3,tblEnlaces[Activo],1),0)</f>
        <v>0</v>
      </c>
      <c r="J14" s="35">
        <f>IF(MatrizDeAdyacencia!J14=1,SUMIFS(tblEnlaces[Valor Operativo (peso)],tblEnlaces[Nodo Origen],$C14,tblEnlaces[Nodo Destino],J$3,tblEnlaces[Activo],1),0)</f>
        <v>0</v>
      </c>
      <c r="K14" s="35">
        <f>IF(MatrizDeAdyacencia!K14=1,SUMIFS(tblEnlaces[Valor Operativo (peso)],tblEnlaces[Nodo Origen],$C14,tblEnlaces[Nodo Destino],K$3,tblEnlaces[Activo],1),0)</f>
        <v>0</v>
      </c>
      <c r="L14" s="35">
        <f>IF(MatrizDeAdyacencia!L14=1,SUMIFS(tblEnlaces[Valor Operativo (peso)],tblEnlaces[Nodo Origen],$C14,tblEnlaces[Nodo Destino],L$3,tblEnlaces[Activo],1),0)</f>
        <v>0</v>
      </c>
      <c r="M14" s="35">
        <f>IF(MatrizDeAdyacencia!M14=1,SUMIFS(tblEnlaces[Valor Operativo (peso)],tblEnlaces[Nodo Origen],$C14,tblEnlaces[Nodo Destino],M$3,tblEnlaces[Activo],1),0)</f>
        <v>0</v>
      </c>
      <c r="N14" s="35">
        <f>IF(MatrizDeAdyacencia!N14=1,SUMIFS(tblEnlaces[Valor Operativo (peso)],tblEnlaces[Nodo Origen],$C14,tblEnlaces[Nodo Destino],N$3,tblEnlaces[Activo],1),0)</f>
        <v>0</v>
      </c>
      <c r="O14" s="35">
        <f>IF(MatrizDeAdyacencia!O14=1,SUMIFS(tblEnlaces[Valor Operativo (peso)],tblEnlaces[Nodo Origen],$C14,tblEnlaces[Nodo Destino],O$3,tblEnlaces[Activo],1),0)</f>
        <v>17</v>
      </c>
      <c r="P14" s="35">
        <f>IF(MatrizDeAdyacencia!P14=1,SUMIFS(tblEnlaces[Valor Operativo (peso)],tblEnlaces[Nodo Origen],$C14,tblEnlaces[Nodo Destino],P$3,tblEnlaces[Activo],1),0)</f>
        <v>0</v>
      </c>
      <c r="Q14" s="35">
        <f>IF(MatrizDeAdyacencia!Q14=1,SUMIFS(tblEnlaces[Valor Operativo (peso)],tblEnlaces[Nodo Origen],$C14,tblEnlaces[Nodo Destino],Q$3,tblEnlaces[Activo],1),0)</f>
        <v>11</v>
      </c>
      <c r="R14" s="35">
        <f>IF(MatrizDeAdyacencia!R14=1,SUMIFS(tblEnlaces[Valor Operativo (peso)],tblEnlaces[Nodo Origen],$C14,tblEnlaces[Nodo Destino],R$3,tblEnlaces[Activo],1),0)</f>
        <v>0</v>
      </c>
      <c r="S14" s="35">
        <f>IF(MatrizDeAdyacencia!S14=1,SUMIFS(tblEnlaces[Valor Operativo (peso)],tblEnlaces[Nodo Origen],$C14,tblEnlaces[Nodo Destino],S$3,tblEnlaces[Activo],1),0)</f>
        <v>0</v>
      </c>
      <c r="T14" s="35">
        <f>IF(MatrizDeAdyacencia!T14=1,SUMIFS(tblEnlaces[Valor Operativo (peso)],tblEnlaces[Nodo Origen],$C14,tblEnlaces[Nodo Destino],T$3,tblEnlaces[Activo],1),0)</f>
        <v>0</v>
      </c>
      <c r="U14" s="35">
        <f>IF(MatrizDeAdyacencia!U14=1,SUMIFS(tblEnlaces[Valor Operativo (peso)],tblEnlaces[Nodo Origen],$C14,tblEnlaces[Nodo Destino],U$3,tblEnlaces[Activo],1),0)</f>
        <v>0</v>
      </c>
      <c r="V14" s="36">
        <f>IF(MatrizDeAdyacencia!V14=1,SUMIFS(tblEnlaces[Valor Operativo (peso)],tblEnlaces[Nodo Origen],$C14,tblEnlaces[Nodo Destino],V$3,tblEnlaces[Activo],1),0)</f>
        <v>0</v>
      </c>
      <c r="Y14" s="28" t="s">
        <v>91</v>
      </c>
      <c r="Z14" s="41">
        <v>5</v>
      </c>
      <c r="AA14" s="41">
        <v>5</v>
      </c>
      <c r="AB14" s="41">
        <v>5</v>
      </c>
      <c r="AC14" s="41">
        <v>5</v>
      </c>
      <c r="AD14" s="41">
        <v>20</v>
      </c>
      <c r="AF14"/>
      <c r="AG14"/>
      <c r="AH14"/>
      <c r="AI14"/>
      <c r="AJ14"/>
      <c r="AK14"/>
      <c r="AL14"/>
      <c r="AM14"/>
      <c r="AN14"/>
      <c r="AO14"/>
      <c r="AP14"/>
    </row>
    <row r="15" spans="2:42" ht="17.25" customHeight="1" x14ac:dyDescent="0.25">
      <c r="B15" s="14" t="str">
        <f>VLOOKUP(tblMatrizDeAdyacencia[[#This Row],[NodoOrigen \ NodoDestino]],tblNodos[],2,FALSE)</f>
        <v>Redistribuidor principal</v>
      </c>
      <c r="C15" s="5" t="s">
        <v>132</v>
      </c>
      <c r="D15" s="35">
        <f>IF(MatrizDeAdyacencia!D15=1,SUMIFS(tblEnlaces[Valor Operativo (peso)],tblEnlaces[Nodo Origen],$C15,tblEnlaces[Nodo Destino],D$3,tblEnlaces[Activo],1),0)</f>
        <v>0</v>
      </c>
      <c r="E15" s="35">
        <f>IF(MatrizDeAdyacencia!E15=1,SUMIFS(tblEnlaces[Valor Operativo (peso)],tblEnlaces[Nodo Origen],$C15,tblEnlaces[Nodo Destino],E$3,tblEnlaces[Activo],1),0)</f>
        <v>0</v>
      </c>
      <c r="F15" s="35">
        <f>IF(MatrizDeAdyacencia!F15=1,SUMIFS(tblEnlaces[Valor Operativo (peso)],tblEnlaces[Nodo Origen],$C15,tblEnlaces[Nodo Destino],F$3,tblEnlaces[Activo],1),0)</f>
        <v>0</v>
      </c>
      <c r="G15" s="35">
        <f>IF(MatrizDeAdyacencia!G15=1,SUMIFS(tblEnlaces[Valor Operativo (peso)],tblEnlaces[Nodo Origen],$C15,tblEnlaces[Nodo Destino],G$3,tblEnlaces[Activo],1),0)</f>
        <v>0</v>
      </c>
      <c r="H15" s="35">
        <f>IF(MatrizDeAdyacencia!H15=1,SUMIFS(tblEnlaces[Valor Operativo (peso)],tblEnlaces[Nodo Origen],$C15,tblEnlaces[Nodo Destino],H$3,tblEnlaces[Activo],1),0)</f>
        <v>0</v>
      </c>
      <c r="I15" s="35">
        <f>IF(MatrizDeAdyacencia!I15=1,SUMIFS(tblEnlaces[Valor Operativo (peso)],tblEnlaces[Nodo Origen],$C15,tblEnlaces[Nodo Destino],I$3,tblEnlaces[Activo],1),0)</f>
        <v>0</v>
      </c>
      <c r="J15" s="35">
        <f>IF(MatrizDeAdyacencia!J15=1,SUMIFS(tblEnlaces[Valor Operativo (peso)],tblEnlaces[Nodo Origen],$C15,tblEnlaces[Nodo Destino],J$3,tblEnlaces[Activo],1),0)</f>
        <v>0</v>
      </c>
      <c r="K15" s="35">
        <f>IF(MatrizDeAdyacencia!K15=1,SUMIFS(tblEnlaces[Valor Operativo (peso)],tblEnlaces[Nodo Origen],$C15,tblEnlaces[Nodo Destino],K$3,tblEnlaces[Activo],1),0)</f>
        <v>0</v>
      </c>
      <c r="L15" s="35">
        <f>IF(MatrizDeAdyacencia!L15=1,SUMIFS(tblEnlaces[Valor Operativo (peso)],tblEnlaces[Nodo Origen],$C15,tblEnlaces[Nodo Destino],L$3,tblEnlaces[Activo],1),0)</f>
        <v>0</v>
      </c>
      <c r="M15" s="35">
        <f>IF(MatrizDeAdyacencia!M15=1,SUMIFS(tblEnlaces[Valor Operativo (peso)],tblEnlaces[Nodo Origen],$C15,tblEnlaces[Nodo Destino],M$3,tblEnlaces[Activo],1),0)</f>
        <v>0</v>
      </c>
      <c r="N15" s="35">
        <f>IF(MatrizDeAdyacencia!N15=1,SUMIFS(tblEnlaces[Valor Operativo (peso)],tblEnlaces[Nodo Origen],$C15,tblEnlaces[Nodo Destino],N$3,tblEnlaces[Activo],1),0)</f>
        <v>0</v>
      </c>
      <c r="O15" s="35">
        <f>IF(MatrizDeAdyacencia!O15=1,SUMIFS(tblEnlaces[Valor Operativo (peso)],tblEnlaces[Nodo Origen],$C15,tblEnlaces[Nodo Destino],O$3,tblEnlaces[Activo],1),0)</f>
        <v>0</v>
      </c>
      <c r="P15" s="35">
        <f>IF(MatrizDeAdyacencia!P15=1,SUMIFS(tblEnlaces[Valor Operativo (peso)],tblEnlaces[Nodo Origen],$C15,tblEnlaces[Nodo Destino],P$3,tblEnlaces[Activo],1),0)</f>
        <v>0</v>
      </c>
      <c r="Q15" s="35">
        <f>IF(MatrizDeAdyacencia!Q15=1,SUMIFS(tblEnlaces[Valor Operativo (peso)],tblEnlaces[Nodo Origen],$C15,tblEnlaces[Nodo Destino],Q$3,tblEnlaces[Activo],1),0)</f>
        <v>0</v>
      </c>
      <c r="R15" s="35">
        <f>IF(MatrizDeAdyacencia!R15=1,SUMIFS(tblEnlaces[Valor Operativo (peso)],tblEnlaces[Nodo Origen],$C15,tblEnlaces[Nodo Destino],R$3,tblEnlaces[Activo],1),0)</f>
        <v>18</v>
      </c>
      <c r="S15" s="35">
        <f>IF(MatrizDeAdyacencia!S15=1,SUMIFS(tblEnlaces[Valor Operativo (peso)],tblEnlaces[Nodo Origen],$C15,tblEnlaces[Nodo Destino],S$3,tblEnlaces[Activo],1),0)</f>
        <v>0</v>
      </c>
      <c r="T15" s="35">
        <f>IF(MatrizDeAdyacencia!T15=1,SUMIFS(tblEnlaces[Valor Operativo (peso)],tblEnlaces[Nodo Origen],$C15,tblEnlaces[Nodo Destino],T$3,tblEnlaces[Activo],1),0)</f>
        <v>0</v>
      </c>
      <c r="U15" s="35">
        <f>IF(MatrizDeAdyacencia!U15=1,SUMIFS(tblEnlaces[Valor Operativo (peso)],tblEnlaces[Nodo Origen],$C15,tblEnlaces[Nodo Destino],U$3,tblEnlaces[Activo],1),0)</f>
        <v>0</v>
      </c>
      <c r="V15" s="36">
        <f>IF(MatrizDeAdyacencia!V15=1,SUMIFS(tblEnlaces[Valor Operativo (peso)],tblEnlaces[Nodo Origen],$C15,tblEnlaces[Nodo Destino],V$3,tblEnlaces[Activo],1),0)</f>
        <v>0</v>
      </c>
      <c r="AF15"/>
      <c r="AG15"/>
      <c r="AH15"/>
      <c r="AI15"/>
      <c r="AJ15"/>
      <c r="AK15"/>
      <c r="AL15"/>
      <c r="AM15"/>
      <c r="AN15"/>
      <c r="AO15"/>
      <c r="AP15"/>
    </row>
    <row r="16" spans="2:42" ht="17.25" customHeight="1" x14ac:dyDescent="0.25">
      <c r="B16" s="14" t="str">
        <f>VLOOKUP(tblMatrizDeAdyacencia[[#This Row],[NodoOrigen \ NodoDestino]],tblNodos[],2,FALSE)</f>
        <v>Redistribuidor secundario 1</v>
      </c>
      <c r="C16" s="5" t="s">
        <v>145</v>
      </c>
      <c r="D16" s="35">
        <f>IF(MatrizDeAdyacencia!D16=1,SUMIFS(tblEnlaces[Valor Operativo (peso)],tblEnlaces[Nodo Origen],$C16,tblEnlaces[Nodo Destino],D$3,tblEnlaces[Activo],1),0)</f>
        <v>0</v>
      </c>
      <c r="E16" s="35">
        <f>IF(MatrizDeAdyacencia!E16=1,SUMIFS(tblEnlaces[Valor Operativo (peso)],tblEnlaces[Nodo Origen],$C16,tblEnlaces[Nodo Destino],E$3,tblEnlaces[Activo],1),0)</f>
        <v>0</v>
      </c>
      <c r="F16" s="35">
        <f>IF(MatrizDeAdyacencia!F16=1,SUMIFS(tblEnlaces[Valor Operativo (peso)],tblEnlaces[Nodo Origen],$C16,tblEnlaces[Nodo Destino],F$3,tblEnlaces[Activo],1),0)</f>
        <v>0</v>
      </c>
      <c r="G16" s="35">
        <f>IF(MatrizDeAdyacencia!G16=1,SUMIFS(tblEnlaces[Valor Operativo (peso)],tblEnlaces[Nodo Origen],$C16,tblEnlaces[Nodo Destino],G$3,tblEnlaces[Activo],1),0)</f>
        <v>0</v>
      </c>
      <c r="H16" s="35">
        <f>IF(MatrizDeAdyacencia!H16=1,SUMIFS(tblEnlaces[Valor Operativo (peso)],tblEnlaces[Nodo Origen],$C16,tblEnlaces[Nodo Destino],H$3,tblEnlaces[Activo],1),0)</f>
        <v>0</v>
      </c>
      <c r="I16" s="35">
        <f>IF(MatrizDeAdyacencia!I16=1,SUMIFS(tblEnlaces[Valor Operativo (peso)],tblEnlaces[Nodo Origen],$C16,tblEnlaces[Nodo Destino],I$3,tblEnlaces[Activo],1),0)</f>
        <v>0</v>
      </c>
      <c r="J16" s="35">
        <f>IF(MatrizDeAdyacencia!J16=1,SUMIFS(tblEnlaces[Valor Operativo (peso)],tblEnlaces[Nodo Origen],$C16,tblEnlaces[Nodo Destino],J$3,tblEnlaces[Activo],1),0)</f>
        <v>0</v>
      </c>
      <c r="K16" s="35">
        <f>IF(MatrizDeAdyacencia!K16=1,SUMIFS(tblEnlaces[Valor Operativo (peso)],tblEnlaces[Nodo Origen],$C16,tblEnlaces[Nodo Destino],K$3,tblEnlaces[Activo],1),0)</f>
        <v>0</v>
      </c>
      <c r="L16" s="35">
        <f>IF(MatrizDeAdyacencia!L16=1,SUMIFS(tblEnlaces[Valor Operativo (peso)],tblEnlaces[Nodo Origen],$C16,tblEnlaces[Nodo Destino],L$3,tblEnlaces[Activo],1),0)</f>
        <v>0</v>
      </c>
      <c r="M16" s="35">
        <f>IF(MatrizDeAdyacencia!M16=1,SUMIFS(tblEnlaces[Valor Operativo (peso)],tblEnlaces[Nodo Origen],$C16,tblEnlaces[Nodo Destino],M$3,tblEnlaces[Activo],1),0)</f>
        <v>0</v>
      </c>
      <c r="N16" s="35">
        <f>IF(MatrizDeAdyacencia!N16=1,SUMIFS(tblEnlaces[Valor Operativo (peso)],tblEnlaces[Nodo Origen],$C16,tblEnlaces[Nodo Destino],N$3,tblEnlaces[Activo],1),0)</f>
        <v>0</v>
      </c>
      <c r="O16" s="35">
        <f>IF(MatrizDeAdyacencia!O16=1,SUMIFS(tblEnlaces[Valor Operativo (peso)],tblEnlaces[Nodo Origen],$C16,tblEnlaces[Nodo Destino],O$3,tblEnlaces[Activo],1),0)</f>
        <v>0</v>
      </c>
      <c r="P16" s="35">
        <f>IF(MatrizDeAdyacencia!P16=1,SUMIFS(tblEnlaces[Valor Operativo (peso)],tblEnlaces[Nodo Origen],$C16,tblEnlaces[Nodo Destino],P$3,tblEnlaces[Activo],1),0)</f>
        <v>0</v>
      </c>
      <c r="Q16" s="35">
        <f>IF(MatrizDeAdyacencia!Q16=1,SUMIFS(tblEnlaces[Valor Operativo (peso)],tblEnlaces[Nodo Origen],$C16,tblEnlaces[Nodo Destino],Q$3,tblEnlaces[Activo],1),0)</f>
        <v>0</v>
      </c>
      <c r="R16" s="35">
        <f>IF(MatrizDeAdyacencia!R16=1,SUMIFS(tblEnlaces[Valor Operativo (peso)],tblEnlaces[Nodo Origen],$C16,tblEnlaces[Nodo Destino],R$3,tblEnlaces[Activo],1),0)</f>
        <v>14</v>
      </c>
      <c r="S16" s="35">
        <f>IF(MatrizDeAdyacencia!S16=1,SUMIFS(tblEnlaces[Valor Operativo (peso)],tblEnlaces[Nodo Origen],$C16,tblEnlaces[Nodo Destino],S$3,tblEnlaces[Activo],1),0)</f>
        <v>0</v>
      </c>
      <c r="T16" s="35">
        <f>IF(MatrizDeAdyacencia!T16=1,SUMIFS(tblEnlaces[Valor Operativo (peso)],tblEnlaces[Nodo Origen],$C16,tblEnlaces[Nodo Destino],T$3,tblEnlaces[Activo],1),0)</f>
        <v>0</v>
      </c>
      <c r="U16" s="35">
        <f>IF(MatrizDeAdyacencia!U16=1,SUMIFS(tblEnlaces[Valor Operativo (peso)],tblEnlaces[Nodo Origen],$C16,tblEnlaces[Nodo Destino],U$3,tblEnlaces[Activo],1),0)</f>
        <v>0</v>
      </c>
      <c r="V16" s="36">
        <f>IF(MatrizDeAdyacencia!V16=1,SUMIFS(tblEnlaces[Valor Operativo (peso)],tblEnlaces[Nodo Origen],$C16,tblEnlaces[Nodo Destino],V$3,tblEnlaces[Activo],1),0)</f>
        <v>0</v>
      </c>
      <c r="AF16"/>
      <c r="AG16"/>
      <c r="AH16"/>
      <c r="AI16"/>
      <c r="AJ16"/>
      <c r="AK16"/>
      <c r="AL16"/>
      <c r="AM16"/>
      <c r="AN16"/>
      <c r="AO16"/>
      <c r="AP16"/>
    </row>
    <row r="17" spans="2:42" ht="17.25" customHeight="1" x14ac:dyDescent="0.25">
      <c r="B17" s="14" t="str">
        <f>VLOOKUP(tblMatrizDeAdyacencia[[#This Row],[NodoOrigen \ NodoDestino]],tblNodos[],2,FALSE)</f>
        <v>Redistribuidor secundario 2</v>
      </c>
      <c r="C17" s="5" t="s">
        <v>147</v>
      </c>
      <c r="D17" s="35">
        <f>IF(MatrizDeAdyacencia!D17=1,SUMIFS(tblEnlaces[Valor Operativo (peso)],tblEnlaces[Nodo Origen],$C17,tblEnlaces[Nodo Destino],D$3,tblEnlaces[Activo],1),0)</f>
        <v>0</v>
      </c>
      <c r="E17" s="35">
        <f>IF(MatrizDeAdyacencia!E17=1,SUMIFS(tblEnlaces[Valor Operativo (peso)],tblEnlaces[Nodo Origen],$C17,tblEnlaces[Nodo Destino],E$3,tblEnlaces[Activo],1),0)</f>
        <v>0</v>
      </c>
      <c r="F17" s="35">
        <f>IF(MatrizDeAdyacencia!F17=1,SUMIFS(tblEnlaces[Valor Operativo (peso)],tblEnlaces[Nodo Origen],$C17,tblEnlaces[Nodo Destino],F$3,tblEnlaces[Activo],1),0)</f>
        <v>0</v>
      </c>
      <c r="G17" s="35">
        <f>IF(MatrizDeAdyacencia!G17=1,SUMIFS(tblEnlaces[Valor Operativo (peso)],tblEnlaces[Nodo Origen],$C17,tblEnlaces[Nodo Destino],G$3,tblEnlaces[Activo],1),0)</f>
        <v>0</v>
      </c>
      <c r="H17" s="35">
        <f>IF(MatrizDeAdyacencia!H17=1,SUMIFS(tblEnlaces[Valor Operativo (peso)],tblEnlaces[Nodo Origen],$C17,tblEnlaces[Nodo Destino],H$3,tblEnlaces[Activo],1),0)</f>
        <v>0</v>
      </c>
      <c r="I17" s="35">
        <f>IF(MatrizDeAdyacencia!I17=1,SUMIFS(tblEnlaces[Valor Operativo (peso)],tblEnlaces[Nodo Origen],$C17,tblEnlaces[Nodo Destino],I$3,tblEnlaces[Activo],1),0)</f>
        <v>0</v>
      </c>
      <c r="J17" s="35">
        <f>IF(MatrizDeAdyacencia!J17=1,SUMIFS(tblEnlaces[Valor Operativo (peso)],tblEnlaces[Nodo Origen],$C17,tblEnlaces[Nodo Destino],J$3,tblEnlaces[Activo],1),0)</f>
        <v>0</v>
      </c>
      <c r="K17" s="35">
        <f>IF(MatrizDeAdyacencia!K17=1,SUMIFS(tblEnlaces[Valor Operativo (peso)],tblEnlaces[Nodo Origen],$C17,tblEnlaces[Nodo Destino],K$3,tblEnlaces[Activo],1),0)</f>
        <v>0</v>
      </c>
      <c r="L17" s="35">
        <f>IF(MatrizDeAdyacencia!L17=1,SUMIFS(tblEnlaces[Valor Operativo (peso)],tblEnlaces[Nodo Origen],$C17,tblEnlaces[Nodo Destino],L$3,tblEnlaces[Activo],1),0)</f>
        <v>0</v>
      </c>
      <c r="M17" s="35">
        <f>IF(MatrizDeAdyacencia!M17=1,SUMIFS(tblEnlaces[Valor Operativo (peso)],tblEnlaces[Nodo Origen],$C17,tblEnlaces[Nodo Destino],M$3,tblEnlaces[Activo],1),0)</f>
        <v>0</v>
      </c>
      <c r="N17" s="35">
        <f>IF(MatrizDeAdyacencia!N17=1,SUMIFS(tblEnlaces[Valor Operativo (peso)],tblEnlaces[Nodo Origen],$C17,tblEnlaces[Nodo Destino],N$3,tblEnlaces[Activo],1),0)</f>
        <v>0</v>
      </c>
      <c r="O17" s="35">
        <f>IF(MatrizDeAdyacencia!O17=1,SUMIFS(tblEnlaces[Valor Operativo (peso)],tblEnlaces[Nodo Origen],$C17,tblEnlaces[Nodo Destino],O$3,tblEnlaces[Activo],1),0)</f>
        <v>0</v>
      </c>
      <c r="P17" s="35">
        <f>IF(MatrizDeAdyacencia!P17=1,SUMIFS(tblEnlaces[Valor Operativo (peso)],tblEnlaces[Nodo Origen],$C17,tblEnlaces[Nodo Destino],P$3,tblEnlaces[Activo],1),0)</f>
        <v>0</v>
      </c>
      <c r="Q17" s="35">
        <f>IF(MatrizDeAdyacencia!Q17=1,SUMIFS(tblEnlaces[Valor Operativo (peso)],tblEnlaces[Nodo Origen],$C17,tblEnlaces[Nodo Destino],Q$3,tblEnlaces[Activo],1),0)</f>
        <v>0</v>
      </c>
      <c r="R17" s="35">
        <f>IF(MatrizDeAdyacencia!R17=1,SUMIFS(tblEnlaces[Valor Operativo (peso)],tblEnlaces[Nodo Origen],$C17,tblEnlaces[Nodo Destino],R$3,tblEnlaces[Activo],1),0)</f>
        <v>0</v>
      </c>
      <c r="S17" s="35">
        <f>IF(MatrizDeAdyacencia!S17=1,SUMIFS(tblEnlaces[Valor Operativo (peso)],tblEnlaces[Nodo Origen],$C17,tblEnlaces[Nodo Destino],S$3,tblEnlaces[Activo],1),0)</f>
        <v>13</v>
      </c>
      <c r="T17" s="35">
        <f>IF(MatrizDeAdyacencia!T17=1,SUMIFS(tblEnlaces[Valor Operativo (peso)],tblEnlaces[Nodo Origen],$C17,tblEnlaces[Nodo Destino],T$3,tblEnlaces[Activo],1),0)</f>
        <v>0</v>
      </c>
      <c r="U17" s="35">
        <f>IF(MatrizDeAdyacencia!U17=1,SUMIFS(tblEnlaces[Valor Operativo (peso)],tblEnlaces[Nodo Origen],$C17,tblEnlaces[Nodo Destino],U$3,tblEnlaces[Activo],1),0)</f>
        <v>0</v>
      </c>
      <c r="V17" s="36">
        <f>IF(MatrizDeAdyacencia!V17=1,SUMIFS(tblEnlaces[Valor Operativo (peso)],tblEnlaces[Nodo Origen],$C17,tblEnlaces[Nodo Destino],V$3,tblEnlaces[Activo],1),0)</f>
        <v>0</v>
      </c>
      <c r="AF17"/>
      <c r="AG17"/>
      <c r="AH17"/>
      <c r="AI17"/>
      <c r="AJ17"/>
      <c r="AK17"/>
      <c r="AL17"/>
      <c r="AM17"/>
      <c r="AN17"/>
      <c r="AO17"/>
      <c r="AP17"/>
    </row>
    <row r="18" spans="2:42" ht="17.25" customHeight="1" x14ac:dyDescent="0.25">
      <c r="B18" s="14" t="str">
        <f>VLOOKUP(tblMatrizDeAdyacencia[[#This Row],[NodoOrigen \ NodoDestino]],tblNodos[],2,FALSE)</f>
        <v>Redistribuidor intermedio</v>
      </c>
      <c r="C18" s="5" t="s">
        <v>149</v>
      </c>
      <c r="D18" s="35">
        <f>IF(MatrizDeAdyacencia!D18=1,SUMIFS(tblEnlaces[Valor Operativo (peso)],tblEnlaces[Nodo Origen],$C18,tblEnlaces[Nodo Destino],D$3,tblEnlaces[Activo],1),0)</f>
        <v>0</v>
      </c>
      <c r="E18" s="35">
        <f>IF(MatrizDeAdyacencia!E18=1,SUMIFS(tblEnlaces[Valor Operativo (peso)],tblEnlaces[Nodo Origen],$C18,tblEnlaces[Nodo Destino],E$3,tblEnlaces[Activo],1),0)</f>
        <v>0</v>
      </c>
      <c r="F18" s="35">
        <f>IF(MatrizDeAdyacencia!F18=1,SUMIFS(tblEnlaces[Valor Operativo (peso)],tblEnlaces[Nodo Origen],$C18,tblEnlaces[Nodo Destino],F$3,tblEnlaces[Activo],1),0)</f>
        <v>0</v>
      </c>
      <c r="G18" s="35">
        <f>IF(MatrizDeAdyacencia!G18=1,SUMIFS(tblEnlaces[Valor Operativo (peso)],tblEnlaces[Nodo Origen],$C18,tblEnlaces[Nodo Destino],G$3,tblEnlaces[Activo],1),0)</f>
        <v>0</v>
      </c>
      <c r="H18" s="35">
        <f>IF(MatrizDeAdyacencia!H18=1,SUMIFS(tblEnlaces[Valor Operativo (peso)],tblEnlaces[Nodo Origen],$C18,tblEnlaces[Nodo Destino],H$3,tblEnlaces[Activo],1),0)</f>
        <v>0</v>
      </c>
      <c r="I18" s="35">
        <f>IF(MatrizDeAdyacencia!I18=1,SUMIFS(tblEnlaces[Valor Operativo (peso)],tblEnlaces[Nodo Origen],$C18,tblEnlaces[Nodo Destino],I$3,tblEnlaces[Activo],1),0)</f>
        <v>0</v>
      </c>
      <c r="J18" s="35">
        <f>IF(MatrizDeAdyacencia!J18=1,SUMIFS(tblEnlaces[Valor Operativo (peso)],tblEnlaces[Nodo Origen],$C18,tblEnlaces[Nodo Destino],J$3,tblEnlaces[Activo],1),0)</f>
        <v>0</v>
      </c>
      <c r="K18" s="35">
        <f>IF(MatrizDeAdyacencia!K18=1,SUMIFS(tblEnlaces[Valor Operativo (peso)],tblEnlaces[Nodo Origen],$C18,tblEnlaces[Nodo Destino],K$3,tblEnlaces[Activo],1),0)</f>
        <v>0</v>
      </c>
      <c r="L18" s="35">
        <f>IF(MatrizDeAdyacencia!L18=1,SUMIFS(tblEnlaces[Valor Operativo (peso)],tblEnlaces[Nodo Origen],$C18,tblEnlaces[Nodo Destino],L$3,tblEnlaces[Activo],1),0)</f>
        <v>0</v>
      </c>
      <c r="M18" s="35">
        <f>IF(MatrizDeAdyacencia!M18=1,SUMIFS(tblEnlaces[Valor Operativo (peso)],tblEnlaces[Nodo Origen],$C18,tblEnlaces[Nodo Destino],M$3,tblEnlaces[Activo],1),0)</f>
        <v>0</v>
      </c>
      <c r="N18" s="35">
        <f>IF(MatrizDeAdyacencia!N18=1,SUMIFS(tblEnlaces[Valor Operativo (peso)],tblEnlaces[Nodo Origen],$C18,tblEnlaces[Nodo Destino],N$3,tblEnlaces[Activo],1),0)</f>
        <v>0</v>
      </c>
      <c r="O18" s="35">
        <f>IF(MatrizDeAdyacencia!O18=1,SUMIFS(tblEnlaces[Valor Operativo (peso)],tblEnlaces[Nodo Origen],$C18,tblEnlaces[Nodo Destino],O$3,tblEnlaces[Activo],1),0)</f>
        <v>0</v>
      </c>
      <c r="P18" s="35">
        <f>IF(MatrizDeAdyacencia!P18=1,SUMIFS(tblEnlaces[Valor Operativo (peso)],tblEnlaces[Nodo Origen],$C18,tblEnlaces[Nodo Destino],P$3,tblEnlaces[Activo],1),0)</f>
        <v>0</v>
      </c>
      <c r="Q18" s="35">
        <f>IF(MatrizDeAdyacencia!Q18=1,SUMIFS(tblEnlaces[Valor Operativo (peso)],tblEnlaces[Nodo Origen],$C18,tblEnlaces[Nodo Destino],Q$3,tblEnlaces[Activo],1),0)</f>
        <v>0</v>
      </c>
      <c r="R18" s="35">
        <f>IF(MatrizDeAdyacencia!R18=1,SUMIFS(tblEnlaces[Valor Operativo (peso)],tblEnlaces[Nodo Origen],$C18,tblEnlaces[Nodo Destino],R$3,tblEnlaces[Activo],1),0)</f>
        <v>0</v>
      </c>
      <c r="S18" s="35">
        <f>IF(MatrizDeAdyacencia!S18=1,SUMIFS(tblEnlaces[Valor Operativo (peso)],tblEnlaces[Nodo Origen],$C18,tblEnlaces[Nodo Destino],S$3,tblEnlaces[Activo],1),0)</f>
        <v>0</v>
      </c>
      <c r="T18" s="35">
        <f>IF(MatrizDeAdyacencia!T18=1,SUMIFS(tblEnlaces[Valor Operativo (peso)],tblEnlaces[Nodo Origen],$C18,tblEnlaces[Nodo Destino],T$3,tblEnlaces[Activo],1),0)</f>
        <v>17</v>
      </c>
      <c r="U18" s="35">
        <f>IF(MatrizDeAdyacencia!U18=1,SUMIFS(tblEnlaces[Valor Operativo (peso)],tblEnlaces[Nodo Origen],$C18,tblEnlaces[Nodo Destino],U$3,tblEnlaces[Activo],1),0)</f>
        <v>0</v>
      </c>
      <c r="V18" s="36">
        <f>IF(MatrizDeAdyacencia!V18=1,SUMIFS(tblEnlaces[Valor Operativo (peso)],tblEnlaces[Nodo Origen],$C18,tblEnlaces[Nodo Destino],V$3,tblEnlaces[Activo],1),0)</f>
        <v>18</v>
      </c>
      <c r="AF18"/>
      <c r="AG18"/>
      <c r="AH18"/>
      <c r="AI18"/>
      <c r="AJ18"/>
      <c r="AK18"/>
      <c r="AL18"/>
      <c r="AM18"/>
      <c r="AN18"/>
      <c r="AO18"/>
      <c r="AP18"/>
    </row>
    <row r="19" spans="2:42" ht="17.25" customHeight="1" x14ac:dyDescent="0.25">
      <c r="B19" s="14" t="str">
        <f>VLOOKUP(tblMatrizDeAdyacencia[[#This Row],[NodoOrigen \ NodoDestino]],tblNodos[],2,FALSE)</f>
        <v>Redistribuidor logístico</v>
      </c>
      <c r="C19" s="5" t="s">
        <v>150</v>
      </c>
      <c r="D19" s="35">
        <f>IF(MatrizDeAdyacencia!D19=1,SUMIFS(tblEnlaces[Valor Operativo (peso)],tblEnlaces[Nodo Origen],$C19,tblEnlaces[Nodo Destino],D$3,tblEnlaces[Activo],1),0)</f>
        <v>0</v>
      </c>
      <c r="E19" s="35">
        <f>IF(MatrizDeAdyacencia!E19=1,SUMIFS(tblEnlaces[Valor Operativo (peso)],tblEnlaces[Nodo Origen],$C19,tblEnlaces[Nodo Destino],E$3,tblEnlaces[Activo],1),0)</f>
        <v>0</v>
      </c>
      <c r="F19" s="35">
        <f>IF(MatrizDeAdyacencia!F19=1,SUMIFS(tblEnlaces[Valor Operativo (peso)],tblEnlaces[Nodo Origen],$C19,tblEnlaces[Nodo Destino],F$3,tblEnlaces[Activo],1),0)</f>
        <v>0</v>
      </c>
      <c r="G19" s="35">
        <f>IF(MatrizDeAdyacencia!G19=1,SUMIFS(tblEnlaces[Valor Operativo (peso)],tblEnlaces[Nodo Origen],$C19,tblEnlaces[Nodo Destino],G$3,tblEnlaces[Activo],1),0)</f>
        <v>0</v>
      </c>
      <c r="H19" s="35">
        <f>IF(MatrizDeAdyacencia!H19=1,SUMIFS(tblEnlaces[Valor Operativo (peso)],tblEnlaces[Nodo Origen],$C19,tblEnlaces[Nodo Destino],H$3,tblEnlaces[Activo],1),0)</f>
        <v>0</v>
      </c>
      <c r="I19" s="35">
        <f>IF(MatrizDeAdyacencia!I19=1,SUMIFS(tblEnlaces[Valor Operativo (peso)],tblEnlaces[Nodo Origen],$C19,tblEnlaces[Nodo Destino],I$3,tblEnlaces[Activo],1),0)</f>
        <v>0</v>
      </c>
      <c r="J19" s="35">
        <f>IF(MatrizDeAdyacencia!J19=1,SUMIFS(tblEnlaces[Valor Operativo (peso)],tblEnlaces[Nodo Origen],$C19,tblEnlaces[Nodo Destino],J$3,tblEnlaces[Activo],1),0)</f>
        <v>0</v>
      </c>
      <c r="K19" s="35">
        <f>IF(MatrizDeAdyacencia!K19=1,SUMIFS(tblEnlaces[Valor Operativo (peso)],tblEnlaces[Nodo Origen],$C19,tblEnlaces[Nodo Destino],K$3,tblEnlaces[Activo],1),0)</f>
        <v>0</v>
      </c>
      <c r="L19" s="35">
        <f>IF(MatrizDeAdyacencia!L19=1,SUMIFS(tblEnlaces[Valor Operativo (peso)],tblEnlaces[Nodo Origen],$C19,tblEnlaces[Nodo Destino],L$3,tblEnlaces[Activo],1),0)</f>
        <v>0</v>
      </c>
      <c r="M19" s="35">
        <f>IF(MatrizDeAdyacencia!M19=1,SUMIFS(tblEnlaces[Valor Operativo (peso)],tblEnlaces[Nodo Origen],$C19,tblEnlaces[Nodo Destino],M$3,tblEnlaces[Activo],1),0)</f>
        <v>0</v>
      </c>
      <c r="N19" s="35">
        <f>IF(MatrizDeAdyacencia!N19=1,SUMIFS(tblEnlaces[Valor Operativo (peso)],tblEnlaces[Nodo Origen],$C19,tblEnlaces[Nodo Destino],N$3,tblEnlaces[Activo],1),0)</f>
        <v>0</v>
      </c>
      <c r="O19" s="35">
        <f>IF(MatrizDeAdyacencia!O19=1,SUMIFS(tblEnlaces[Valor Operativo (peso)],tblEnlaces[Nodo Origen],$C19,tblEnlaces[Nodo Destino],O$3,tblEnlaces[Activo],1),0)</f>
        <v>0</v>
      </c>
      <c r="P19" s="35">
        <f>IF(MatrizDeAdyacencia!P19=1,SUMIFS(tblEnlaces[Valor Operativo (peso)],tblEnlaces[Nodo Origen],$C19,tblEnlaces[Nodo Destino],P$3,tblEnlaces[Activo],1),0)</f>
        <v>0</v>
      </c>
      <c r="Q19" s="35">
        <f>IF(MatrizDeAdyacencia!Q19=1,SUMIFS(tblEnlaces[Valor Operativo (peso)],tblEnlaces[Nodo Origen],$C19,tblEnlaces[Nodo Destino],Q$3,tblEnlaces[Activo],1),0)</f>
        <v>0</v>
      </c>
      <c r="R19" s="35">
        <f>IF(MatrizDeAdyacencia!R19=1,SUMIFS(tblEnlaces[Valor Operativo (peso)],tblEnlaces[Nodo Origen],$C19,tblEnlaces[Nodo Destino],R$3,tblEnlaces[Activo],1),0)</f>
        <v>0</v>
      </c>
      <c r="S19" s="35">
        <f>IF(MatrizDeAdyacencia!S19=1,SUMIFS(tblEnlaces[Valor Operativo (peso)],tblEnlaces[Nodo Origen],$C19,tblEnlaces[Nodo Destino],S$3,tblEnlaces[Activo],1),0)</f>
        <v>0</v>
      </c>
      <c r="T19" s="35">
        <f>IF(MatrizDeAdyacencia!T19=1,SUMIFS(tblEnlaces[Valor Operativo (peso)],tblEnlaces[Nodo Origen],$C19,tblEnlaces[Nodo Destino],T$3,tblEnlaces[Activo],1),0)</f>
        <v>14</v>
      </c>
      <c r="U19" s="35">
        <f>IF(MatrizDeAdyacencia!U19=1,SUMIFS(tblEnlaces[Valor Operativo (peso)],tblEnlaces[Nodo Origen],$C19,tblEnlaces[Nodo Destino],U$3,tblEnlaces[Activo],1),0)</f>
        <v>0</v>
      </c>
      <c r="V19" s="36">
        <f>IF(MatrizDeAdyacencia!V19=1,SUMIFS(tblEnlaces[Valor Operativo (peso)],tblEnlaces[Nodo Origen],$C19,tblEnlaces[Nodo Destino],V$3,tblEnlaces[Activo],1),0)</f>
        <v>14</v>
      </c>
      <c r="AF19"/>
      <c r="AG19"/>
      <c r="AH19"/>
      <c r="AI19"/>
      <c r="AJ19"/>
      <c r="AK19"/>
      <c r="AL19"/>
      <c r="AM19"/>
      <c r="AN19"/>
      <c r="AO19"/>
      <c r="AP19"/>
    </row>
    <row r="20" spans="2:42" ht="17.25" customHeight="1" x14ac:dyDescent="0.25">
      <c r="B20" s="14" t="str">
        <f>VLOOKUP(tblMatrizDeAdyacencia[[#This Row],[NodoOrigen \ NodoDestino]],tblNodos[],2,FALSE)</f>
        <v>Redistribuidor financiero</v>
      </c>
      <c r="C20" s="5" t="s">
        <v>151</v>
      </c>
      <c r="D20" s="35">
        <f>IF(MatrizDeAdyacencia!D20=1,SUMIFS(tblEnlaces[Valor Operativo (peso)],tblEnlaces[Nodo Origen],$C20,tblEnlaces[Nodo Destino],D$3,tblEnlaces[Activo],1),0)</f>
        <v>0</v>
      </c>
      <c r="E20" s="35">
        <f>IF(MatrizDeAdyacencia!E20=1,SUMIFS(tblEnlaces[Valor Operativo (peso)],tblEnlaces[Nodo Origen],$C20,tblEnlaces[Nodo Destino],E$3,tblEnlaces[Activo],1),0)</f>
        <v>0</v>
      </c>
      <c r="F20" s="35">
        <f>IF(MatrizDeAdyacencia!F20=1,SUMIFS(tblEnlaces[Valor Operativo (peso)],tblEnlaces[Nodo Origen],$C20,tblEnlaces[Nodo Destino],F$3,tblEnlaces[Activo],1),0)</f>
        <v>0</v>
      </c>
      <c r="G20" s="35">
        <f>IF(MatrizDeAdyacencia!G20=1,SUMIFS(tblEnlaces[Valor Operativo (peso)],tblEnlaces[Nodo Origen],$C20,tblEnlaces[Nodo Destino],G$3,tblEnlaces[Activo],1),0)</f>
        <v>0</v>
      </c>
      <c r="H20" s="35">
        <f>IF(MatrizDeAdyacencia!H20=1,SUMIFS(tblEnlaces[Valor Operativo (peso)],tblEnlaces[Nodo Origen],$C20,tblEnlaces[Nodo Destino],H$3,tblEnlaces[Activo],1),0)</f>
        <v>0</v>
      </c>
      <c r="I20" s="35">
        <f>IF(MatrizDeAdyacencia!I20=1,SUMIFS(tblEnlaces[Valor Operativo (peso)],tblEnlaces[Nodo Origen],$C20,tblEnlaces[Nodo Destino],I$3,tblEnlaces[Activo],1),0)</f>
        <v>0</v>
      </c>
      <c r="J20" s="35">
        <f>IF(MatrizDeAdyacencia!J20=1,SUMIFS(tblEnlaces[Valor Operativo (peso)],tblEnlaces[Nodo Origen],$C20,tblEnlaces[Nodo Destino],J$3,tblEnlaces[Activo],1),0)</f>
        <v>0</v>
      </c>
      <c r="K20" s="35">
        <f>IF(MatrizDeAdyacencia!K20=1,SUMIFS(tblEnlaces[Valor Operativo (peso)],tblEnlaces[Nodo Origen],$C20,tblEnlaces[Nodo Destino],K$3,tblEnlaces[Activo],1),0)</f>
        <v>0</v>
      </c>
      <c r="L20" s="35">
        <f>IF(MatrizDeAdyacencia!L20=1,SUMIFS(tblEnlaces[Valor Operativo (peso)],tblEnlaces[Nodo Origen],$C20,tblEnlaces[Nodo Destino],L$3,tblEnlaces[Activo],1),0)</f>
        <v>0</v>
      </c>
      <c r="M20" s="35">
        <f>IF(MatrizDeAdyacencia!M20=1,SUMIFS(tblEnlaces[Valor Operativo (peso)],tblEnlaces[Nodo Origen],$C20,tblEnlaces[Nodo Destino],M$3,tblEnlaces[Activo],1),0)</f>
        <v>0</v>
      </c>
      <c r="N20" s="35">
        <f>IF(MatrizDeAdyacencia!N20=1,SUMIFS(tblEnlaces[Valor Operativo (peso)],tblEnlaces[Nodo Origen],$C20,tblEnlaces[Nodo Destino],N$3,tblEnlaces[Activo],1),0)</f>
        <v>0</v>
      </c>
      <c r="O20" s="35">
        <f>IF(MatrizDeAdyacencia!O20=1,SUMIFS(tblEnlaces[Valor Operativo (peso)],tblEnlaces[Nodo Origen],$C20,tblEnlaces[Nodo Destino],O$3,tblEnlaces[Activo],1),0)</f>
        <v>0</v>
      </c>
      <c r="P20" s="35">
        <f>IF(MatrizDeAdyacencia!P20=1,SUMIFS(tblEnlaces[Valor Operativo (peso)],tblEnlaces[Nodo Origen],$C20,tblEnlaces[Nodo Destino],P$3,tblEnlaces[Activo],1),0)</f>
        <v>0</v>
      </c>
      <c r="Q20" s="35">
        <f>IF(MatrizDeAdyacencia!Q20=1,SUMIFS(tblEnlaces[Valor Operativo (peso)],tblEnlaces[Nodo Origen],$C20,tblEnlaces[Nodo Destino],Q$3,tblEnlaces[Activo],1),0)</f>
        <v>0</v>
      </c>
      <c r="R20" s="35">
        <f>IF(MatrizDeAdyacencia!R20=1,SUMIFS(tblEnlaces[Valor Operativo (peso)],tblEnlaces[Nodo Origen],$C20,tblEnlaces[Nodo Destino],R$3,tblEnlaces[Activo],1),0)</f>
        <v>0</v>
      </c>
      <c r="S20" s="35">
        <f>IF(MatrizDeAdyacencia!S20=1,SUMIFS(tblEnlaces[Valor Operativo (peso)],tblEnlaces[Nodo Origen],$C20,tblEnlaces[Nodo Destino],S$3,tblEnlaces[Activo],1),0)</f>
        <v>0</v>
      </c>
      <c r="T20" s="35">
        <f>IF(MatrizDeAdyacencia!T20=1,SUMIFS(tblEnlaces[Valor Operativo (peso)],tblEnlaces[Nodo Origen],$C20,tblEnlaces[Nodo Destino],T$3,tblEnlaces[Activo],1),0)</f>
        <v>0</v>
      </c>
      <c r="U20" s="35">
        <f>IF(MatrizDeAdyacencia!U20=1,SUMIFS(tblEnlaces[Valor Operativo (peso)],tblEnlaces[Nodo Origen],$C20,tblEnlaces[Nodo Destino],U$3,tblEnlaces[Activo],1),0)</f>
        <v>18</v>
      </c>
      <c r="V20" s="36">
        <f>IF(MatrizDeAdyacencia!V20=1,SUMIFS(tblEnlaces[Valor Operativo (peso)],tblEnlaces[Nodo Origen],$C20,tblEnlaces[Nodo Destino],V$3,tblEnlaces[Activo],1),0)</f>
        <v>17</v>
      </c>
      <c r="AF20"/>
      <c r="AG20"/>
      <c r="AH20"/>
      <c r="AI20"/>
      <c r="AJ20"/>
      <c r="AK20"/>
      <c r="AL20"/>
      <c r="AM20"/>
      <c r="AN20"/>
      <c r="AO20"/>
      <c r="AP20"/>
    </row>
    <row r="21" spans="2:42" ht="17.25" customHeight="1" x14ac:dyDescent="0.25">
      <c r="B21" s="14" t="str">
        <f>VLOOKUP(tblMatrizDeAdyacencia[[#This Row],[NodoOrigen \ NodoDestino]],tblNodos[],2,FALSE)</f>
        <v>Redistribuidor final</v>
      </c>
      <c r="C21" s="5" t="s">
        <v>153</v>
      </c>
      <c r="D21" s="35">
        <f>IF(MatrizDeAdyacencia!D21=1,SUMIFS(tblEnlaces[Valor Operativo (peso)],tblEnlaces[Nodo Origen],$C21,tblEnlaces[Nodo Destino],D$3,tblEnlaces[Activo],1),0)</f>
        <v>0</v>
      </c>
      <c r="E21" s="35">
        <f>IF(MatrizDeAdyacencia!E21=1,SUMIFS(tblEnlaces[Valor Operativo (peso)],tblEnlaces[Nodo Origen],$C21,tblEnlaces[Nodo Destino],E$3,tblEnlaces[Activo],1),0)</f>
        <v>0</v>
      </c>
      <c r="F21" s="35">
        <f>IF(MatrizDeAdyacencia!F21=1,SUMIFS(tblEnlaces[Valor Operativo (peso)],tblEnlaces[Nodo Origen],$C21,tblEnlaces[Nodo Destino],F$3,tblEnlaces[Activo],1),0)</f>
        <v>0</v>
      </c>
      <c r="G21" s="35">
        <f>IF(MatrizDeAdyacencia!G21=1,SUMIFS(tblEnlaces[Valor Operativo (peso)],tblEnlaces[Nodo Origen],$C21,tblEnlaces[Nodo Destino],G$3,tblEnlaces[Activo],1),0)</f>
        <v>0</v>
      </c>
      <c r="H21" s="35">
        <f>IF(MatrizDeAdyacencia!H21=1,SUMIFS(tblEnlaces[Valor Operativo (peso)],tblEnlaces[Nodo Origen],$C21,tblEnlaces[Nodo Destino],H$3,tblEnlaces[Activo],1),0)</f>
        <v>0</v>
      </c>
      <c r="I21" s="35">
        <f>IF(MatrizDeAdyacencia!I21=1,SUMIFS(tblEnlaces[Valor Operativo (peso)],tblEnlaces[Nodo Origen],$C21,tblEnlaces[Nodo Destino],I$3,tblEnlaces[Activo],1),0)</f>
        <v>0</v>
      </c>
      <c r="J21" s="35">
        <f>IF(MatrizDeAdyacencia!J21=1,SUMIFS(tblEnlaces[Valor Operativo (peso)],tblEnlaces[Nodo Origen],$C21,tblEnlaces[Nodo Destino],J$3,tblEnlaces[Activo],1),0)</f>
        <v>0</v>
      </c>
      <c r="K21" s="35">
        <f>IF(MatrizDeAdyacencia!K21=1,SUMIFS(tblEnlaces[Valor Operativo (peso)],tblEnlaces[Nodo Origen],$C21,tblEnlaces[Nodo Destino],K$3,tblEnlaces[Activo],1),0)</f>
        <v>0</v>
      </c>
      <c r="L21" s="35">
        <f>IF(MatrizDeAdyacencia!L21=1,SUMIFS(tblEnlaces[Valor Operativo (peso)],tblEnlaces[Nodo Origen],$C21,tblEnlaces[Nodo Destino],L$3,tblEnlaces[Activo],1),0)</f>
        <v>0</v>
      </c>
      <c r="M21" s="35">
        <f>IF(MatrizDeAdyacencia!M21=1,SUMIFS(tblEnlaces[Valor Operativo (peso)],tblEnlaces[Nodo Origen],$C21,tblEnlaces[Nodo Destino],M$3,tblEnlaces[Activo],1),0)</f>
        <v>0</v>
      </c>
      <c r="N21" s="35">
        <f>IF(MatrizDeAdyacencia!N21=1,SUMIFS(tblEnlaces[Valor Operativo (peso)],tblEnlaces[Nodo Origen],$C21,tblEnlaces[Nodo Destino],N$3,tblEnlaces[Activo],1),0)</f>
        <v>0</v>
      </c>
      <c r="O21" s="35">
        <f>IF(MatrizDeAdyacencia!O21=1,SUMIFS(tblEnlaces[Valor Operativo (peso)],tblEnlaces[Nodo Origen],$C21,tblEnlaces[Nodo Destino],O$3,tblEnlaces[Activo],1),0)</f>
        <v>0</v>
      </c>
      <c r="P21" s="35">
        <f>IF(MatrizDeAdyacencia!P21=1,SUMIFS(tblEnlaces[Valor Operativo (peso)],tblEnlaces[Nodo Origen],$C21,tblEnlaces[Nodo Destino],P$3,tblEnlaces[Activo],1),0)</f>
        <v>0</v>
      </c>
      <c r="Q21" s="35">
        <f>IF(MatrizDeAdyacencia!Q21=1,SUMIFS(tblEnlaces[Valor Operativo (peso)],tblEnlaces[Nodo Origen],$C21,tblEnlaces[Nodo Destino],Q$3,tblEnlaces[Activo],1),0)</f>
        <v>0</v>
      </c>
      <c r="R21" s="35">
        <f>IF(MatrizDeAdyacencia!R21=1,SUMIFS(tblEnlaces[Valor Operativo (peso)],tblEnlaces[Nodo Origen],$C21,tblEnlaces[Nodo Destino],R$3,tblEnlaces[Activo],1),0)</f>
        <v>0</v>
      </c>
      <c r="S21" s="35">
        <f>IF(MatrizDeAdyacencia!S21=1,SUMIFS(tblEnlaces[Valor Operativo (peso)],tblEnlaces[Nodo Origen],$C21,tblEnlaces[Nodo Destino],S$3,tblEnlaces[Activo],1),0)</f>
        <v>0</v>
      </c>
      <c r="T21" s="35">
        <f>IF(MatrizDeAdyacencia!T21=1,SUMIFS(tblEnlaces[Valor Operativo (peso)],tblEnlaces[Nodo Origen],$C21,tblEnlaces[Nodo Destino],T$3,tblEnlaces[Activo],1),0)</f>
        <v>0</v>
      </c>
      <c r="U21" s="35">
        <f>IF(MatrizDeAdyacencia!U21=1,SUMIFS(tblEnlaces[Valor Operativo (peso)],tblEnlaces[Nodo Origen],$C21,tblEnlaces[Nodo Destino],U$3,tblEnlaces[Activo],1),0)</f>
        <v>0</v>
      </c>
      <c r="V21" s="36">
        <f>IF(MatrizDeAdyacencia!V21=1,SUMIFS(tblEnlaces[Valor Operativo (peso)],tblEnlaces[Nodo Origen],$C21,tblEnlaces[Nodo Destino],V$3,tblEnlaces[Activo],1),0)</f>
        <v>16</v>
      </c>
      <c r="AF21"/>
      <c r="AG21"/>
      <c r="AH21"/>
      <c r="AI21"/>
      <c r="AJ21"/>
      <c r="AK21"/>
      <c r="AL21"/>
      <c r="AM21"/>
      <c r="AN21"/>
      <c r="AO21"/>
      <c r="AP21"/>
    </row>
    <row r="22" spans="2:42" ht="17.25" customHeight="1" x14ac:dyDescent="0.25">
      <c r="B22" s="15" t="str">
        <f>VLOOKUP(tblMatrizDeAdyacencia[[#This Row],[NodoOrigen \ NodoDestino]],tblNodos[],2,FALSE)</f>
        <v>Destino operativo final</v>
      </c>
      <c r="C22" s="10" t="s">
        <v>133</v>
      </c>
      <c r="D22" s="37">
        <f>IF(MatrizDeAdyacencia!D22=1,SUMIFS(tblEnlaces[Valor Operativo (peso)],tblEnlaces[Nodo Origen],$C22,tblEnlaces[Nodo Destino],D$3,tblEnlaces[Activo],1),0)</f>
        <v>0</v>
      </c>
      <c r="E22" s="37">
        <f>IF(MatrizDeAdyacencia!E22=1,SUMIFS(tblEnlaces[Valor Operativo (peso)],tblEnlaces[Nodo Origen],$C22,tblEnlaces[Nodo Destino],E$3,tblEnlaces[Activo],1),0)</f>
        <v>0</v>
      </c>
      <c r="F22" s="37">
        <f>IF(MatrizDeAdyacencia!F22=1,SUMIFS(tblEnlaces[Valor Operativo (peso)],tblEnlaces[Nodo Origen],$C22,tblEnlaces[Nodo Destino],F$3,tblEnlaces[Activo],1),0)</f>
        <v>0</v>
      </c>
      <c r="G22" s="37">
        <f>IF(MatrizDeAdyacencia!G22=1,SUMIFS(tblEnlaces[Valor Operativo (peso)],tblEnlaces[Nodo Origen],$C22,tblEnlaces[Nodo Destino],G$3,tblEnlaces[Activo],1),0)</f>
        <v>0</v>
      </c>
      <c r="H22" s="37">
        <f>IF(MatrizDeAdyacencia!H22=1,SUMIFS(tblEnlaces[Valor Operativo (peso)],tblEnlaces[Nodo Origen],$C22,tblEnlaces[Nodo Destino],H$3,tblEnlaces[Activo],1),0)</f>
        <v>0</v>
      </c>
      <c r="I22" s="37">
        <f>IF(MatrizDeAdyacencia!I22=1,SUMIFS(tblEnlaces[Valor Operativo (peso)],tblEnlaces[Nodo Origen],$C22,tblEnlaces[Nodo Destino],I$3,tblEnlaces[Activo],1),0)</f>
        <v>0</v>
      </c>
      <c r="J22" s="37">
        <f>IF(MatrizDeAdyacencia!J22=1,SUMIFS(tblEnlaces[Valor Operativo (peso)],tblEnlaces[Nodo Origen],$C22,tblEnlaces[Nodo Destino],J$3,tblEnlaces[Activo],1),0)</f>
        <v>0</v>
      </c>
      <c r="K22" s="37">
        <f>IF(MatrizDeAdyacencia!K22=1,SUMIFS(tblEnlaces[Valor Operativo (peso)],tblEnlaces[Nodo Origen],$C22,tblEnlaces[Nodo Destino],K$3,tblEnlaces[Activo],1),0)</f>
        <v>0</v>
      </c>
      <c r="L22" s="37">
        <f>IF(MatrizDeAdyacencia!L22=1,SUMIFS(tblEnlaces[Valor Operativo (peso)],tblEnlaces[Nodo Origen],$C22,tblEnlaces[Nodo Destino],L$3,tblEnlaces[Activo],1),0)</f>
        <v>0</v>
      </c>
      <c r="M22" s="37">
        <f>IF(MatrizDeAdyacencia!M22=1,SUMIFS(tblEnlaces[Valor Operativo (peso)],tblEnlaces[Nodo Origen],$C22,tblEnlaces[Nodo Destino],M$3,tblEnlaces[Activo],1),0)</f>
        <v>0</v>
      </c>
      <c r="N22" s="37">
        <f>IF(MatrizDeAdyacencia!N22=1,SUMIFS(tblEnlaces[Valor Operativo (peso)],tblEnlaces[Nodo Origen],$C22,tblEnlaces[Nodo Destino],N$3,tblEnlaces[Activo],1),0)</f>
        <v>0</v>
      </c>
      <c r="O22" s="37">
        <f>IF(MatrizDeAdyacencia!O22=1,SUMIFS(tblEnlaces[Valor Operativo (peso)],tblEnlaces[Nodo Origen],$C22,tblEnlaces[Nodo Destino],O$3,tblEnlaces[Activo],1),0)</f>
        <v>0</v>
      </c>
      <c r="P22" s="37">
        <f>IF(MatrizDeAdyacencia!P22=1,SUMIFS(tblEnlaces[Valor Operativo (peso)],tblEnlaces[Nodo Origen],$C22,tblEnlaces[Nodo Destino],P$3,tblEnlaces[Activo],1),0)</f>
        <v>0</v>
      </c>
      <c r="Q22" s="37">
        <f>IF(MatrizDeAdyacencia!Q22=1,SUMIFS(tblEnlaces[Valor Operativo (peso)],tblEnlaces[Nodo Origen],$C22,tblEnlaces[Nodo Destino],Q$3,tblEnlaces[Activo],1),0)</f>
        <v>0</v>
      </c>
      <c r="R22" s="37">
        <f>IF(MatrizDeAdyacencia!R22=1,SUMIFS(tblEnlaces[Valor Operativo (peso)],tblEnlaces[Nodo Origen],$C22,tblEnlaces[Nodo Destino],R$3,tblEnlaces[Activo],1),0)</f>
        <v>0</v>
      </c>
      <c r="S22" s="37">
        <f>IF(MatrizDeAdyacencia!S22=1,SUMIFS(tblEnlaces[Valor Operativo (peso)],tblEnlaces[Nodo Origen],$C22,tblEnlaces[Nodo Destino],S$3,tblEnlaces[Activo],1),0)</f>
        <v>0</v>
      </c>
      <c r="T22" s="37">
        <f>IF(MatrizDeAdyacencia!T22=1,SUMIFS(tblEnlaces[Valor Operativo (peso)],tblEnlaces[Nodo Origen],$C22,tblEnlaces[Nodo Destino],T$3,tblEnlaces[Activo],1),0)</f>
        <v>0</v>
      </c>
      <c r="U22" s="37">
        <f>IF(MatrizDeAdyacencia!U22=1,SUMIFS(tblEnlaces[Valor Operativo (peso)],tblEnlaces[Nodo Origen],$C22,tblEnlaces[Nodo Destino],U$3,tblEnlaces[Activo],1),0)</f>
        <v>0</v>
      </c>
      <c r="V22" s="38">
        <f>IF(MatrizDeAdyacencia!V22=1,SUMIFS(tblEnlaces[Valor Operativo (peso)],tblEnlaces[Nodo Origen],$C22,tblEnlaces[Nodo Destino],V$3,tblEnlaces[Activo],1),0)</f>
        <v>0</v>
      </c>
      <c r="AF22"/>
      <c r="AG22"/>
      <c r="AH22"/>
      <c r="AI22"/>
      <c r="AJ22"/>
      <c r="AK22"/>
      <c r="AL22"/>
      <c r="AM22"/>
      <c r="AN22"/>
      <c r="AO22"/>
      <c r="AP22"/>
    </row>
  </sheetData>
  <mergeCells count="2">
    <mergeCell ref="Y3:AC3"/>
    <mergeCell ref="B2:C2"/>
  </mergeCells>
  <conditionalFormatting sqref="D4:I4 L4:V4 D5:V22">
    <cfRule type="cellIs" dxfId="6" priority="6" operator="equal">
      <formula>0</formula>
    </cfRule>
  </conditionalFormatting>
  <conditionalFormatting sqref="D5:V22 D4:I4 L4:V4">
    <cfRule type="colorScale" priority="5">
      <colorScale>
        <cfvo type="num" val="0"/>
        <cfvo type="formula" val="$AD$13"/>
        <cfvo type="max"/>
        <color rgb="FFFCFCFF"/>
        <color rgb="FFFFEB84"/>
        <color rgb="FFF8696B"/>
      </colorScale>
    </cfRule>
  </conditionalFormatting>
  <conditionalFormatting sqref="J4:K4">
    <cfRule type="colorScale" priority="1">
      <colorScale>
        <cfvo type="num" val="0"/>
        <cfvo type="formula" val="($Z$13+$Z$14)/2"/>
        <cfvo type="formula" val="$Z$14"/>
        <color theme="0"/>
        <color rgb="FFFFEB84"/>
        <color rgb="FFF8696B"/>
      </colorScale>
    </cfRule>
    <cfRule type="cellIs" dxfId="5" priority="2" operator="equal">
      <formula>0</formula>
    </cfRule>
  </conditionalFormatting>
  <pageMargins left="0.75" right="0.75" top="1" bottom="1" header="0.5" footer="0.5"/>
  <pageSetup paperSize="9" orientation="portrait" r:id="rId1"/>
  <tableParts count="3">
    <tablePart r:id="rId2"/>
    <tablePart r:id="rId3"/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4CAE7-662B-4835-878B-8565ACFD423F}">
  <dimension ref="B2:AR200"/>
  <sheetViews>
    <sheetView showGridLines="0" topLeftCell="A2" zoomScaleNormal="100" workbookViewId="0">
      <selection activeCell="B4" sqref="B4"/>
    </sheetView>
  </sheetViews>
  <sheetFormatPr baseColWidth="10" defaultColWidth="9.140625" defaultRowHeight="17.25" customHeight="1" x14ac:dyDescent="0.25"/>
  <cols>
    <col min="1" max="1" width="4.140625" style="3" customWidth="1"/>
    <col min="2" max="2" width="32.140625" style="3" customWidth="1"/>
    <col min="3" max="3" width="13.7109375" style="3" customWidth="1"/>
    <col min="4" max="4" width="6.7109375" style="3" customWidth="1"/>
    <col min="5" max="22" width="5.140625" style="3" customWidth="1"/>
    <col min="23" max="23" width="9.140625" style="3" customWidth="1"/>
    <col min="24" max="24" width="34.42578125" style="3" customWidth="1"/>
    <col min="25" max="25" width="11.85546875" style="3" customWidth="1"/>
    <col min="26" max="26" width="6.85546875" style="3" customWidth="1"/>
    <col min="27" max="44" width="5.42578125" style="3" customWidth="1"/>
    <col min="45" max="16384" width="9.140625" style="3"/>
  </cols>
  <sheetData>
    <row r="2" spans="2:44" s="14" customFormat="1" ht="121.5" customHeight="1" x14ac:dyDescent="0.25">
      <c r="B2" s="75" t="s">
        <v>101</v>
      </c>
      <c r="C2" s="76"/>
      <c r="D2" s="24" t="str">
        <f>VLOOKUP(tblMatrizDeAdyacencia[[#Headers],[O1]],tblNodos[],2,FALSE)</f>
        <v>Extorsión local</v>
      </c>
      <c r="E2" s="24" t="str">
        <f>VLOOKUP(tblMatrizDeAdyacencia[[#Headers],[O2]],tblNodos[],2,FALSE)</f>
        <v>Tráfico ilícito</v>
      </c>
      <c r="F2" s="24" t="str">
        <f>VLOOKUP(tblMatrizDeAdyacencia[[#Headers],[O3]],tblNodos[],2,FALSE)</f>
        <v>Donaciones externas</v>
      </c>
      <c r="G2" s="24" t="str">
        <f>VLOOKUP(tblMatrizDeAdyacencia[[#Headers],[O4]],tblNodos[],2,FALSE)</f>
        <v>Actividad comercial</v>
      </c>
      <c r="H2" s="24" t="str">
        <f>VLOOKUP(tblMatrizDeAdyacencia[[#Headers],[O5]],tblNodos[],2,FALSE)</f>
        <v>Criminalidad menor</v>
      </c>
      <c r="I2" s="24" t="str">
        <f>VLOOKUP(tblMatrizDeAdyacencia[[#Headers],[O6]],tblNodos[],2,FALSE)</f>
        <v>Aportaciones individuales</v>
      </c>
      <c r="J2" s="24" t="str">
        <f>VLOOKUP(tblMatrizDeAdyacencia[[#Headers],[C1]],tblNodos[],2,FALSE)</f>
        <v>Colector local principal</v>
      </c>
      <c r="K2" s="24" t="str">
        <f>VLOOKUP(tblMatrizDeAdyacencia[[#Headers],[C2]],tblNodos[],2,FALSE)</f>
        <v>Colector local secundario</v>
      </c>
      <c r="L2" s="24" t="str">
        <f>VLOOKUP(tblMatrizDeAdyacencia[[#Headers],[C3]],tblNodos[],2,FALSE)</f>
        <v>Colector regional</v>
      </c>
      <c r="M2" s="24" t="str">
        <f>VLOOKUP(tblMatrizDeAdyacencia[[#Headers],[R1]],tblNodos[],2,FALSE)</f>
        <v>Redistribuidor zona tránsito 1</v>
      </c>
      <c r="N2" s="24" t="str">
        <f>VLOOKUP(tblMatrizDeAdyacencia[[#Headers],[R2]],tblNodos[],2,FALSE)</f>
        <v>Redistribuidor zona tránsito 2</v>
      </c>
      <c r="O2" s="24" t="str">
        <f>VLOOKUP(tblMatrizDeAdyacencia[[#Headers],[R3]],tblNodos[],2,FALSE)</f>
        <v>Redistribuidor principal</v>
      </c>
      <c r="P2" s="24" t="str">
        <f>VLOOKUP(tblMatrizDeAdyacencia[[#Headers],[R4]],tblNodos[],2,FALSE)</f>
        <v>Redistribuidor secundario 1</v>
      </c>
      <c r="Q2" s="24" t="str">
        <f>VLOOKUP(tblMatrizDeAdyacencia[[#Headers],[R5]],tblNodos[],2,FALSE)</f>
        <v>Redistribuidor secundario 2</v>
      </c>
      <c r="R2" s="24" t="str">
        <f>VLOOKUP(tblMatrizDeAdyacencia[[#Headers],[R6]],tblNodos[],2,FALSE)</f>
        <v>Redistribuidor intermedio</v>
      </c>
      <c r="S2" s="24" t="str">
        <f>VLOOKUP(tblMatrizDeAdyacencia[[#Headers],[R7]],tblNodos[],2,FALSE)</f>
        <v>Redistribuidor logístico</v>
      </c>
      <c r="T2" s="24" t="str">
        <f>VLOOKUP(tblMatrizDeAdyacencia[[#Headers],[R8]],tblNodos[],2,FALSE)</f>
        <v>Redistribuidor financiero</v>
      </c>
      <c r="U2" s="24" t="str">
        <f>VLOOKUP(tblMatrizDeAdyacencia[[#Headers],[R9]],tblNodos[],2,FALSE)</f>
        <v>Redistribuidor final</v>
      </c>
      <c r="V2" s="24" t="str">
        <f>VLOOKUP(tblMatrizDeAdyacencia[[#Headers],[D1]],tblNodos[],2,FALSE)</f>
        <v>Destino operativo final</v>
      </c>
      <c r="W2"/>
      <c r="X2" s="75" t="s">
        <v>115</v>
      </c>
      <c r="Y2" s="76"/>
      <c r="Z2" s="24" t="str">
        <f>VLOOKUP(tblMatrizDeAdyacencia[[#Headers],[O1]],tblNodos[],2,FALSE)</f>
        <v>Extorsión local</v>
      </c>
      <c r="AA2" s="24" t="str">
        <f>VLOOKUP(tblMatrizDeAdyacencia[[#Headers],[O2]],tblNodos[],2,FALSE)</f>
        <v>Tráfico ilícito</v>
      </c>
      <c r="AB2" s="24" t="str">
        <f>VLOOKUP(tblMatrizDeAdyacencia[[#Headers],[O3]],tblNodos[],2,FALSE)</f>
        <v>Donaciones externas</v>
      </c>
      <c r="AC2" s="24" t="str">
        <f>VLOOKUP(tblMatrizDeAdyacencia[[#Headers],[O4]],tblNodos[],2,FALSE)</f>
        <v>Actividad comercial</v>
      </c>
      <c r="AD2" s="24" t="str">
        <f>VLOOKUP(tblMatrizDeAdyacencia[[#Headers],[O5]],tblNodos[],2,FALSE)</f>
        <v>Criminalidad menor</v>
      </c>
      <c r="AE2" s="24" t="str">
        <f>VLOOKUP(tblMatrizDeAdyacencia[[#Headers],[O6]],tblNodos[],2,FALSE)</f>
        <v>Aportaciones individuales</v>
      </c>
      <c r="AF2" s="24" t="str">
        <f>VLOOKUP(tblMatrizDeAdyacencia[[#Headers],[C1]],tblNodos[],2,FALSE)</f>
        <v>Colector local principal</v>
      </c>
      <c r="AG2" s="24" t="str">
        <f>VLOOKUP(tblMatrizDeAdyacencia[[#Headers],[C2]],tblNodos[],2,FALSE)</f>
        <v>Colector local secundario</v>
      </c>
      <c r="AH2" s="24" t="str">
        <f>VLOOKUP(tblMatrizDeAdyacencia[[#Headers],[C3]],tblNodos[],2,FALSE)</f>
        <v>Colector regional</v>
      </c>
      <c r="AI2" s="24" t="str">
        <f>VLOOKUP(tblMatrizDeAdyacencia[[#Headers],[R1]],tblNodos[],2,FALSE)</f>
        <v>Redistribuidor zona tránsito 1</v>
      </c>
      <c r="AJ2" s="24" t="str">
        <f>VLOOKUP(tblMatrizDeAdyacencia[[#Headers],[R2]],tblNodos[],2,FALSE)</f>
        <v>Redistribuidor zona tránsito 2</v>
      </c>
      <c r="AK2" s="24" t="str">
        <f>VLOOKUP(tblMatrizDeAdyacencia[[#Headers],[R3]],tblNodos[],2,FALSE)</f>
        <v>Redistribuidor principal</v>
      </c>
      <c r="AL2" s="24" t="str">
        <f>VLOOKUP(tblMatrizDeAdyacencia[[#Headers],[R4]],tblNodos[],2,FALSE)</f>
        <v>Redistribuidor secundario 1</v>
      </c>
      <c r="AM2" s="24" t="str">
        <f>VLOOKUP(tblMatrizDeAdyacencia[[#Headers],[R5]],tblNodos[],2,FALSE)</f>
        <v>Redistribuidor secundario 2</v>
      </c>
      <c r="AN2" s="24" t="str">
        <f>VLOOKUP(tblMatrizDeAdyacencia[[#Headers],[R6]],tblNodos[],2,FALSE)</f>
        <v>Redistribuidor intermedio</v>
      </c>
      <c r="AO2" s="24" t="str">
        <f>VLOOKUP(tblMatrizDeAdyacencia[[#Headers],[R7]],tblNodos[],2,FALSE)</f>
        <v>Redistribuidor logístico</v>
      </c>
      <c r="AP2" s="24" t="str">
        <f>VLOOKUP(tblMatrizDeAdyacencia[[#Headers],[R8]],tblNodos[],2,FALSE)</f>
        <v>Redistribuidor financiero</v>
      </c>
      <c r="AQ2" s="24" t="str">
        <f>VLOOKUP(tblMatrizDeAdyacencia[[#Headers],[R9]],tblNodos[],2,FALSE)</f>
        <v>Redistribuidor final</v>
      </c>
      <c r="AR2" s="24" t="str">
        <f>VLOOKUP(tblMatrizDeAdyacencia[[#Headers],[D1]],tblNodos[],2,FALSE)</f>
        <v>Destino operativo final</v>
      </c>
    </row>
    <row r="3" spans="2:44" ht="33" customHeight="1" x14ac:dyDescent="0.25">
      <c r="B3" s="7" t="s">
        <v>82</v>
      </c>
      <c r="C3" s="54" t="s">
        <v>83</v>
      </c>
      <c r="D3" s="8" t="s">
        <v>22</v>
      </c>
      <c r="E3" s="8" t="s">
        <v>30</v>
      </c>
      <c r="F3" s="8" t="s">
        <v>34</v>
      </c>
      <c r="G3" s="8" t="s">
        <v>39</v>
      </c>
      <c r="H3" s="8" t="s">
        <v>43</v>
      </c>
      <c r="I3" s="8" t="s">
        <v>46</v>
      </c>
      <c r="J3" s="8" t="s">
        <v>24</v>
      </c>
      <c r="K3" s="8" t="s">
        <v>32</v>
      </c>
      <c r="L3" s="8" t="s">
        <v>36</v>
      </c>
      <c r="M3" s="8" t="s">
        <v>41</v>
      </c>
      <c r="N3" s="8" t="s">
        <v>55</v>
      </c>
      <c r="O3" s="8" t="s">
        <v>57</v>
      </c>
      <c r="P3" s="8" t="s">
        <v>59</v>
      </c>
      <c r="Q3" s="8" t="s">
        <v>61</v>
      </c>
      <c r="R3" s="8" t="s">
        <v>45</v>
      </c>
      <c r="S3" s="8" t="s">
        <v>65</v>
      </c>
      <c r="T3" s="8" t="s">
        <v>67</v>
      </c>
      <c r="U3" s="8" t="s">
        <v>69</v>
      </c>
      <c r="V3" s="9" t="s">
        <v>37</v>
      </c>
      <c r="W3"/>
      <c r="X3" s="7" t="s">
        <v>82</v>
      </c>
      <c r="Y3" s="54" t="s">
        <v>83</v>
      </c>
      <c r="Z3" s="8" t="s">
        <v>22</v>
      </c>
      <c r="AA3" s="8" t="s">
        <v>30</v>
      </c>
      <c r="AB3" s="8" t="s">
        <v>34</v>
      </c>
      <c r="AC3" s="8" t="s">
        <v>39</v>
      </c>
      <c r="AD3" s="8" t="s">
        <v>43</v>
      </c>
      <c r="AE3" s="8" t="s">
        <v>46</v>
      </c>
      <c r="AF3" s="8" t="s">
        <v>24</v>
      </c>
      <c r="AG3" s="8" t="s">
        <v>32</v>
      </c>
      <c r="AH3" s="8" t="s">
        <v>36</v>
      </c>
      <c r="AI3" s="8" t="s">
        <v>41</v>
      </c>
      <c r="AJ3" s="8" t="s">
        <v>55</v>
      </c>
      <c r="AK3" s="8" t="s">
        <v>57</v>
      </c>
      <c r="AL3" s="8" t="s">
        <v>59</v>
      </c>
      <c r="AM3" s="8" t="s">
        <v>61</v>
      </c>
      <c r="AN3" s="8" t="s">
        <v>45</v>
      </c>
      <c r="AO3" s="8" t="s">
        <v>65</v>
      </c>
      <c r="AP3" s="8" t="s">
        <v>67</v>
      </c>
      <c r="AQ3" s="8" t="s">
        <v>69</v>
      </c>
      <c r="AR3" s="9" t="s">
        <v>37</v>
      </c>
    </row>
    <row r="4" spans="2:44" ht="17.25" customHeight="1" x14ac:dyDescent="0.25">
      <c r="B4" s="13" t="str">
        <f>VLOOKUP(tblMatrizDeAdyacencia[[#This Row],[NodoOrigen \ NodoDestino]],tblNodos[],2,FALSE)</f>
        <v>Extorsión local</v>
      </c>
      <c r="C4" s="5" t="s">
        <v>22</v>
      </c>
      <c r="D4" s="43">
        <f>IF(OR(MatrizPonderadaCostes!D4=0,MatrizPonderadaValorOperativo!D4=0),0,MatrizPonderadaValorOperativo!D4/MatrizPonderadaCostes!D4)</f>
        <v>0</v>
      </c>
      <c r="E4" s="43">
        <f>IF(OR(MatrizPonderadaCostes!E4=0,MatrizPonderadaValorOperativo!E4=0),0,MatrizPonderadaValorOperativo!E4/MatrizPonderadaCostes!E4)</f>
        <v>0</v>
      </c>
      <c r="F4" s="43">
        <f>IF(OR(MatrizPonderadaCostes!F4=0,MatrizPonderadaValorOperativo!F4=0),0,MatrizPonderadaValorOperativo!F4/MatrizPonderadaCostes!F4)</f>
        <v>0</v>
      </c>
      <c r="G4" s="43">
        <f>IF(OR(MatrizPonderadaCostes!G4=0,MatrizPonderadaValorOperativo!G4=0),0,MatrizPonderadaValorOperativo!G4/MatrizPonderadaCostes!G4)</f>
        <v>0</v>
      </c>
      <c r="H4" s="43">
        <f>IF(OR(MatrizPonderadaCostes!H4=0,MatrizPonderadaValorOperativo!H4=0),0,MatrizPonderadaValorOperativo!H4/MatrizPonderadaCostes!H4)</f>
        <v>0</v>
      </c>
      <c r="I4" s="43">
        <f>IF(OR(MatrizPonderadaCostes!I4=0,MatrizPonderadaValorOperativo!I4=0),0,MatrizPonderadaValorOperativo!I4/MatrizPonderadaCostes!I4)</f>
        <v>0</v>
      </c>
      <c r="J4" s="43">
        <f>IF(OR(MatrizPonderadaCostes!J4=0,MatrizPonderadaValorOperativo!J4=0),0,MatrizPonderadaValorOperativo!J4/MatrizPonderadaCostes!J4)</f>
        <v>3.2</v>
      </c>
      <c r="K4" s="43">
        <f>IF(OR(MatrizPonderadaCostes!K4=0,MatrizPonderadaValorOperativo!K4=0),0,MatrizPonderadaValorOperativo!K4/MatrizPonderadaCostes!K4)</f>
        <v>0</v>
      </c>
      <c r="L4" s="43">
        <f>IF(OR(MatrizPonderadaCostes!L4=0,MatrizPonderadaValorOperativo!L4=0),0,MatrizPonderadaValorOperativo!L4/MatrizPonderadaCostes!L4)</f>
        <v>0</v>
      </c>
      <c r="M4" s="43">
        <f>IF(OR(MatrizPonderadaCostes!M4=0,MatrizPonderadaValorOperativo!M4=0),0,MatrizPonderadaValorOperativo!M4/MatrizPonderadaCostes!M4)</f>
        <v>0</v>
      </c>
      <c r="N4" s="43">
        <f>IF(OR(MatrizPonderadaCostes!N4=0,MatrizPonderadaValorOperativo!N4=0),0,MatrizPonderadaValorOperativo!N4/MatrizPonderadaCostes!N4)</f>
        <v>0</v>
      </c>
      <c r="O4" s="43">
        <f>IF(OR(MatrizPonderadaCostes!O4=0,MatrizPonderadaValorOperativo!O4=0),0,MatrizPonderadaValorOperativo!O4/MatrizPonderadaCostes!O4)</f>
        <v>0</v>
      </c>
      <c r="P4" s="43">
        <f>IF(OR(MatrizPonderadaCostes!P4=0,MatrizPonderadaValorOperativo!P4=0),0,MatrizPonderadaValorOperativo!P4/MatrizPonderadaCostes!P4)</f>
        <v>0</v>
      </c>
      <c r="Q4" s="43">
        <f>IF(OR(MatrizPonderadaCostes!Q4=0,MatrizPonderadaValorOperativo!Q4=0),0,MatrizPonderadaValorOperativo!Q4/MatrizPonderadaCostes!Q4)</f>
        <v>0</v>
      </c>
      <c r="R4" s="43">
        <f>IF(OR(MatrizPonderadaCostes!R4=0,MatrizPonderadaValorOperativo!R4=0),0,MatrizPonderadaValorOperativo!R4/MatrizPonderadaCostes!R4)</f>
        <v>0</v>
      </c>
      <c r="S4" s="43">
        <f>IF(OR(MatrizPonderadaCostes!S4=0,MatrizPonderadaValorOperativo!S4=0),0,MatrizPonderadaValorOperativo!S4/MatrizPonderadaCostes!S4)</f>
        <v>0</v>
      </c>
      <c r="T4" s="43">
        <f>IF(OR(MatrizPonderadaCostes!T4=0,MatrizPonderadaValorOperativo!T4=0),0,MatrizPonderadaValorOperativo!T4/MatrizPonderadaCostes!T4)</f>
        <v>0</v>
      </c>
      <c r="U4" s="43">
        <f>IF(OR(MatrizPonderadaCostes!U4=0,MatrizPonderadaValorOperativo!U4=0),0,MatrizPonderadaValorOperativo!U4/MatrizPonderadaCostes!U4)</f>
        <v>0</v>
      </c>
      <c r="V4" s="44">
        <f>IF(OR(MatrizPonderadaCostes!V4=0,MatrizPonderadaValorOperativo!V4=0),0,MatrizPonderadaValorOperativo!V4/MatrizPonderadaCostes!V4)</f>
        <v>0</v>
      </c>
      <c r="W4"/>
      <c r="X4" s="13" t="str">
        <f>VLOOKUP(tblMatrizDeAdyacencia[[#This Row],[NodoOrigen \ NodoDestino]],tblNodos[],2,FALSE)</f>
        <v>Extorsión local</v>
      </c>
      <c r="Y4" s="5" t="s">
        <v>22</v>
      </c>
      <c r="Z4" s="43">
        <f>IF(tblMatrizDistancias[[#This Row],[NodoOrigen \ NodoDestino]]="O1",0,IF(tblMatrizTradeOff[[#This Row],[O1]]=0,9999,1/tblMatrizTradeOff[[#This Row],[O1]]))</f>
        <v>0</v>
      </c>
      <c r="AA4" s="43">
        <f>IF(tblMatrizDistancias[[#This Row],[NodoOrigen \ NodoDestino]]="O2",0,IF(tblMatrizTradeOff[[#This Row],[O2]]=0,9999,1/tblMatrizTradeOff[[#This Row],[O2]]))</f>
        <v>9999</v>
      </c>
      <c r="AB4" s="43">
        <f>IF(tblMatrizDistancias[[#This Row],[NodoOrigen \ NodoDestino]]="O3",0,IF(tblMatrizTradeOff[[#This Row],[O3]]=0,9999,1/tblMatrizTradeOff[[#This Row],[O3]]))</f>
        <v>9999</v>
      </c>
      <c r="AC4" s="43">
        <f>IF(tblMatrizDistancias[[#This Row],[NodoOrigen \ NodoDestino]]="O4",0,IF(tblMatrizTradeOff[[#This Row],[O4]]=0,9999,1/tblMatrizTradeOff[[#This Row],[O4]]))</f>
        <v>9999</v>
      </c>
      <c r="AD4" s="43">
        <f>IF(tblMatrizDistancias[[#This Row],[NodoOrigen \ NodoDestino]]="O5",0,IF(tblMatrizTradeOff[[#This Row],[O5]]=0,9999,1/tblMatrizTradeOff[[#This Row],[O5]]))</f>
        <v>9999</v>
      </c>
      <c r="AE4" s="43">
        <f>IF(tblMatrizDistancias[[#This Row],[NodoOrigen \ NodoDestino]]="O6",0,IF(tblMatrizTradeOff[[#This Row],[O6]]=0,9999,1/tblMatrizTradeOff[[#This Row],[O6]]))</f>
        <v>9999</v>
      </c>
      <c r="AF4" s="43">
        <f>IF(tblMatrizDistancias[[#This Row],[NodoOrigen \ NodoDestino]]="I1",0,IF(tblMatrizTradeOff[[#This Row],[I1]]=0,9999,1/tblMatrizTradeOff[[#This Row],[I1]]))</f>
        <v>0.3125</v>
      </c>
      <c r="AG4" s="43">
        <f>IF(tblMatrizDistancias[[#This Row],[NodoOrigen \ NodoDestino]]="I2",0,IF(tblMatrizTradeOff[[#This Row],[I2]]=0,9999,1/tblMatrizTradeOff[[#This Row],[I2]]))</f>
        <v>9999</v>
      </c>
      <c r="AH4" s="43">
        <f>IF(tblMatrizDistancias[[#This Row],[NodoOrigen \ NodoDestino]]="I3",0,IF(tblMatrizTradeOff[[#This Row],[I3]]=0,9999,1/tblMatrizTradeOff[[#This Row],[I3]]))</f>
        <v>9999</v>
      </c>
      <c r="AI4" s="43">
        <f>IF(tblMatrizDistancias[[#This Row],[NodoOrigen \ NodoDestino]]="I4",0,IF(tblMatrizTradeOff[[#This Row],[I4]]=0,9999,1/tblMatrizTradeOff[[#This Row],[I4]]))</f>
        <v>9999</v>
      </c>
      <c r="AJ4" s="43">
        <f>IF(tblMatrizDistancias[[#This Row],[NodoOrigen \ NodoDestino]]="I5",0,IF(tblMatrizTradeOff[[#This Row],[I5]]=0,9999,1/tblMatrizTradeOff[[#This Row],[I5]]))</f>
        <v>9999</v>
      </c>
      <c r="AK4" s="43">
        <f>IF(tblMatrizDistancias[[#This Row],[NodoOrigen \ NodoDestino]]="I6",0,IF(tblMatrizTradeOff[[#This Row],[I6]]=0,9999,1/tblMatrizTradeOff[[#This Row],[I6]]))</f>
        <v>9999</v>
      </c>
      <c r="AL4" s="43">
        <f>IF(tblMatrizDistancias[[#This Row],[NodoOrigen \ NodoDestino]]="I7",0,IF(tblMatrizTradeOff[[#This Row],[I7]]=0,9999,1/tblMatrizTradeOff[[#This Row],[I7]]))</f>
        <v>9999</v>
      </c>
      <c r="AM4" s="43">
        <f>IF(tblMatrizDistancias[[#This Row],[NodoOrigen \ NodoDestino]]="I8",0,IF(tblMatrizTradeOff[[#This Row],[I8]]=0,9999,1/tblMatrizTradeOff[[#This Row],[I8]]))</f>
        <v>9999</v>
      </c>
      <c r="AN4" s="43">
        <f>IF(tblMatrizDistancias[[#This Row],[NodoOrigen \ NodoDestino]]="I9",0,IF(tblMatrizTradeOff[[#This Row],[I9]]=0,9999,1/tblMatrizTradeOff[[#This Row],[I9]]))</f>
        <v>9999</v>
      </c>
      <c r="AO4" s="43">
        <f>IF(tblMatrizDistancias[[#This Row],[NodoOrigen \ NodoDestino]]="G1",0,IF(tblMatrizTradeOff[[#This Row],[G1]]=0,9999,1/tblMatrizTradeOff[[#This Row],[G1]]))</f>
        <v>9999</v>
      </c>
      <c r="AP4" s="43">
        <f>IF(tblMatrizDistancias[[#This Row],[NodoOrigen \ NodoDestino]]="G2",0,IF(tblMatrizTradeOff[[#This Row],[G2]]=0,9999,1/tblMatrizTradeOff[[#This Row],[G2]]))</f>
        <v>9999</v>
      </c>
      <c r="AQ4" s="43">
        <f>IF(tblMatrizDistancias[[#This Row],[NodoOrigen \ NodoDestino]]="G3",0,IF(tblMatrizTradeOff[[#This Row],[G3]]=0,9999,1/tblMatrizTradeOff[[#This Row],[G3]]))</f>
        <v>9999</v>
      </c>
      <c r="AR4" s="43">
        <f>IF(tblMatrizDistancias[[#This Row],[NodoOrigen \ NodoDestino]]="D",0,IF(tblMatrizTradeOff[[#This Row],[D]]=0,9999,1/tblMatrizTradeOff[[#This Row],[D]]))</f>
        <v>9999</v>
      </c>
    </row>
    <row r="5" spans="2:44" ht="17.25" customHeight="1" x14ac:dyDescent="0.25">
      <c r="B5" s="14" t="str">
        <f>VLOOKUP(tblMatrizDeAdyacencia[[#This Row],[NodoOrigen \ NodoDestino]],tblNodos[],2,FALSE)</f>
        <v>Tráfico ilícito</v>
      </c>
      <c r="C5" s="5" t="s">
        <v>30</v>
      </c>
      <c r="D5" s="43">
        <f>IF(OR(MatrizPonderadaCostes!D5=0,MatrizPonderadaValorOperativo!D5=0),0,MatrizPonderadaValorOperativo!D5/MatrizPonderadaCostes!D5)</f>
        <v>0</v>
      </c>
      <c r="E5" s="43">
        <f>IF(OR(MatrizPonderadaCostes!E5=0,MatrizPonderadaValorOperativo!E5=0),0,MatrizPonderadaValorOperativo!E5/MatrizPonderadaCostes!E5)</f>
        <v>0</v>
      </c>
      <c r="F5" s="43">
        <f>IF(OR(MatrizPonderadaCostes!F5=0,MatrizPonderadaValorOperativo!F5=0),0,MatrizPonderadaValorOperativo!F5/MatrizPonderadaCostes!F5)</f>
        <v>0</v>
      </c>
      <c r="G5" s="43">
        <f>IF(OR(MatrizPonderadaCostes!G5=0,MatrizPonderadaValorOperativo!G5=0),0,MatrizPonderadaValorOperativo!G5/MatrizPonderadaCostes!G5)</f>
        <v>0</v>
      </c>
      <c r="H5" s="43">
        <f>IF(OR(MatrizPonderadaCostes!H5=0,MatrizPonderadaValorOperativo!H5=0),0,MatrizPonderadaValorOperativo!H5/MatrizPonderadaCostes!H5)</f>
        <v>0</v>
      </c>
      <c r="I5" s="43">
        <f>IF(OR(MatrizPonderadaCostes!I5=0,MatrizPonderadaValorOperativo!I5=0),0,MatrizPonderadaValorOperativo!I5/MatrizPonderadaCostes!I5)</f>
        <v>0</v>
      </c>
      <c r="J5" s="43">
        <f>IF(OR(MatrizPonderadaCostes!J5=0,MatrizPonderadaValorOperativo!J5=0),0,MatrizPonderadaValorOperativo!J5/MatrizPonderadaCostes!J5)</f>
        <v>3.2</v>
      </c>
      <c r="K5" s="43">
        <f>IF(OR(MatrizPonderadaCostes!K5=0,MatrizPonderadaValorOperativo!K5=0),0,MatrizPonderadaValorOperativo!K5/MatrizPonderadaCostes!K5)</f>
        <v>0</v>
      </c>
      <c r="L5" s="43">
        <f>IF(OR(MatrizPonderadaCostes!L5=0,MatrizPonderadaValorOperativo!L5=0),0,MatrizPonderadaValorOperativo!L5/MatrizPonderadaCostes!L5)</f>
        <v>0</v>
      </c>
      <c r="M5" s="43">
        <f>IF(OR(MatrizPonderadaCostes!M5=0,MatrizPonderadaValorOperativo!M5=0),0,MatrizPonderadaValorOperativo!M5/MatrizPonderadaCostes!M5)</f>
        <v>0</v>
      </c>
      <c r="N5" s="43">
        <f>IF(OR(MatrizPonderadaCostes!N5=0,MatrizPonderadaValorOperativo!N5=0),0,MatrizPonderadaValorOperativo!N5/MatrizPonderadaCostes!N5)</f>
        <v>0</v>
      </c>
      <c r="O5" s="43">
        <f>IF(OR(MatrizPonderadaCostes!O5=0,MatrizPonderadaValorOperativo!O5=0),0,MatrizPonderadaValorOperativo!O5/MatrizPonderadaCostes!O5)</f>
        <v>0</v>
      </c>
      <c r="P5" s="43">
        <f>IF(OR(MatrizPonderadaCostes!P5=0,MatrizPonderadaValorOperativo!P5=0),0,MatrizPonderadaValorOperativo!P5/MatrizPonderadaCostes!P5)</f>
        <v>0</v>
      </c>
      <c r="Q5" s="43">
        <f>IF(OR(MatrizPonderadaCostes!Q5=0,MatrizPonderadaValorOperativo!Q5=0),0,MatrizPonderadaValorOperativo!Q5/MatrizPonderadaCostes!Q5)</f>
        <v>0</v>
      </c>
      <c r="R5" s="43">
        <f>IF(OR(MatrizPonderadaCostes!R5=0,MatrizPonderadaValorOperativo!R5=0),0,MatrizPonderadaValorOperativo!R5/MatrizPonderadaCostes!R5)</f>
        <v>0</v>
      </c>
      <c r="S5" s="43">
        <f>IF(OR(MatrizPonderadaCostes!S5=0,MatrizPonderadaValorOperativo!S5=0),0,MatrizPonderadaValorOperativo!S5/MatrizPonderadaCostes!S5)</f>
        <v>0</v>
      </c>
      <c r="T5" s="43">
        <f>IF(OR(MatrizPonderadaCostes!T5=0,MatrizPonderadaValorOperativo!T5=0),0,MatrizPonderadaValorOperativo!T5/MatrizPonderadaCostes!T5)</f>
        <v>0</v>
      </c>
      <c r="U5" s="43">
        <f>IF(OR(MatrizPonderadaCostes!U5=0,MatrizPonderadaValorOperativo!U5=0),0,MatrizPonderadaValorOperativo!U5/MatrizPonderadaCostes!U5)</f>
        <v>0</v>
      </c>
      <c r="V5" s="44">
        <f>IF(OR(MatrizPonderadaCostes!V5=0,MatrizPonderadaValorOperativo!V5=0),0,MatrizPonderadaValorOperativo!V5/MatrizPonderadaCostes!V5)</f>
        <v>0</v>
      </c>
      <c r="W5"/>
      <c r="X5" s="14" t="str">
        <f>VLOOKUP(tblMatrizDeAdyacencia[[#This Row],[NodoOrigen \ NodoDestino]],tblNodos[],2,FALSE)</f>
        <v>Tráfico ilícito</v>
      </c>
      <c r="Y5" s="5" t="s">
        <v>30</v>
      </c>
      <c r="Z5" s="43">
        <f>IF(tblMatrizDistancias[[#This Row],[NodoOrigen \ NodoDestino]]="O1",0,IF(tblMatrizTradeOff[[#This Row],[O1]]=0,9999,1/tblMatrizTradeOff[[#This Row],[O1]]))</f>
        <v>9999</v>
      </c>
      <c r="AA5" s="43">
        <f>IF(tblMatrizDistancias[[#This Row],[NodoOrigen \ NodoDestino]]="O2",0,IF(tblMatrizTradeOff[[#This Row],[O2]]=0,9999,1/tblMatrizTradeOff[[#This Row],[O2]]))</f>
        <v>0</v>
      </c>
      <c r="AB5" s="43">
        <f>IF(tblMatrizDistancias[[#This Row],[NodoOrigen \ NodoDestino]]="O3",0,IF(tblMatrizTradeOff[[#This Row],[O3]]=0,9999,1/tblMatrizTradeOff[[#This Row],[O3]]))</f>
        <v>9999</v>
      </c>
      <c r="AC5" s="43">
        <f>IF(tblMatrizDistancias[[#This Row],[NodoOrigen \ NodoDestino]]="O4",0,IF(tblMatrizTradeOff[[#This Row],[O4]]=0,9999,1/tblMatrizTradeOff[[#This Row],[O4]]))</f>
        <v>9999</v>
      </c>
      <c r="AD5" s="43">
        <f>IF(tblMatrizDistancias[[#This Row],[NodoOrigen \ NodoDestino]]="O5",0,IF(tblMatrizTradeOff[[#This Row],[O5]]=0,9999,1/tblMatrizTradeOff[[#This Row],[O5]]))</f>
        <v>9999</v>
      </c>
      <c r="AE5" s="43">
        <f>IF(tblMatrizDistancias[[#This Row],[NodoOrigen \ NodoDestino]]="O6",0,IF(tblMatrizTradeOff[[#This Row],[O6]]=0,9999,1/tblMatrizTradeOff[[#This Row],[O6]]))</f>
        <v>9999</v>
      </c>
      <c r="AF5" s="43">
        <f>IF(tblMatrizDistancias[[#This Row],[NodoOrigen \ NodoDestino]]="I1",0,IF(tblMatrizTradeOff[[#This Row],[I1]]=0,9999,1/tblMatrizTradeOff[[#This Row],[I1]]))</f>
        <v>0.3125</v>
      </c>
      <c r="AG5" s="43">
        <f>IF(tblMatrizDistancias[[#This Row],[NodoOrigen \ NodoDestino]]="I2",0,IF(tblMatrizTradeOff[[#This Row],[I2]]=0,9999,1/tblMatrizTradeOff[[#This Row],[I2]]))</f>
        <v>9999</v>
      </c>
      <c r="AH5" s="43">
        <f>IF(tblMatrizDistancias[[#This Row],[NodoOrigen \ NodoDestino]]="I3",0,IF(tblMatrizTradeOff[[#This Row],[I3]]=0,9999,1/tblMatrizTradeOff[[#This Row],[I3]]))</f>
        <v>9999</v>
      </c>
      <c r="AI5" s="43">
        <f>IF(tblMatrizDistancias[[#This Row],[NodoOrigen \ NodoDestino]]="I4",0,IF(tblMatrizTradeOff[[#This Row],[I4]]=0,9999,1/tblMatrizTradeOff[[#This Row],[I4]]))</f>
        <v>9999</v>
      </c>
      <c r="AJ5" s="43">
        <f>IF(tblMatrizDistancias[[#This Row],[NodoOrigen \ NodoDestino]]="I5",0,IF(tblMatrizTradeOff[[#This Row],[I5]]=0,9999,1/tblMatrizTradeOff[[#This Row],[I5]]))</f>
        <v>9999</v>
      </c>
      <c r="AK5" s="43">
        <f>IF(tblMatrizDistancias[[#This Row],[NodoOrigen \ NodoDestino]]="I6",0,IF(tblMatrizTradeOff[[#This Row],[I6]]=0,9999,1/tblMatrizTradeOff[[#This Row],[I6]]))</f>
        <v>9999</v>
      </c>
      <c r="AL5" s="43">
        <f>IF(tblMatrizDistancias[[#This Row],[NodoOrigen \ NodoDestino]]="I7",0,IF(tblMatrizTradeOff[[#This Row],[I7]]=0,9999,1/tblMatrizTradeOff[[#This Row],[I7]]))</f>
        <v>9999</v>
      </c>
      <c r="AM5" s="43">
        <f>IF(tblMatrizDistancias[[#This Row],[NodoOrigen \ NodoDestino]]="I8",0,IF(tblMatrizTradeOff[[#This Row],[I8]]=0,9999,1/tblMatrizTradeOff[[#This Row],[I8]]))</f>
        <v>9999</v>
      </c>
      <c r="AN5" s="43">
        <f>IF(tblMatrizDistancias[[#This Row],[NodoOrigen \ NodoDestino]]="I9",0,IF(tblMatrizTradeOff[[#This Row],[I9]]=0,9999,1/tblMatrizTradeOff[[#This Row],[I9]]))</f>
        <v>9999</v>
      </c>
      <c r="AO5" s="43">
        <f>IF(tblMatrizDistancias[[#This Row],[NodoOrigen \ NodoDestino]]="G1",0,IF(tblMatrizTradeOff[[#This Row],[G1]]=0,9999,1/tblMatrizTradeOff[[#This Row],[G1]]))</f>
        <v>9999</v>
      </c>
      <c r="AP5" s="43">
        <f>IF(tblMatrizDistancias[[#This Row],[NodoOrigen \ NodoDestino]]="G2",0,IF(tblMatrizTradeOff[[#This Row],[G2]]=0,9999,1/tblMatrizTradeOff[[#This Row],[G2]]))</f>
        <v>9999</v>
      </c>
      <c r="AQ5" s="43">
        <f>IF(tblMatrizDistancias[[#This Row],[NodoOrigen \ NodoDestino]]="G3",0,IF(tblMatrizTradeOff[[#This Row],[G3]]=0,9999,1/tblMatrizTradeOff[[#This Row],[G3]]))</f>
        <v>9999</v>
      </c>
      <c r="AR5" s="43">
        <f>IF(tblMatrizDistancias[[#This Row],[NodoOrigen \ NodoDestino]]="D",0,IF(tblMatrizTradeOff[[#This Row],[D]]=0,9999,1/tblMatrizTradeOff[[#This Row],[D]]))</f>
        <v>9999</v>
      </c>
    </row>
    <row r="6" spans="2:44" ht="17.25" customHeight="1" x14ac:dyDescent="0.25">
      <c r="B6" s="14" t="str">
        <f>VLOOKUP(tblMatrizDeAdyacencia[[#This Row],[NodoOrigen \ NodoDestino]],tblNodos[],2,FALSE)</f>
        <v>Donaciones externas</v>
      </c>
      <c r="C6" s="5" t="s">
        <v>34</v>
      </c>
      <c r="D6" s="43">
        <f>IF(OR(MatrizPonderadaCostes!D6=0,MatrizPonderadaValorOperativo!D6=0),0,MatrizPonderadaValorOperativo!D6/MatrizPonderadaCostes!D6)</f>
        <v>0</v>
      </c>
      <c r="E6" s="43">
        <f>IF(OR(MatrizPonderadaCostes!E6=0,MatrizPonderadaValorOperativo!E6=0),0,MatrizPonderadaValorOperativo!E6/MatrizPonderadaCostes!E6)</f>
        <v>0</v>
      </c>
      <c r="F6" s="43">
        <f>IF(OR(MatrizPonderadaCostes!F6=0,MatrizPonderadaValorOperativo!F6=0),0,MatrizPonderadaValorOperativo!F6/MatrizPonderadaCostes!F6)</f>
        <v>0</v>
      </c>
      <c r="G6" s="43">
        <f>IF(OR(MatrizPonderadaCostes!G6=0,MatrizPonderadaValorOperativo!G6=0),0,MatrizPonderadaValorOperativo!G6/MatrizPonderadaCostes!G6)</f>
        <v>0</v>
      </c>
      <c r="H6" s="43">
        <f>IF(OR(MatrizPonderadaCostes!H6=0,MatrizPonderadaValorOperativo!H6=0),0,MatrizPonderadaValorOperativo!H6/MatrizPonderadaCostes!H6)</f>
        <v>0</v>
      </c>
      <c r="I6" s="43">
        <f>IF(OR(MatrizPonderadaCostes!I6=0,MatrizPonderadaValorOperativo!I6=0),0,MatrizPonderadaValorOperativo!I6/MatrizPonderadaCostes!I6)</f>
        <v>0</v>
      </c>
      <c r="J6" s="43">
        <f>IF(OR(MatrizPonderadaCostes!J6=0,MatrizPonderadaValorOperativo!J6=0),0,MatrizPonderadaValorOperativo!J6/MatrizPonderadaCostes!J6)</f>
        <v>0</v>
      </c>
      <c r="K6" s="43">
        <f>IF(OR(MatrizPonderadaCostes!K6=0,MatrizPonderadaValorOperativo!K6=0),0,MatrizPonderadaValorOperativo!K6/MatrizPonderadaCostes!K6)</f>
        <v>4.666666666666667</v>
      </c>
      <c r="L6" s="43">
        <f>IF(OR(MatrizPonderadaCostes!L6=0,MatrizPonderadaValorOperativo!L6=0),0,MatrizPonderadaValorOperativo!L6/MatrizPonderadaCostes!L6)</f>
        <v>0</v>
      </c>
      <c r="M6" s="43">
        <f>IF(OR(MatrizPonderadaCostes!M6=0,MatrizPonderadaValorOperativo!M6=0),0,MatrizPonderadaValorOperativo!M6/MatrizPonderadaCostes!M6)</f>
        <v>0</v>
      </c>
      <c r="N6" s="43">
        <f>IF(OR(MatrizPonderadaCostes!N6=0,MatrizPonderadaValorOperativo!N6=0),0,MatrizPonderadaValorOperativo!N6/MatrizPonderadaCostes!N6)</f>
        <v>0</v>
      </c>
      <c r="O6" s="43">
        <f>IF(OR(MatrizPonderadaCostes!O6=0,MatrizPonderadaValorOperativo!O6=0),0,MatrizPonderadaValorOperativo!O6/MatrizPonderadaCostes!O6)</f>
        <v>0</v>
      </c>
      <c r="P6" s="43">
        <f>IF(OR(MatrizPonderadaCostes!P6=0,MatrizPonderadaValorOperativo!P6=0),0,MatrizPonderadaValorOperativo!P6/MatrizPonderadaCostes!P6)</f>
        <v>0</v>
      </c>
      <c r="Q6" s="43">
        <f>IF(OR(MatrizPonderadaCostes!Q6=0,MatrizPonderadaValorOperativo!Q6=0),0,MatrizPonderadaValorOperativo!Q6/MatrizPonderadaCostes!Q6)</f>
        <v>0</v>
      </c>
      <c r="R6" s="43">
        <f>IF(OR(MatrizPonderadaCostes!R6=0,MatrizPonderadaValorOperativo!R6=0),0,MatrizPonderadaValorOperativo!R6/MatrizPonderadaCostes!R6)</f>
        <v>0</v>
      </c>
      <c r="S6" s="43">
        <f>IF(OR(MatrizPonderadaCostes!S6=0,MatrizPonderadaValorOperativo!S6=0),0,MatrizPonderadaValorOperativo!S6/MatrizPonderadaCostes!S6)</f>
        <v>0</v>
      </c>
      <c r="T6" s="43">
        <f>IF(OR(MatrizPonderadaCostes!T6=0,MatrizPonderadaValorOperativo!T6=0),0,MatrizPonderadaValorOperativo!T6/MatrizPonderadaCostes!T6)</f>
        <v>0</v>
      </c>
      <c r="U6" s="43">
        <f>IF(OR(MatrizPonderadaCostes!U6=0,MatrizPonderadaValorOperativo!U6=0),0,MatrizPonderadaValorOperativo!U6/MatrizPonderadaCostes!U6)</f>
        <v>0</v>
      </c>
      <c r="V6" s="44">
        <f>IF(OR(MatrizPonderadaCostes!V6=0,MatrizPonderadaValorOperativo!V6=0),0,MatrizPonderadaValorOperativo!V6/MatrizPonderadaCostes!V6)</f>
        <v>0</v>
      </c>
      <c r="W6"/>
      <c r="X6" s="14" t="str">
        <f>VLOOKUP(tblMatrizDeAdyacencia[[#This Row],[NodoOrigen \ NodoDestino]],tblNodos[],2,FALSE)</f>
        <v>Donaciones externas</v>
      </c>
      <c r="Y6" s="5" t="s">
        <v>34</v>
      </c>
      <c r="Z6" s="43">
        <f>IF(tblMatrizDistancias[[#This Row],[NodoOrigen \ NodoDestino]]="O1",0,IF(tblMatrizTradeOff[[#This Row],[O1]]=0,9999,1/tblMatrizTradeOff[[#This Row],[O1]]))</f>
        <v>9999</v>
      </c>
      <c r="AA6" s="43">
        <f>IF(tblMatrizDistancias[[#This Row],[NodoOrigen \ NodoDestino]]="O2",0,IF(tblMatrizTradeOff[[#This Row],[O2]]=0,9999,1/tblMatrizTradeOff[[#This Row],[O2]]))</f>
        <v>9999</v>
      </c>
      <c r="AB6" s="43">
        <f>IF(tblMatrizDistancias[[#This Row],[NodoOrigen \ NodoDestino]]="O3",0,IF(tblMatrizTradeOff[[#This Row],[O3]]=0,9999,1/tblMatrizTradeOff[[#This Row],[O3]]))</f>
        <v>0</v>
      </c>
      <c r="AC6" s="43">
        <f>IF(tblMatrizDistancias[[#This Row],[NodoOrigen \ NodoDestino]]="O4",0,IF(tblMatrizTradeOff[[#This Row],[O4]]=0,9999,1/tblMatrizTradeOff[[#This Row],[O4]]))</f>
        <v>9999</v>
      </c>
      <c r="AD6" s="43">
        <f>IF(tblMatrizDistancias[[#This Row],[NodoOrigen \ NodoDestino]]="O5",0,IF(tblMatrizTradeOff[[#This Row],[O5]]=0,9999,1/tblMatrizTradeOff[[#This Row],[O5]]))</f>
        <v>9999</v>
      </c>
      <c r="AE6" s="43">
        <f>IF(tblMatrizDistancias[[#This Row],[NodoOrigen \ NodoDestino]]="O6",0,IF(tblMatrizTradeOff[[#This Row],[O6]]=0,9999,1/tblMatrizTradeOff[[#This Row],[O6]]))</f>
        <v>9999</v>
      </c>
      <c r="AF6" s="43">
        <f>IF(tblMatrizDistancias[[#This Row],[NodoOrigen \ NodoDestino]]="I1",0,IF(tblMatrizTradeOff[[#This Row],[I1]]=0,9999,1/tblMatrizTradeOff[[#This Row],[I1]]))</f>
        <v>9999</v>
      </c>
      <c r="AG6" s="43">
        <f>IF(tblMatrizDistancias[[#This Row],[NodoOrigen \ NodoDestino]]="I2",0,IF(tblMatrizTradeOff[[#This Row],[I2]]=0,9999,1/tblMatrizTradeOff[[#This Row],[I2]]))</f>
        <v>0.21428571428571427</v>
      </c>
      <c r="AH6" s="43">
        <f>IF(tblMatrizDistancias[[#This Row],[NodoOrigen \ NodoDestino]]="I3",0,IF(tblMatrizTradeOff[[#This Row],[I3]]=0,9999,1/tblMatrizTradeOff[[#This Row],[I3]]))</f>
        <v>9999</v>
      </c>
      <c r="AI6" s="43">
        <f>IF(tblMatrizDistancias[[#This Row],[NodoOrigen \ NodoDestino]]="I4",0,IF(tblMatrizTradeOff[[#This Row],[I4]]=0,9999,1/tblMatrizTradeOff[[#This Row],[I4]]))</f>
        <v>9999</v>
      </c>
      <c r="AJ6" s="43">
        <f>IF(tblMatrizDistancias[[#This Row],[NodoOrigen \ NodoDestino]]="I5",0,IF(tblMatrizTradeOff[[#This Row],[I5]]=0,9999,1/tblMatrizTradeOff[[#This Row],[I5]]))</f>
        <v>9999</v>
      </c>
      <c r="AK6" s="43">
        <f>IF(tblMatrizDistancias[[#This Row],[NodoOrigen \ NodoDestino]]="I6",0,IF(tblMatrizTradeOff[[#This Row],[I6]]=0,9999,1/tblMatrizTradeOff[[#This Row],[I6]]))</f>
        <v>9999</v>
      </c>
      <c r="AL6" s="43">
        <f>IF(tblMatrizDistancias[[#This Row],[NodoOrigen \ NodoDestino]]="I7",0,IF(tblMatrizTradeOff[[#This Row],[I7]]=0,9999,1/tblMatrizTradeOff[[#This Row],[I7]]))</f>
        <v>9999</v>
      </c>
      <c r="AM6" s="43">
        <f>IF(tblMatrizDistancias[[#This Row],[NodoOrigen \ NodoDestino]]="I8",0,IF(tblMatrizTradeOff[[#This Row],[I8]]=0,9999,1/tblMatrizTradeOff[[#This Row],[I8]]))</f>
        <v>9999</v>
      </c>
      <c r="AN6" s="43">
        <f>IF(tblMatrizDistancias[[#This Row],[NodoOrigen \ NodoDestino]]="I9",0,IF(tblMatrizTradeOff[[#This Row],[I9]]=0,9999,1/tblMatrizTradeOff[[#This Row],[I9]]))</f>
        <v>9999</v>
      </c>
      <c r="AO6" s="43">
        <f>IF(tblMatrizDistancias[[#This Row],[NodoOrigen \ NodoDestino]]="G1",0,IF(tblMatrizTradeOff[[#This Row],[G1]]=0,9999,1/tblMatrizTradeOff[[#This Row],[G1]]))</f>
        <v>9999</v>
      </c>
      <c r="AP6" s="43">
        <f>IF(tblMatrizDistancias[[#This Row],[NodoOrigen \ NodoDestino]]="G2",0,IF(tblMatrizTradeOff[[#This Row],[G2]]=0,9999,1/tblMatrizTradeOff[[#This Row],[G2]]))</f>
        <v>9999</v>
      </c>
      <c r="AQ6" s="43">
        <f>IF(tblMatrizDistancias[[#This Row],[NodoOrigen \ NodoDestino]]="G3",0,IF(tblMatrizTradeOff[[#This Row],[G3]]=0,9999,1/tblMatrizTradeOff[[#This Row],[G3]]))</f>
        <v>9999</v>
      </c>
      <c r="AR6" s="43">
        <f>IF(tblMatrizDistancias[[#This Row],[NodoOrigen \ NodoDestino]]="D",0,IF(tblMatrizTradeOff[[#This Row],[D]]=0,9999,1/tblMatrizTradeOff[[#This Row],[D]]))</f>
        <v>9999</v>
      </c>
    </row>
    <row r="7" spans="2:44" ht="17.25" customHeight="1" x14ac:dyDescent="0.25">
      <c r="B7" s="14" t="str">
        <f>VLOOKUP(tblMatrizDeAdyacencia[[#This Row],[NodoOrigen \ NodoDestino]],tblNodos[],2,FALSE)</f>
        <v>Actividad comercial</v>
      </c>
      <c r="C7" s="5" t="s">
        <v>39</v>
      </c>
      <c r="D7" s="43">
        <f>IF(OR(MatrizPonderadaCostes!D7=0,MatrizPonderadaValorOperativo!D7=0),0,MatrizPonderadaValorOperativo!D7/MatrizPonderadaCostes!D7)</f>
        <v>0</v>
      </c>
      <c r="E7" s="43">
        <f>IF(OR(MatrizPonderadaCostes!E7=0,MatrizPonderadaValorOperativo!E7=0),0,MatrizPonderadaValorOperativo!E7/MatrizPonderadaCostes!E7)</f>
        <v>0</v>
      </c>
      <c r="F7" s="43">
        <f>IF(OR(MatrizPonderadaCostes!F7=0,MatrizPonderadaValorOperativo!F7=0),0,MatrizPonderadaValorOperativo!F7/MatrizPonderadaCostes!F7)</f>
        <v>0</v>
      </c>
      <c r="G7" s="43">
        <f>IF(OR(MatrizPonderadaCostes!G7=0,MatrizPonderadaValorOperativo!G7=0),0,MatrizPonderadaValorOperativo!G7/MatrizPonderadaCostes!G7)</f>
        <v>0</v>
      </c>
      <c r="H7" s="43">
        <f>IF(OR(MatrizPonderadaCostes!H7=0,MatrizPonderadaValorOperativo!H7=0),0,MatrizPonderadaValorOperativo!H7/MatrizPonderadaCostes!H7)</f>
        <v>0</v>
      </c>
      <c r="I7" s="43">
        <f>IF(OR(MatrizPonderadaCostes!I7=0,MatrizPonderadaValorOperativo!I7=0),0,MatrizPonderadaValorOperativo!I7/MatrizPonderadaCostes!I7)</f>
        <v>0</v>
      </c>
      <c r="J7" s="43">
        <f>IF(OR(MatrizPonderadaCostes!J7=0,MatrizPonderadaValorOperativo!J7=0),0,MatrizPonderadaValorOperativo!J7/MatrizPonderadaCostes!J7)</f>
        <v>0</v>
      </c>
      <c r="K7" s="43">
        <f>IF(OR(MatrizPonderadaCostes!K7=0,MatrizPonderadaValorOperativo!K7=0),0,MatrizPonderadaValorOperativo!K7/MatrizPonderadaCostes!K7)</f>
        <v>2.6</v>
      </c>
      <c r="L7" s="43">
        <f>IF(OR(MatrizPonderadaCostes!L7=0,MatrizPonderadaValorOperativo!L7=0),0,MatrizPonderadaValorOperativo!L7/MatrizPonderadaCostes!L7)</f>
        <v>0</v>
      </c>
      <c r="M7" s="43">
        <f>IF(OR(MatrizPonderadaCostes!M7=0,MatrizPonderadaValorOperativo!M7=0),0,MatrizPonderadaValorOperativo!M7/MatrizPonderadaCostes!M7)</f>
        <v>0</v>
      </c>
      <c r="N7" s="43">
        <f>IF(OR(MatrizPonderadaCostes!N7=0,MatrizPonderadaValorOperativo!N7=0),0,MatrizPonderadaValorOperativo!N7/MatrizPonderadaCostes!N7)</f>
        <v>0</v>
      </c>
      <c r="O7" s="43">
        <f>IF(OR(MatrizPonderadaCostes!O7=0,MatrizPonderadaValorOperativo!O7=0),0,MatrizPonderadaValorOperativo!O7/MatrizPonderadaCostes!O7)</f>
        <v>0</v>
      </c>
      <c r="P7" s="43">
        <f>IF(OR(MatrizPonderadaCostes!P7=0,MatrizPonderadaValorOperativo!P7=0),0,MatrizPonderadaValorOperativo!P7/MatrizPonderadaCostes!P7)</f>
        <v>0</v>
      </c>
      <c r="Q7" s="43">
        <f>IF(OR(MatrizPonderadaCostes!Q7=0,MatrizPonderadaValorOperativo!Q7=0),0,MatrizPonderadaValorOperativo!Q7/MatrizPonderadaCostes!Q7)</f>
        <v>0</v>
      </c>
      <c r="R7" s="43">
        <f>IF(OR(MatrizPonderadaCostes!R7=0,MatrizPonderadaValorOperativo!R7=0),0,MatrizPonderadaValorOperativo!R7/MatrizPonderadaCostes!R7)</f>
        <v>0</v>
      </c>
      <c r="S7" s="43">
        <f>IF(OR(MatrizPonderadaCostes!S7=0,MatrizPonderadaValorOperativo!S7=0),0,MatrizPonderadaValorOperativo!S7/MatrizPonderadaCostes!S7)</f>
        <v>0</v>
      </c>
      <c r="T7" s="43">
        <f>IF(OR(MatrizPonderadaCostes!T7=0,MatrizPonderadaValorOperativo!T7=0),0,MatrizPonderadaValorOperativo!T7/MatrizPonderadaCostes!T7)</f>
        <v>0</v>
      </c>
      <c r="U7" s="43">
        <f>IF(OR(MatrizPonderadaCostes!U7=0,MatrizPonderadaValorOperativo!U7=0),0,MatrizPonderadaValorOperativo!U7/MatrizPonderadaCostes!U7)</f>
        <v>0</v>
      </c>
      <c r="V7" s="44">
        <f>IF(OR(MatrizPonderadaCostes!V7=0,MatrizPonderadaValorOperativo!V7=0),0,MatrizPonderadaValorOperativo!V7/MatrizPonderadaCostes!V7)</f>
        <v>0</v>
      </c>
      <c r="W7"/>
      <c r="X7" s="14" t="str">
        <f>VLOOKUP(tblMatrizDeAdyacencia[[#This Row],[NodoOrigen \ NodoDestino]],tblNodos[],2,FALSE)</f>
        <v>Actividad comercial</v>
      </c>
      <c r="Y7" s="5" t="s">
        <v>39</v>
      </c>
      <c r="Z7" s="43">
        <f>IF(tblMatrizDistancias[[#This Row],[NodoOrigen \ NodoDestino]]="O1",0,IF(tblMatrizTradeOff[[#This Row],[O1]]=0,9999,1/tblMatrizTradeOff[[#This Row],[O1]]))</f>
        <v>9999</v>
      </c>
      <c r="AA7" s="43">
        <f>IF(tblMatrizDistancias[[#This Row],[NodoOrigen \ NodoDestino]]="O2",0,IF(tblMatrizTradeOff[[#This Row],[O2]]=0,9999,1/tblMatrizTradeOff[[#This Row],[O2]]))</f>
        <v>9999</v>
      </c>
      <c r="AB7" s="43">
        <f>IF(tblMatrizDistancias[[#This Row],[NodoOrigen \ NodoDestino]]="O3",0,IF(tblMatrizTradeOff[[#This Row],[O3]]=0,9999,1/tblMatrizTradeOff[[#This Row],[O3]]))</f>
        <v>9999</v>
      </c>
      <c r="AC7" s="43">
        <f>IF(tblMatrizDistancias[[#This Row],[NodoOrigen \ NodoDestino]]="O4",0,IF(tblMatrizTradeOff[[#This Row],[O4]]=0,9999,1/tblMatrizTradeOff[[#This Row],[O4]]))</f>
        <v>0</v>
      </c>
      <c r="AD7" s="43">
        <f>IF(tblMatrizDistancias[[#This Row],[NodoOrigen \ NodoDestino]]="O5",0,IF(tblMatrizTradeOff[[#This Row],[O5]]=0,9999,1/tblMatrizTradeOff[[#This Row],[O5]]))</f>
        <v>9999</v>
      </c>
      <c r="AE7" s="43">
        <f>IF(tblMatrizDistancias[[#This Row],[NodoOrigen \ NodoDestino]]="O6",0,IF(tblMatrizTradeOff[[#This Row],[O6]]=0,9999,1/tblMatrizTradeOff[[#This Row],[O6]]))</f>
        <v>9999</v>
      </c>
      <c r="AF7" s="43">
        <f>IF(tblMatrizDistancias[[#This Row],[NodoOrigen \ NodoDestino]]="I1",0,IF(tblMatrizTradeOff[[#This Row],[I1]]=0,9999,1/tblMatrizTradeOff[[#This Row],[I1]]))</f>
        <v>9999</v>
      </c>
      <c r="AG7" s="43">
        <f>IF(tblMatrizDistancias[[#This Row],[NodoOrigen \ NodoDestino]]="I2",0,IF(tblMatrizTradeOff[[#This Row],[I2]]=0,9999,1/tblMatrizTradeOff[[#This Row],[I2]]))</f>
        <v>0.38461538461538458</v>
      </c>
      <c r="AH7" s="43">
        <f>IF(tblMatrizDistancias[[#This Row],[NodoOrigen \ NodoDestino]]="I3",0,IF(tblMatrizTradeOff[[#This Row],[I3]]=0,9999,1/tblMatrizTradeOff[[#This Row],[I3]]))</f>
        <v>9999</v>
      </c>
      <c r="AI7" s="43">
        <f>IF(tblMatrizDistancias[[#This Row],[NodoOrigen \ NodoDestino]]="I4",0,IF(tblMatrizTradeOff[[#This Row],[I4]]=0,9999,1/tblMatrizTradeOff[[#This Row],[I4]]))</f>
        <v>9999</v>
      </c>
      <c r="AJ7" s="43">
        <f>IF(tblMatrizDistancias[[#This Row],[NodoOrigen \ NodoDestino]]="I5",0,IF(tblMatrizTradeOff[[#This Row],[I5]]=0,9999,1/tblMatrizTradeOff[[#This Row],[I5]]))</f>
        <v>9999</v>
      </c>
      <c r="AK7" s="43">
        <f>IF(tblMatrizDistancias[[#This Row],[NodoOrigen \ NodoDestino]]="I6",0,IF(tblMatrizTradeOff[[#This Row],[I6]]=0,9999,1/tblMatrizTradeOff[[#This Row],[I6]]))</f>
        <v>9999</v>
      </c>
      <c r="AL7" s="43">
        <f>IF(tblMatrizDistancias[[#This Row],[NodoOrigen \ NodoDestino]]="I7",0,IF(tblMatrizTradeOff[[#This Row],[I7]]=0,9999,1/tblMatrizTradeOff[[#This Row],[I7]]))</f>
        <v>9999</v>
      </c>
      <c r="AM7" s="43">
        <f>IF(tblMatrizDistancias[[#This Row],[NodoOrigen \ NodoDestino]]="I8",0,IF(tblMatrizTradeOff[[#This Row],[I8]]=0,9999,1/tblMatrizTradeOff[[#This Row],[I8]]))</f>
        <v>9999</v>
      </c>
      <c r="AN7" s="43">
        <f>IF(tblMatrizDistancias[[#This Row],[NodoOrigen \ NodoDestino]]="I9",0,IF(tblMatrizTradeOff[[#This Row],[I9]]=0,9999,1/tblMatrizTradeOff[[#This Row],[I9]]))</f>
        <v>9999</v>
      </c>
      <c r="AO7" s="43">
        <f>IF(tblMatrizDistancias[[#This Row],[NodoOrigen \ NodoDestino]]="G1",0,IF(tblMatrizTradeOff[[#This Row],[G1]]=0,9999,1/tblMatrizTradeOff[[#This Row],[G1]]))</f>
        <v>9999</v>
      </c>
      <c r="AP7" s="43">
        <f>IF(tblMatrizDistancias[[#This Row],[NodoOrigen \ NodoDestino]]="G2",0,IF(tblMatrizTradeOff[[#This Row],[G2]]=0,9999,1/tblMatrizTradeOff[[#This Row],[G2]]))</f>
        <v>9999</v>
      </c>
      <c r="AQ7" s="43">
        <f>IF(tblMatrizDistancias[[#This Row],[NodoOrigen \ NodoDestino]]="G3",0,IF(tblMatrizTradeOff[[#This Row],[G3]]=0,9999,1/tblMatrizTradeOff[[#This Row],[G3]]))</f>
        <v>9999</v>
      </c>
      <c r="AR7" s="43">
        <f>IF(tblMatrizDistancias[[#This Row],[NodoOrigen \ NodoDestino]]="D",0,IF(tblMatrizTradeOff[[#This Row],[D]]=0,9999,1/tblMatrizTradeOff[[#This Row],[D]]))</f>
        <v>9999</v>
      </c>
    </row>
    <row r="8" spans="2:44" ht="17.25" customHeight="1" x14ac:dyDescent="0.25">
      <c r="B8" s="14" t="str">
        <f>VLOOKUP(tblMatrizDeAdyacencia[[#This Row],[NodoOrigen \ NodoDestino]],tblNodos[],2,FALSE)</f>
        <v>Criminalidad menor</v>
      </c>
      <c r="C8" s="5" t="s">
        <v>43</v>
      </c>
      <c r="D8" s="43">
        <f>IF(OR(MatrizPonderadaCostes!D8=0,MatrizPonderadaValorOperativo!D8=0),0,MatrizPonderadaValorOperativo!D8/MatrizPonderadaCostes!D8)</f>
        <v>0</v>
      </c>
      <c r="E8" s="43">
        <f>IF(OR(MatrizPonderadaCostes!E8=0,MatrizPonderadaValorOperativo!E8=0),0,MatrizPonderadaValorOperativo!E8/MatrizPonderadaCostes!E8)</f>
        <v>0</v>
      </c>
      <c r="F8" s="43">
        <f>IF(OR(MatrizPonderadaCostes!F8=0,MatrizPonderadaValorOperativo!F8=0),0,MatrizPonderadaValorOperativo!F8/MatrizPonderadaCostes!F8)</f>
        <v>0</v>
      </c>
      <c r="G8" s="43">
        <f>IF(OR(MatrizPonderadaCostes!G8=0,MatrizPonderadaValorOperativo!G8=0),0,MatrizPonderadaValorOperativo!G8/MatrizPonderadaCostes!G8)</f>
        <v>0</v>
      </c>
      <c r="H8" s="43">
        <f>IF(OR(MatrizPonderadaCostes!H8=0,MatrizPonderadaValorOperativo!H8=0),0,MatrizPonderadaValorOperativo!H8/MatrizPonderadaCostes!H8)</f>
        <v>0</v>
      </c>
      <c r="I8" s="43">
        <f>IF(OR(MatrizPonderadaCostes!I8=0,MatrizPonderadaValorOperativo!I8=0),0,MatrizPonderadaValorOperativo!I8/MatrizPonderadaCostes!I8)</f>
        <v>0</v>
      </c>
      <c r="J8" s="43">
        <f>IF(OR(MatrizPonderadaCostes!J8=0,MatrizPonderadaValorOperativo!J8=0),0,MatrizPonderadaValorOperativo!J8/MatrizPonderadaCostes!J8)</f>
        <v>0</v>
      </c>
      <c r="K8" s="43">
        <f>IF(OR(MatrizPonderadaCostes!K8=0,MatrizPonderadaValorOperativo!K8=0),0,MatrizPonderadaValorOperativo!K8/MatrizPonderadaCostes!K8)</f>
        <v>0</v>
      </c>
      <c r="L8" s="43">
        <f>IF(OR(MatrizPonderadaCostes!L8=0,MatrizPonderadaValorOperativo!L8=0),0,MatrizPonderadaValorOperativo!L8/MatrizPonderadaCostes!L8)</f>
        <v>3.2</v>
      </c>
      <c r="M8" s="43">
        <f>IF(OR(MatrizPonderadaCostes!M8=0,MatrizPonderadaValorOperativo!M8=0),0,MatrizPonderadaValorOperativo!M8/MatrizPonderadaCostes!M8)</f>
        <v>0</v>
      </c>
      <c r="N8" s="43">
        <f>IF(OR(MatrizPonderadaCostes!N8=0,MatrizPonderadaValorOperativo!N8=0),0,MatrizPonderadaValorOperativo!N8/MatrizPonderadaCostes!N8)</f>
        <v>0</v>
      </c>
      <c r="O8" s="43">
        <f>IF(OR(MatrizPonderadaCostes!O8=0,MatrizPonderadaValorOperativo!O8=0),0,MatrizPonderadaValorOperativo!O8/MatrizPonderadaCostes!O8)</f>
        <v>0</v>
      </c>
      <c r="P8" s="43">
        <f>IF(OR(MatrizPonderadaCostes!P8=0,MatrizPonderadaValorOperativo!P8=0),0,MatrizPonderadaValorOperativo!P8/MatrizPonderadaCostes!P8)</f>
        <v>0</v>
      </c>
      <c r="Q8" s="43">
        <f>IF(OR(MatrizPonderadaCostes!Q8=0,MatrizPonderadaValorOperativo!Q8=0),0,MatrizPonderadaValorOperativo!Q8/MatrizPonderadaCostes!Q8)</f>
        <v>0</v>
      </c>
      <c r="R8" s="43">
        <f>IF(OR(MatrizPonderadaCostes!R8=0,MatrizPonderadaValorOperativo!R8=0),0,MatrizPonderadaValorOperativo!R8/MatrizPonderadaCostes!R8)</f>
        <v>0</v>
      </c>
      <c r="S8" s="43">
        <f>IF(OR(MatrizPonderadaCostes!S8=0,MatrizPonderadaValorOperativo!S8=0),0,MatrizPonderadaValorOperativo!S8/MatrizPonderadaCostes!S8)</f>
        <v>0</v>
      </c>
      <c r="T8" s="43">
        <f>IF(OR(MatrizPonderadaCostes!T8=0,MatrizPonderadaValorOperativo!T8=0),0,MatrizPonderadaValorOperativo!T8/MatrizPonderadaCostes!T8)</f>
        <v>0</v>
      </c>
      <c r="U8" s="43">
        <f>IF(OR(MatrizPonderadaCostes!U8=0,MatrizPonderadaValorOperativo!U8=0),0,MatrizPonderadaValorOperativo!U8/MatrizPonderadaCostes!U8)</f>
        <v>0</v>
      </c>
      <c r="V8" s="44">
        <f>IF(OR(MatrizPonderadaCostes!V8=0,MatrizPonderadaValorOperativo!V8=0),0,MatrizPonderadaValorOperativo!V8/MatrizPonderadaCostes!V8)</f>
        <v>0</v>
      </c>
      <c r="W8"/>
      <c r="X8" s="14" t="str">
        <f>VLOOKUP(tblMatrizDeAdyacencia[[#This Row],[NodoOrigen \ NodoDestino]],tblNodos[],2,FALSE)</f>
        <v>Criminalidad menor</v>
      </c>
      <c r="Y8" s="5" t="s">
        <v>43</v>
      </c>
      <c r="Z8" s="43">
        <f>IF(tblMatrizDistancias[[#This Row],[NodoOrigen \ NodoDestino]]="O1",0,IF(tblMatrizTradeOff[[#This Row],[O1]]=0,9999,1/tblMatrizTradeOff[[#This Row],[O1]]))</f>
        <v>9999</v>
      </c>
      <c r="AA8" s="43">
        <f>IF(tblMatrizDistancias[[#This Row],[NodoOrigen \ NodoDestino]]="O2",0,IF(tblMatrizTradeOff[[#This Row],[O2]]=0,9999,1/tblMatrizTradeOff[[#This Row],[O2]]))</f>
        <v>9999</v>
      </c>
      <c r="AB8" s="43">
        <f>IF(tblMatrizDistancias[[#This Row],[NodoOrigen \ NodoDestino]]="O3",0,IF(tblMatrizTradeOff[[#This Row],[O3]]=0,9999,1/tblMatrizTradeOff[[#This Row],[O3]]))</f>
        <v>9999</v>
      </c>
      <c r="AC8" s="43">
        <f>IF(tblMatrizDistancias[[#This Row],[NodoOrigen \ NodoDestino]]="O4",0,IF(tblMatrizTradeOff[[#This Row],[O4]]=0,9999,1/tblMatrizTradeOff[[#This Row],[O4]]))</f>
        <v>9999</v>
      </c>
      <c r="AD8" s="43">
        <f>IF(tblMatrizDistancias[[#This Row],[NodoOrigen \ NodoDestino]]="O5",0,IF(tblMatrizTradeOff[[#This Row],[O5]]=0,9999,1/tblMatrizTradeOff[[#This Row],[O5]]))</f>
        <v>0</v>
      </c>
      <c r="AE8" s="43">
        <f>IF(tblMatrizDistancias[[#This Row],[NodoOrigen \ NodoDestino]]="O6",0,IF(tblMatrizTradeOff[[#This Row],[O6]]=0,9999,1/tblMatrizTradeOff[[#This Row],[O6]]))</f>
        <v>9999</v>
      </c>
      <c r="AF8" s="43">
        <f>IF(tblMatrizDistancias[[#This Row],[NodoOrigen \ NodoDestino]]="I1",0,IF(tblMatrizTradeOff[[#This Row],[I1]]=0,9999,1/tblMatrizTradeOff[[#This Row],[I1]]))</f>
        <v>9999</v>
      </c>
      <c r="AG8" s="43">
        <f>IF(tblMatrizDistancias[[#This Row],[NodoOrigen \ NodoDestino]]="I2",0,IF(tblMatrizTradeOff[[#This Row],[I2]]=0,9999,1/tblMatrizTradeOff[[#This Row],[I2]]))</f>
        <v>9999</v>
      </c>
      <c r="AH8" s="43">
        <f>IF(tblMatrizDistancias[[#This Row],[NodoOrigen \ NodoDestino]]="I3",0,IF(tblMatrizTradeOff[[#This Row],[I3]]=0,9999,1/tblMatrizTradeOff[[#This Row],[I3]]))</f>
        <v>0.3125</v>
      </c>
      <c r="AI8" s="43">
        <f>IF(tblMatrizDistancias[[#This Row],[NodoOrigen \ NodoDestino]]="I4",0,IF(tblMatrizTradeOff[[#This Row],[I4]]=0,9999,1/tblMatrizTradeOff[[#This Row],[I4]]))</f>
        <v>9999</v>
      </c>
      <c r="AJ8" s="43">
        <f>IF(tblMatrizDistancias[[#This Row],[NodoOrigen \ NodoDestino]]="I5",0,IF(tblMatrizTradeOff[[#This Row],[I5]]=0,9999,1/tblMatrizTradeOff[[#This Row],[I5]]))</f>
        <v>9999</v>
      </c>
      <c r="AK8" s="43">
        <f>IF(tblMatrizDistancias[[#This Row],[NodoOrigen \ NodoDestino]]="I6",0,IF(tblMatrizTradeOff[[#This Row],[I6]]=0,9999,1/tblMatrizTradeOff[[#This Row],[I6]]))</f>
        <v>9999</v>
      </c>
      <c r="AL8" s="43">
        <f>IF(tblMatrizDistancias[[#This Row],[NodoOrigen \ NodoDestino]]="I7",0,IF(tblMatrizTradeOff[[#This Row],[I7]]=0,9999,1/tblMatrizTradeOff[[#This Row],[I7]]))</f>
        <v>9999</v>
      </c>
      <c r="AM8" s="43">
        <f>IF(tblMatrizDistancias[[#This Row],[NodoOrigen \ NodoDestino]]="I8",0,IF(tblMatrizTradeOff[[#This Row],[I8]]=0,9999,1/tblMatrizTradeOff[[#This Row],[I8]]))</f>
        <v>9999</v>
      </c>
      <c r="AN8" s="43">
        <f>IF(tblMatrizDistancias[[#This Row],[NodoOrigen \ NodoDestino]]="I9",0,IF(tblMatrizTradeOff[[#This Row],[I9]]=0,9999,1/tblMatrizTradeOff[[#This Row],[I9]]))</f>
        <v>9999</v>
      </c>
      <c r="AO8" s="43">
        <f>IF(tblMatrizDistancias[[#This Row],[NodoOrigen \ NodoDestino]]="G1",0,IF(tblMatrizTradeOff[[#This Row],[G1]]=0,9999,1/tblMatrizTradeOff[[#This Row],[G1]]))</f>
        <v>9999</v>
      </c>
      <c r="AP8" s="43">
        <f>IF(tblMatrizDistancias[[#This Row],[NodoOrigen \ NodoDestino]]="G2",0,IF(tblMatrizTradeOff[[#This Row],[G2]]=0,9999,1/tblMatrizTradeOff[[#This Row],[G2]]))</f>
        <v>9999</v>
      </c>
      <c r="AQ8" s="43">
        <f>IF(tblMatrizDistancias[[#This Row],[NodoOrigen \ NodoDestino]]="G3",0,IF(tblMatrizTradeOff[[#This Row],[G3]]=0,9999,1/tblMatrizTradeOff[[#This Row],[G3]]))</f>
        <v>9999</v>
      </c>
      <c r="AR8" s="43">
        <f>IF(tblMatrizDistancias[[#This Row],[NodoOrigen \ NodoDestino]]="D",0,IF(tblMatrizTradeOff[[#This Row],[D]]=0,9999,1/tblMatrizTradeOff[[#This Row],[D]]))</f>
        <v>9999</v>
      </c>
    </row>
    <row r="9" spans="2:44" ht="17.25" customHeight="1" x14ac:dyDescent="0.25">
      <c r="B9" s="14" t="str">
        <f>VLOOKUP(tblMatrizDeAdyacencia[[#This Row],[NodoOrigen \ NodoDestino]],tblNodos[],2,FALSE)</f>
        <v>Aportaciones individuales</v>
      </c>
      <c r="C9" s="5" t="s">
        <v>46</v>
      </c>
      <c r="D9" s="43">
        <f>IF(OR(MatrizPonderadaCostes!D9=0,MatrizPonderadaValorOperativo!D9=0),0,MatrizPonderadaValorOperativo!D9/MatrizPonderadaCostes!D9)</f>
        <v>0</v>
      </c>
      <c r="E9" s="43">
        <f>IF(OR(MatrizPonderadaCostes!E9=0,MatrizPonderadaValorOperativo!E9=0),0,MatrizPonderadaValorOperativo!E9/MatrizPonderadaCostes!E9)</f>
        <v>0</v>
      </c>
      <c r="F9" s="43">
        <f>IF(OR(MatrizPonderadaCostes!F9=0,MatrizPonderadaValorOperativo!F9=0),0,MatrizPonderadaValorOperativo!F9/MatrizPonderadaCostes!F9)</f>
        <v>0</v>
      </c>
      <c r="G9" s="43">
        <f>IF(OR(MatrizPonderadaCostes!G9=0,MatrizPonderadaValorOperativo!G9=0),0,MatrizPonderadaValorOperativo!G9/MatrizPonderadaCostes!G9)</f>
        <v>0</v>
      </c>
      <c r="H9" s="43">
        <f>IF(OR(MatrizPonderadaCostes!H9=0,MatrizPonderadaValorOperativo!H9=0),0,MatrizPonderadaValorOperativo!H9/MatrizPonderadaCostes!H9)</f>
        <v>0</v>
      </c>
      <c r="I9" s="43">
        <f>IF(OR(MatrizPonderadaCostes!I9=0,MatrizPonderadaValorOperativo!I9=0),0,MatrizPonderadaValorOperativo!I9/MatrizPonderadaCostes!I9)</f>
        <v>0</v>
      </c>
      <c r="J9" s="43">
        <f>IF(OR(MatrizPonderadaCostes!J9=0,MatrizPonderadaValorOperativo!J9=0),0,MatrizPonderadaValorOperativo!J9/MatrizPonderadaCostes!J9)</f>
        <v>0</v>
      </c>
      <c r="K9" s="43">
        <f>IF(OR(MatrizPonderadaCostes!K9=0,MatrizPonderadaValorOperativo!K9=0),0,MatrizPonderadaValorOperativo!K9/MatrizPonderadaCostes!K9)</f>
        <v>0</v>
      </c>
      <c r="L9" s="43">
        <f>IF(OR(MatrizPonderadaCostes!L9=0,MatrizPonderadaValorOperativo!L9=0),0,MatrizPonderadaValorOperativo!L9/MatrizPonderadaCostes!L9)</f>
        <v>2.8</v>
      </c>
      <c r="M9" s="43">
        <f>IF(OR(MatrizPonderadaCostes!M9=0,MatrizPonderadaValorOperativo!M9=0),0,MatrizPonderadaValorOperativo!M9/MatrizPonderadaCostes!M9)</f>
        <v>0</v>
      </c>
      <c r="N9" s="43">
        <f>IF(OR(MatrizPonderadaCostes!N9=0,MatrizPonderadaValorOperativo!N9=0),0,MatrizPonderadaValorOperativo!N9/MatrizPonderadaCostes!N9)</f>
        <v>0</v>
      </c>
      <c r="O9" s="43">
        <f>IF(OR(MatrizPonderadaCostes!O9=0,MatrizPonderadaValorOperativo!O9=0),0,MatrizPonderadaValorOperativo!O9/MatrizPonderadaCostes!O9)</f>
        <v>0</v>
      </c>
      <c r="P9" s="43">
        <f>IF(OR(MatrizPonderadaCostes!P9=0,MatrizPonderadaValorOperativo!P9=0),0,MatrizPonderadaValorOperativo!P9/MatrizPonderadaCostes!P9)</f>
        <v>0</v>
      </c>
      <c r="Q9" s="43">
        <f>IF(OR(MatrizPonderadaCostes!Q9=0,MatrizPonderadaValorOperativo!Q9=0),0,MatrizPonderadaValorOperativo!Q9/MatrizPonderadaCostes!Q9)</f>
        <v>0</v>
      </c>
      <c r="R9" s="43">
        <f>IF(OR(MatrizPonderadaCostes!R9=0,MatrizPonderadaValorOperativo!R9=0),0,MatrizPonderadaValorOperativo!R9/MatrizPonderadaCostes!R9)</f>
        <v>0</v>
      </c>
      <c r="S9" s="43">
        <f>IF(OR(MatrizPonderadaCostes!S9=0,MatrizPonderadaValorOperativo!S9=0),0,MatrizPonderadaValorOperativo!S9/MatrizPonderadaCostes!S9)</f>
        <v>0</v>
      </c>
      <c r="T9" s="43">
        <f>IF(OR(MatrizPonderadaCostes!T9=0,MatrizPonderadaValorOperativo!T9=0),0,MatrizPonderadaValorOperativo!T9/MatrizPonderadaCostes!T9)</f>
        <v>0</v>
      </c>
      <c r="U9" s="43">
        <f>IF(OR(MatrizPonderadaCostes!U9=0,MatrizPonderadaValorOperativo!U9=0),0,MatrizPonderadaValorOperativo!U9/MatrizPonderadaCostes!U9)</f>
        <v>0</v>
      </c>
      <c r="V9" s="44">
        <f>IF(OR(MatrizPonderadaCostes!V9=0,MatrizPonderadaValorOperativo!V9=0),0,MatrizPonderadaValorOperativo!V9/MatrizPonderadaCostes!V9)</f>
        <v>0</v>
      </c>
      <c r="W9"/>
      <c r="X9" s="14" t="str">
        <f>VLOOKUP(tblMatrizDeAdyacencia[[#This Row],[NodoOrigen \ NodoDestino]],tblNodos[],2,FALSE)</f>
        <v>Aportaciones individuales</v>
      </c>
      <c r="Y9" s="5" t="s">
        <v>46</v>
      </c>
      <c r="Z9" s="43">
        <f>IF(tblMatrizDistancias[[#This Row],[NodoOrigen \ NodoDestino]]="O1",0,IF(tblMatrizTradeOff[[#This Row],[O1]]=0,9999,1/tblMatrizTradeOff[[#This Row],[O1]]))</f>
        <v>9999</v>
      </c>
      <c r="AA9" s="43">
        <f>IF(tblMatrizDistancias[[#This Row],[NodoOrigen \ NodoDestino]]="O2",0,IF(tblMatrizTradeOff[[#This Row],[O2]]=0,9999,1/tblMatrizTradeOff[[#This Row],[O2]]))</f>
        <v>9999</v>
      </c>
      <c r="AB9" s="43">
        <f>IF(tblMatrizDistancias[[#This Row],[NodoOrigen \ NodoDestino]]="O3",0,IF(tblMatrizTradeOff[[#This Row],[O3]]=0,9999,1/tblMatrizTradeOff[[#This Row],[O3]]))</f>
        <v>9999</v>
      </c>
      <c r="AC9" s="43">
        <f>IF(tblMatrizDistancias[[#This Row],[NodoOrigen \ NodoDestino]]="O4",0,IF(tblMatrizTradeOff[[#This Row],[O4]]=0,9999,1/tblMatrizTradeOff[[#This Row],[O4]]))</f>
        <v>9999</v>
      </c>
      <c r="AD9" s="43">
        <f>IF(tblMatrizDistancias[[#This Row],[NodoOrigen \ NodoDestino]]="O5",0,IF(tblMatrizTradeOff[[#This Row],[O5]]=0,9999,1/tblMatrizTradeOff[[#This Row],[O5]]))</f>
        <v>9999</v>
      </c>
      <c r="AE9" s="43">
        <f>IF(tblMatrizDistancias[[#This Row],[NodoOrigen \ NodoDestino]]="O6",0,IF(tblMatrizTradeOff[[#This Row],[O6]]=0,9999,1/tblMatrizTradeOff[[#This Row],[O6]]))</f>
        <v>0</v>
      </c>
      <c r="AF9" s="43">
        <f>IF(tblMatrizDistancias[[#This Row],[NodoOrigen \ NodoDestino]]="I1",0,IF(tblMatrizTradeOff[[#This Row],[I1]]=0,9999,1/tblMatrizTradeOff[[#This Row],[I1]]))</f>
        <v>9999</v>
      </c>
      <c r="AG9" s="43">
        <f>IF(tblMatrizDistancias[[#This Row],[NodoOrigen \ NodoDestino]]="I2",0,IF(tblMatrizTradeOff[[#This Row],[I2]]=0,9999,1/tblMatrizTradeOff[[#This Row],[I2]]))</f>
        <v>9999</v>
      </c>
      <c r="AH9" s="43">
        <f>IF(tblMatrizDistancias[[#This Row],[NodoOrigen \ NodoDestino]]="I3",0,IF(tblMatrizTradeOff[[#This Row],[I3]]=0,9999,1/tblMatrizTradeOff[[#This Row],[I3]]))</f>
        <v>0.35714285714285715</v>
      </c>
      <c r="AI9" s="43">
        <f>IF(tblMatrizDistancias[[#This Row],[NodoOrigen \ NodoDestino]]="I4",0,IF(tblMatrizTradeOff[[#This Row],[I4]]=0,9999,1/tblMatrizTradeOff[[#This Row],[I4]]))</f>
        <v>9999</v>
      </c>
      <c r="AJ9" s="43">
        <f>IF(tblMatrizDistancias[[#This Row],[NodoOrigen \ NodoDestino]]="I5",0,IF(tblMatrizTradeOff[[#This Row],[I5]]=0,9999,1/tblMatrizTradeOff[[#This Row],[I5]]))</f>
        <v>9999</v>
      </c>
      <c r="AK9" s="43">
        <f>IF(tblMatrizDistancias[[#This Row],[NodoOrigen \ NodoDestino]]="I6",0,IF(tblMatrizTradeOff[[#This Row],[I6]]=0,9999,1/tblMatrizTradeOff[[#This Row],[I6]]))</f>
        <v>9999</v>
      </c>
      <c r="AL9" s="43">
        <f>IF(tblMatrizDistancias[[#This Row],[NodoOrigen \ NodoDestino]]="I7",0,IF(tblMatrizTradeOff[[#This Row],[I7]]=0,9999,1/tblMatrizTradeOff[[#This Row],[I7]]))</f>
        <v>9999</v>
      </c>
      <c r="AM9" s="43">
        <f>IF(tblMatrizDistancias[[#This Row],[NodoOrigen \ NodoDestino]]="I8",0,IF(tblMatrizTradeOff[[#This Row],[I8]]=0,9999,1/tblMatrizTradeOff[[#This Row],[I8]]))</f>
        <v>9999</v>
      </c>
      <c r="AN9" s="43">
        <f>IF(tblMatrizDistancias[[#This Row],[NodoOrigen \ NodoDestino]]="I9",0,IF(tblMatrizTradeOff[[#This Row],[I9]]=0,9999,1/tblMatrizTradeOff[[#This Row],[I9]]))</f>
        <v>9999</v>
      </c>
      <c r="AO9" s="43">
        <f>IF(tblMatrizDistancias[[#This Row],[NodoOrigen \ NodoDestino]]="G1",0,IF(tblMatrizTradeOff[[#This Row],[G1]]=0,9999,1/tblMatrizTradeOff[[#This Row],[G1]]))</f>
        <v>9999</v>
      </c>
      <c r="AP9" s="43">
        <f>IF(tblMatrizDistancias[[#This Row],[NodoOrigen \ NodoDestino]]="G2",0,IF(tblMatrizTradeOff[[#This Row],[G2]]=0,9999,1/tblMatrizTradeOff[[#This Row],[G2]]))</f>
        <v>9999</v>
      </c>
      <c r="AQ9" s="43">
        <f>IF(tblMatrizDistancias[[#This Row],[NodoOrigen \ NodoDestino]]="G3",0,IF(tblMatrizTradeOff[[#This Row],[G3]]=0,9999,1/tblMatrizTradeOff[[#This Row],[G3]]))</f>
        <v>9999</v>
      </c>
      <c r="AR9" s="43">
        <f>IF(tblMatrizDistancias[[#This Row],[NodoOrigen \ NodoDestino]]="D",0,IF(tblMatrizTradeOff[[#This Row],[D]]=0,9999,1/tblMatrizTradeOff[[#This Row],[D]]))</f>
        <v>9999</v>
      </c>
    </row>
    <row r="10" spans="2:44" ht="17.25" customHeight="1" x14ac:dyDescent="0.25">
      <c r="B10" s="14" t="str">
        <f>VLOOKUP(tblMatrizDeAdyacencia[[#This Row],[NodoOrigen \ NodoDestino]],tblNodos[],2,FALSE)</f>
        <v>Colector local principal</v>
      </c>
      <c r="C10" s="5" t="s">
        <v>24</v>
      </c>
      <c r="D10" s="43">
        <f>IF(OR(MatrizPonderadaCostes!D10=0,MatrizPonderadaValorOperativo!D10=0),0,MatrizPonderadaValorOperativo!D10/MatrizPonderadaCostes!D10)</f>
        <v>0</v>
      </c>
      <c r="E10" s="43">
        <f>IF(OR(MatrizPonderadaCostes!E10=0,MatrizPonderadaValorOperativo!E10=0),0,MatrizPonderadaValorOperativo!E10/MatrizPonderadaCostes!E10)</f>
        <v>0</v>
      </c>
      <c r="F10" s="43">
        <f>IF(OR(MatrizPonderadaCostes!F10=0,MatrizPonderadaValorOperativo!F10=0),0,MatrizPonderadaValorOperativo!F10/MatrizPonderadaCostes!F10)</f>
        <v>0</v>
      </c>
      <c r="G10" s="43">
        <f>IF(OR(MatrizPonderadaCostes!G10=0,MatrizPonderadaValorOperativo!G10=0),0,MatrizPonderadaValorOperativo!G10/MatrizPonderadaCostes!G10)</f>
        <v>0</v>
      </c>
      <c r="H10" s="43">
        <f>IF(OR(MatrizPonderadaCostes!H10=0,MatrizPonderadaValorOperativo!H10=0),0,MatrizPonderadaValorOperativo!H10/MatrizPonderadaCostes!H10)</f>
        <v>0</v>
      </c>
      <c r="I10" s="43">
        <f>IF(OR(MatrizPonderadaCostes!I10=0,MatrizPonderadaValorOperativo!I10=0),0,MatrizPonderadaValorOperativo!I10/MatrizPonderadaCostes!I10)</f>
        <v>0</v>
      </c>
      <c r="J10" s="43">
        <f>IF(OR(MatrizPonderadaCostes!J10=0,MatrizPonderadaValorOperativo!J10=0),0,MatrizPonderadaValorOperativo!J10/MatrizPonderadaCostes!J10)</f>
        <v>0</v>
      </c>
      <c r="K10" s="43">
        <f>IF(OR(MatrizPonderadaCostes!K10=0,MatrizPonderadaValorOperativo!K10=0),0,MatrizPonderadaValorOperativo!K10/MatrizPonderadaCostes!K10)</f>
        <v>0</v>
      </c>
      <c r="L10" s="43">
        <f>IF(OR(MatrizPonderadaCostes!L10=0,MatrizPonderadaValorOperativo!L10=0),0,MatrizPonderadaValorOperativo!L10/MatrizPonderadaCostes!L10)</f>
        <v>0</v>
      </c>
      <c r="M10" s="43">
        <f>IF(OR(MatrizPonderadaCostes!M10=0,MatrizPonderadaValorOperativo!M10=0),0,MatrizPonderadaValorOperativo!M10/MatrizPonderadaCostes!M10)</f>
        <v>3.6</v>
      </c>
      <c r="N10" s="43">
        <f>IF(OR(MatrizPonderadaCostes!N10=0,MatrizPonderadaValorOperativo!N10=0),0,MatrizPonderadaValorOperativo!N10/MatrizPonderadaCostes!N10)</f>
        <v>3.6666666666666665</v>
      </c>
      <c r="O10" s="43">
        <f>IF(OR(MatrizPonderadaCostes!O10=0,MatrizPonderadaValorOperativo!O10=0),0,MatrizPonderadaValorOperativo!O10/MatrizPonderadaCostes!O10)</f>
        <v>0</v>
      </c>
      <c r="P10" s="43">
        <f>IF(OR(MatrizPonderadaCostes!P10=0,MatrizPonderadaValorOperativo!P10=0),0,MatrizPonderadaValorOperativo!P10/MatrizPonderadaCostes!P10)</f>
        <v>0</v>
      </c>
      <c r="Q10" s="43">
        <f>IF(OR(MatrizPonderadaCostes!Q10=0,MatrizPonderadaValorOperativo!Q10=0),0,MatrizPonderadaValorOperativo!Q10/MatrizPonderadaCostes!Q10)</f>
        <v>0</v>
      </c>
      <c r="R10" s="43">
        <f>IF(OR(MatrizPonderadaCostes!R10=0,MatrizPonderadaValorOperativo!R10=0),0,MatrizPonderadaValorOperativo!R10/MatrizPonderadaCostes!R10)</f>
        <v>0</v>
      </c>
      <c r="S10" s="43">
        <f>IF(OR(MatrizPonderadaCostes!S10=0,MatrizPonderadaValorOperativo!S10=0),0,MatrizPonderadaValorOperativo!S10/MatrizPonderadaCostes!S10)</f>
        <v>0</v>
      </c>
      <c r="T10" s="43">
        <f>IF(OR(MatrizPonderadaCostes!T10=0,MatrizPonderadaValorOperativo!T10=0),0,MatrizPonderadaValorOperativo!T10/MatrizPonderadaCostes!T10)</f>
        <v>0</v>
      </c>
      <c r="U10" s="43">
        <f>IF(OR(MatrizPonderadaCostes!U10=0,MatrizPonderadaValorOperativo!U10=0),0,MatrizPonderadaValorOperativo!U10/MatrizPonderadaCostes!U10)</f>
        <v>0</v>
      </c>
      <c r="V10" s="44">
        <f>IF(OR(MatrizPonderadaCostes!V10=0,MatrizPonderadaValorOperativo!V10=0),0,MatrizPonderadaValorOperativo!V10/MatrizPonderadaCostes!V10)</f>
        <v>0</v>
      </c>
      <c r="W10"/>
      <c r="X10" s="14" t="str">
        <f>VLOOKUP(tblMatrizDeAdyacencia[[#This Row],[NodoOrigen \ NodoDestino]],tblNodos[],2,FALSE)</f>
        <v>Colector local principal</v>
      </c>
      <c r="Y10" s="5" t="s">
        <v>24</v>
      </c>
      <c r="Z10" s="43">
        <f>IF(tblMatrizDistancias[[#This Row],[NodoOrigen \ NodoDestino]]="O1",0,IF(tblMatrizTradeOff[[#This Row],[O1]]=0,9999,1/tblMatrizTradeOff[[#This Row],[O1]]))</f>
        <v>9999</v>
      </c>
      <c r="AA10" s="43">
        <f>IF(tblMatrizDistancias[[#This Row],[NodoOrigen \ NodoDestino]]="O2",0,IF(tblMatrizTradeOff[[#This Row],[O2]]=0,9999,1/tblMatrizTradeOff[[#This Row],[O2]]))</f>
        <v>9999</v>
      </c>
      <c r="AB10" s="43">
        <f>IF(tblMatrizDistancias[[#This Row],[NodoOrigen \ NodoDestino]]="O3",0,IF(tblMatrizTradeOff[[#This Row],[O3]]=0,9999,1/tblMatrizTradeOff[[#This Row],[O3]]))</f>
        <v>9999</v>
      </c>
      <c r="AC10" s="43">
        <f>IF(tblMatrizDistancias[[#This Row],[NodoOrigen \ NodoDestino]]="O4",0,IF(tblMatrizTradeOff[[#This Row],[O4]]=0,9999,1/tblMatrizTradeOff[[#This Row],[O4]]))</f>
        <v>9999</v>
      </c>
      <c r="AD10" s="43">
        <f>IF(tblMatrizDistancias[[#This Row],[NodoOrigen \ NodoDestino]]="O5",0,IF(tblMatrizTradeOff[[#This Row],[O5]]=0,9999,1/tblMatrizTradeOff[[#This Row],[O5]]))</f>
        <v>9999</v>
      </c>
      <c r="AE10" s="43">
        <f>IF(tblMatrizDistancias[[#This Row],[NodoOrigen \ NodoDestino]]="O6",0,IF(tblMatrizTradeOff[[#This Row],[O6]]=0,9999,1/tblMatrizTradeOff[[#This Row],[O6]]))</f>
        <v>9999</v>
      </c>
      <c r="AF10" s="43">
        <f>IF(tblMatrizDistancias[[#This Row],[NodoOrigen \ NodoDestino]]="I1",0,IF(tblMatrizTradeOff[[#This Row],[I1]]=0,9999,1/tblMatrizTradeOff[[#This Row],[I1]]))</f>
        <v>0</v>
      </c>
      <c r="AG10" s="43">
        <f>IF(tblMatrizDistancias[[#This Row],[NodoOrigen \ NodoDestino]]="I2",0,IF(tblMatrizTradeOff[[#This Row],[I2]]=0,9999,1/tblMatrizTradeOff[[#This Row],[I2]]))</f>
        <v>9999</v>
      </c>
      <c r="AH10" s="43">
        <f>IF(tblMatrizDistancias[[#This Row],[NodoOrigen \ NodoDestino]]="I3",0,IF(tblMatrizTradeOff[[#This Row],[I3]]=0,9999,1/tblMatrizTradeOff[[#This Row],[I3]]))</f>
        <v>9999</v>
      </c>
      <c r="AI10" s="43">
        <f>IF(tblMatrizDistancias[[#This Row],[NodoOrigen \ NodoDestino]]="I4",0,IF(tblMatrizTradeOff[[#This Row],[I4]]=0,9999,1/tblMatrizTradeOff[[#This Row],[I4]]))</f>
        <v>0.27777777777777779</v>
      </c>
      <c r="AJ10" s="43">
        <f>IF(tblMatrizDistancias[[#This Row],[NodoOrigen \ NodoDestino]]="I5",0,IF(tblMatrizTradeOff[[#This Row],[I5]]=0,9999,1/tblMatrizTradeOff[[#This Row],[I5]]))</f>
        <v>0.27272727272727276</v>
      </c>
      <c r="AK10" s="43">
        <f>IF(tblMatrizDistancias[[#This Row],[NodoOrigen \ NodoDestino]]="I6",0,IF(tblMatrizTradeOff[[#This Row],[I6]]=0,9999,1/tblMatrizTradeOff[[#This Row],[I6]]))</f>
        <v>9999</v>
      </c>
      <c r="AL10" s="43">
        <f>IF(tblMatrizDistancias[[#This Row],[NodoOrigen \ NodoDestino]]="I7",0,IF(tblMatrizTradeOff[[#This Row],[I7]]=0,9999,1/tblMatrizTradeOff[[#This Row],[I7]]))</f>
        <v>9999</v>
      </c>
      <c r="AM10" s="43">
        <f>IF(tblMatrizDistancias[[#This Row],[NodoOrigen \ NodoDestino]]="I8",0,IF(tblMatrizTradeOff[[#This Row],[I8]]=0,9999,1/tblMatrizTradeOff[[#This Row],[I8]]))</f>
        <v>9999</v>
      </c>
      <c r="AN10" s="43">
        <f>IF(tblMatrizDistancias[[#This Row],[NodoOrigen \ NodoDestino]]="I9",0,IF(tblMatrizTradeOff[[#This Row],[I9]]=0,9999,1/tblMatrizTradeOff[[#This Row],[I9]]))</f>
        <v>9999</v>
      </c>
      <c r="AO10" s="43">
        <f>IF(tblMatrizDistancias[[#This Row],[NodoOrigen \ NodoDestino]]="G1",0,IF(tblMatrizTradeOff[[#This Row],[G1]]=0,9999,1/tblMatrizTradeOff[[#This Row],[G1]]))</f>
        <v>9999</v>
      </c>
      <c r="AP10" s="43">
        <f>IF(tblMatrizDistancias[[#This Row],[NodoOrigen \ NodoDestino]]="G2",0,IF(tblMatrizTradeOff[[#This Row],[G2]]=0,9999,1/tblMatrizTradeOff[[#This Row],[G2]]))</f>
        <v>9999</v>
      </c>
      <c r="AQ10" s="43">
        <f>IF(tblMatrizDistancias[[#This Row],[NodoOrigen \ NodoDestino]]="G3",0,IF(tblMatrizTradeOff[[#This Row],[G3]]=0,9999,1/tblMatrizTradeOff[[#This Row],[G3]]))</f>
        <v>9999</v>
      </c>
      <c r="AR10" s="43">
        <f>IF(tblMatrizDistancias[[#This Row],[NodoOrigen \ NodoDestino]]="D",0,IF(tblMatrizTradeOff[[#This Row],[D]]=0,9999,1/tblMatrizTradeOff[[#This Row],[D]]))</f>
        <v>9999</v>
      </c>
    </row>
    <row r="11" spans="2:44" ht="17.25" customHeight="1" x14ac:dyDescent="0.25">
      <c r="B11" s="14" t="str">
        <f>VLOOKUP(tblMatrizDeAdyacencia[[#This Row],[NodoOrigen \ NodoDestino]],tblNodos[],2,FALSE)</f>
        <v>Colector local secundario</v>
      </c>
      <c r="C11" s="5" t="s">
        <v>32</v>
      </c>
      <c r="D11" s="43">
        <f>IF(OR(MatrizPonderadaCostes!D11=0,MatrizPonderadaValorOperativo!D11=0),0,MatrizPonderadaValorOperativo!D11/MatrizPonderadaCostes!D11)</f>
        <v>0</v>
      </c>
      <c r="E11" s="43">
        <f>IF(OR(MatrizPonderadaCostes!E11=0,MatrizPonderadaValorOperativo!E11=0),0,MatrizPonderadaValorOperativo!E11/MatrizPonderadaCostes!E11)</f>
        <v>0</v>
      </c>
      <c r="F11" s="43">
        <f>IF(OR(MatrizPonderadaCostes!F11=0,MatrizPonderadaValorOperativo!F11=0),0,MatrizPonderadaValorOperativo!F11/MatrizPonderadaCostes!F11)</f>
        <v>0</v>
      </c>
      <c r="G11" s="43">
        <f>IF(OR(MatrizPonderadaCostes!G11=0,MatrizPonderadaValorOperativo!G11=0),0,MatrizPonderadaValorOperativo!G11/MatrizPonderadaCostes!G11)</f>
        <v>0</v>
      </c>
      <c r="H11" s="43">
        <f>IF(OR(MatrizPonderadaCostes!H11=0,MatrizPonderadaValorOperativo!H11=0),0,MatrizPonderadaValorOperativo!H11/MatrizPonderadaCostes!H11)</f>
        <v>0</v>
      </c>
      <c r="I11" s="43">
        <f>IF(OR(MatrizPonderadaCostes!I11=0,MatrizPonderadaValorOperativo!I11=0),0,MatrizPonderadaValorOperativo!I11/MatrizPonderadaCostes!I11)</f>
        <v>0</v>
      </c>
      <c r="J11" s="43">
        <f>IF(OR(MatrizPonderadaCostes!J11=0,MatrizPonderadaValorOperativo!J11=0),0,MatrizPonderadaValorOperativo!J11/MatrizPonderadaCostes!J11)</f>
        <v>0</v>
      </c>
      <c r="K11" s="43">
        <f>IF(OR(MatrizPonderadaCostes!K11=0,MatrizPonderadaValorOperativo!K11=0),0,MatrizPonderadaValorOperativo!K11/MatrizPonderadaCostes!K11)</f>
        <v>0</v>
      </c>
      <c r="L11" s="43">
        <f>IF(OR(MatrizPonderadaCostes!L11=0,MatrizPonderadaValorOperativo!L11=0),0,MatrizPonderadaValorOperativo!L11/MatrizPonderadaCostes!L11)</f>
        <v>0</v>
      </c>
      <c r="M11" s="43">
        <f>IF(OR(MatrizPonderadaCostes!M11=0,MatrizPonderadaValorOperativo!M11=0),0,MatrizPonderadaValorOperativo!M11/MatrizPonderadaCostes!M11)</f>
        <v>5.666666666666667</v>
      </c>
      <c r="N11" s="43">
        <f>IF(OR(MatrizPonderadaCostes!N11=0,MatrizPonderadaValorOperativo!N11=0),0,MatrizPonderadaValorOperativo!N11/MatrizPonderadaCostes!N11)</f>
        <v>0</v>
      </c>
      <c r="O11" s="43">
        <f>IF(OR(MatrizPonderadaCostes!O11=0,MatrizPonderadaValorOperativo!O11=0),0,MatrizPonderadaValorOperativo!O11/MatrizPonderadaCostes!O11)</f>
        <v>4.666666666666667</v>
      </c>
      <c r="P11" s="43">
        <f>IF(OR(MatrizPonderadaCostes!P11=0,MatrizPonderadaValorOperativo!P11=0),0,MatrizPonderadaValorOperativo!P11/MatrizPonderadaCostes!P11)</f>
        <v>0</v>
      </c>
      <c r="Q11" s="43">
        <f>IF(OR(MatrizPonderadaCostes!Q11=0,MatrizPonderadaValorOperativo!Q11=0),0,MatrizPonderadaValorOperativo!Q11/MatrizPonderadaCostes!Q11)</f>
        <v>0</v>
      </c>
      <c r="R11" s="43">
        <f>IF(OR(MatrizPonderadaCostes!R11=0,MatrizPonderadaValorOperativo!R11=0),0,MatrizPonderadaValorOperativo!R11/MatrizPonderadaCostes!R11)</f>
        <v>0</v>
      </c>
      <c r="S11" s="43">
        <f>IF(OR(MatrizPonderadaCostes!S11=0,MatrizPonderadaValorOperativo!S11=0),0,MatrizPonderadaValorOperativo!S11/MatrizPonderadaCostes!S11)</f>
        <v>0</v>
      </c>
      <c r="T11" s="43">
        <f>IF(OR(MatrizPonderadaCostes!T11=0,MatrizPonderadaValorOperativo!T11=0),0,MatrizPonderadaValorOperativo!T11/MatrizPonderadaCostes!T11)</f>
        <v>0</v>
      </c>
      <c r="U11" s="43">
        <f>IF(OR(MatrizPonderadaCostes!U11=0,MatrizPonderadaValorOperativo!U11=0),0,MatrizPonderadaValorOperativo!U11/MatrizPonderadaCostes!U11)</f>
        <v>0</v>
      </c>
      <c r="V11" s="44">
        <f>IF(OR(MatrizPonderadaCostes!V11=0,MatrizPonderadaValorOperativo!V11=0),0,MatrizPonderadaValorOperativo!V11/MatrizPonderadaCostes!V11)</f>
        <v>0</v>
      </c>
      <c r="W11"/>
      <c r="X11" s="14" t="str">
        <f>VLOOKUP(tblMatrizDeAdyacencia[[#This Row],[NodoOrigen \ NodoDestino]],tblNodos[],2,FALSE)</f>
        <v>Colector local secundario</v>
      </c>
      <c r="Y11" s="5" t="s">
        <v>32</v>
      </c>
      <c r="Z11" s="43">
        <f>IF(tblMatrizDistancias[[#This Row],[NodoOrigen \ NodoDestino]]="O1",0,IF(tblMatrizTradeOff[[#This Row],[O1]]=0,9999,1/tblMatrizTradeOff[[#This Row],[O1]]))</f>
        <v>9999</v>
      </c>
      <c r="AA11" s="43">
        <f>IF(tblMatrizDistancias[[#This Row],[NodoOrigen \ NodoDestino]]="O2",0,IF(tblMatrizTradeOff[[#This Row],[O2]]=0,9999,1/tblMatrizTradeOff[[#This Row],[O2]]))</f>
        <v>9999</v>
      </c>
      <c r="AB11" s="43">
        <f>IF(tblMatrizDistancias[[#This Row],[NodoOrigen \ NodoDestino]]="O3",0,IF(tblMatrizTradeOff[[#This Row],[O3]]=0,9999,1/tblMatrizTradeOff[[#This Row],[O3]]))</f>
        <v>9999</v>
      </c>
      <c r="AC11" s="43">
        <f>IF(tblMatrizDistancias[[#This Row],[NodoOrigen \ NodoDestino]]="O4",0,IF(tblMatrizTradeOff[[#This Row],[O4]]=0,9999,1/tblMatrizTradeOff[[#This Row],[O4]]))</f>
        <v>9999</v>
      </c>
      <c r="AD11" s="43">
        <f>IF(tblMatrizDistancias[[#This Row],[NodoOrigen \ NodoDestino]]="O5",0,IF(tblMatrizTradeOff[[#This Row],[O5]]=0,9999,1/tblMatrizTradeOff[[#This Row],[O5]]))</f>
        <v>9999</v>
      </c>
      <c r="AE11" s="43">
        <f>IF(tblMatrizDistancias[[#This Row],[NodoOrigen \ NodoDestino]]="O6",0,IF(tblMatrizTradeOff[[#This Row],[O6]]=0,9999,1/tblMatrizTradeOff[[#This Row],[O6]]))</f>
        <v>9999</v>
      </c>
      <c r="AF11" s="43">
        <f>IF(tblMatrizDistancias[[#This Row],[NodoOrigen \ NodoDestino]]="I1",0,IF(tblMatrizTradeOff[[#This Row],[I1]]=0,9999,1/tblMatrizTradeOff[[#This Row],[I1]]))</f>
        <v>9999</v>
      </c>
      <c r="AG11" s="43">
        <f>IF(tblMatrizDistancias[[#This Row],[NodoOrigen \ NodoDestino]]="I2",0,IF(tblMatrizTradeOff[[#This Row],[I2]]=0,9999,1/tblMatrizTradeOff[[#This Row],[I2]]))</f>
        <v>0</v>
      </c>
      <c r="AH11" s="43">
        <f>IF(tblMatrizDistancias[[#This Row],[NodoOrigen \ NodoDestino]]="I3",0,IF(tblMatrizTradeOff[[#This Row],[I3]]=0,9999,1/tblMatrizTradeOff[[#This Row],[I3]]))</f>
        <v>9999</v>
      </c>
      <c r="AI11" s="43">
        <f>IF(tblMatrizDistancias[[#This Row],[NodoOrigen \ NodoDestino]]="I4",0,IF(tblMatrizTradeOff[[#This Row],[I4]]=0,9999,1/tblMatrizTradeOff[[#This Row],[I4]]))</f>
        <v>0.1764705882352941</v>
      </c>
      <c r="AJ11" s="43">
        <f>IF(tblMatrizDistancias[[#This Row],[NodoOrigen \ NodoDestino]]="I5",0,IF(tblMatrizTradeOff[[#This Row],[I5]]=0,9999,1/tblMatrizTradeOff[[#This Row],[I5]]))</f>
        <v>9999</v>
      </c>
      <c r="AK11" s="43">
        <f>IF(tblMatrizDistancias[[#This Row],[NodoOrigen \ NodoDestino]]="I6",0,IF(tblMatrizTradeOff[[#This Row],[I6]]=0,9999,1/tblMatrizTradeOff[[#This Row],[I6]]))</f>
        <v>0.21428571428571427</v>
      </c>
      <c r="AL11" s="43">
        <f>IF(tblMatrizDistancias[[#This Row],[NodoOrigen \ NodoDestino]]="I7",0,IF(tblMatrizTradeOff[[#This Row],[I7]]=0,9999,1/tblMatrizTradeOff[[#This Row],[I7]]))</f>
        <v>9999</v>
      </c>
      <c r="AM11" s="43">
        <f>IF(tblMatrizDistancias[[#This Row],[NodoOrigen \ NodoDestino]]="I8",0,IF(tblMatrizTradeOff[[#This Row],[I8]]=0,9999,1/tblMatrizTradeOff[[#This Row],[I8]]))</f>
        <v>9999</v>
      </c>
      <c r="AN11" s="43">
        <f>IF(tblMatrizDistancias[[#This Row],[NodoOrigen \ NodoDestino]]="I9",0,IF(tblMatrizTradeOff[[#This Row],[I9]]=0,9999,1/tblMatrizTradeOff[[#This Row],[I9]]))</f>
        <v>9999</v>
      </c>
      <c r="AO11" s="43">
        <f>IF(tblMatrizDistancias[[#This Row],[NodoOrigen \ NodoDestino]]="G1",0,IF(tblMatrizTradeOff[[#This Row],[G1]]=0,9999,1/tblMatrizTradeOff[[#This Row],[G1]]))</f>
        <v>9999</v>
      </c>
      <c r="AP11" s="43">
        <f>IF(tblMatrizDistancias[[#This Row],[NodoOrigen \ NodoDestino]]="G2",0,IF(tblMatrizTradeOff[[#This Row],[G2]]=0,9999,1/tblMatrizTradeOff[[#This Row],[G2]]))</f>
        <v>9999</v>
      </c>
      <c r="AQ11" s="43">
        <f>IF(tblMatrizDistancias[[#This Row],[NodoOrigen \ NodoDestino]]="G3",0,IF(tblMatrizTradeOff[[#This Row],[G3]]=0,9999,1/tblMatrizTradeOff[[#This Row],[G3]]))</f>
        <v>9999</v>
      </c>
      <c r="AR11" s="43">
        <f>IF(tblMatrizDistancias[[#This Row],[NodoOrigen \ NodoDestino]]="D",0,IF(tblMatrizTradeOff[[#This Row],[D]]=0,9999,1/tblMatrizTradeOff[[#This Row],[D]]))</f>
        <v>9999</v>
      </c>
    </row>
    <row r="12" spans="2:44" ht="17.25" customHeight="1" x14ac:dyDescent="0.25">
      <c r="B12" s="14" t="str">
        <f>VLOOKUP(tblMatrizDeAdyacencia[[#This Row],[NodoOrigen \ NodoDestino]],tblNodos[],2,FALSE)</f>
        <v>Colector regional</v>
      </c>
      <c r="C12" s="5" t="s">
        <v>36</v>
      </c>
      <c r="D12" s="43">
        <f>IF(OR(MatrizPonderadaCostes!D12=0,MatrizPonderadaValorOperativo!D12=0),0,MatrizPonderadaValorOperativo!D12/MatrizPonderadaCostes!D12)</f>
        <v>0</v>
      </c>
      <c r="E12" s="43">
        <f>IF(OR(MatrizPonderadaCostes!E12=0,MatrizPonderadaValorOperativo!E12=0),0,MatrizPonderadaValorOperativo!E12/MatrizPonderadaCostes!E12)</f>
        <v>0</v>
      </c>
      <c r="F12" s="43">
        <f>IF(OR(MatrizPonderadaCostes!F12=0,MatrizPonderadaValorOperativo!F12=0),0,MatrizPonderadaValorOperativo!F12/MatrizPonderadaCostes!F12)</f>
        <v>0</v>
      </c>
      <c r="G12" s="43">
        <f>IF(OR(MatrizPonderadaCostes!G12=0,MatrizPonderadaValorOperativo!G12=0),0,MatrizPonderadaValorOperativo!G12/MatrizPonderadaCostes!G12)</f>
        <v>0</v>
      </c>
      <c r="H12" s="43">
        <f>IF(OR(MatrizPonderadaCostes!H12=0,MatrizPonderadaValorOperativo!H12=0),0,MatrizPonderadaValorOperativo!H12/MatrizPonderadaCostes!H12)</f>
        <v>0</v>
      </c>
      <c r="I12" s="43">
        <f>IF(OR(MatrizPonderadaCostes!I12=0,MatrizPonderadaValorOperativo!I12=0),0,MatrizPonderadaValorOperativo!I12/MatrizPonderadaCostes!I12)</f>
        <v>0</v>
      </c>
      <c r="J12" s="43">
        <f>IF(OR(MatrizPonderadaCostes!J12=0,MatrizPonderadaValorOperativo!J12=0),0,MatrizPonderadaValorOperativo!J12/MatrizPonderadaCostes!J12)</f>
        <v>0</v>
      </c>
      <c r="K12" s="43">
        <f>IF(OR(MatrizPonderadaCostes!K12=0,MatrizPonderadaValorOperativo!K12=0),0,MatrizPonderadaValorOperativo!K12/MatrizPonderadaCostes!K12)</f>
        <v>0</v>
      </c>
      <c r="L12" s="43">
        <f>IF(OR(MatrizPonderadaCostes!L12=0,MatrizPonderadaValorOperativo!L12=0),0,MatrizPonderadaValorOperativo!L12/MatrizPonderadaCostes!L12)</f>
        <v>0</v>
      </c>
      <c r="M12" s="43">
        <f>IF(OR(MatrizPonderadaCostes!M12=0,MatrizPonderadaValorOperativo!M12=0),0,MatrizPonderadaValorOperativo!M12/MatrizPonderadaCostes!M12)</f>
        <v>0</v>
      </c>
      <c r="N12" s="43">
        <f>IF(OR(MatrizPonderadaCostes!N12=0,MatrizPonderadaValorOperativo!N12=0),0,MatrizPonderadaValorOperativo!N12/MatrizPonderadaCostes!N12)</f>
        <v>3.6</v>
      </c>
      <c r="O12" s="43">
        <f>IF(OR(MatrizPonderadaCostes!O12=0,MatrizPonderadaValorOperativo!O12=0),0,MatrizPonderadaValorOperativo!O12/MatrizPonderadaCostes!O12)</f>
        <v>0</v>
      </c>
      <c r="P12" s="43">
        <f>IF(OR(MatrizPonderadaCostes!P12=0,MatrizPonderadaValorOperativo!P12=0),0,MatrizPonderadaValorOperativo!P12/MatrizPonderadaCostes!P12)</f>
        <v>2.8</v>
      </c>
      <c r="Q12" s="43">
        <f>IF(OR(MatrizPonderadaCostes!Q12=0,MatrizPonderadaValorOperativo!Q12=0),0,MatrizPonderadaValorOperativo!Q12/MatrizPonderadaCostes!Q12)</f>
        <v>0</v>
      </c>
      <c r="R12" s="43">
        <f>IF(OR(MatrizPonderadaCostes!R12=0,MatrizPonderadaValorOperativo!R12=0),0,MatrizPonderadaValorOperativo!R12/MatrizPonderadaCostes!R12)</f>
        <v>0</v>
      </c>
      <c r="S12" s="43">
        <f>IF(OR(MatrizPonderadaCostes!S12=0,MatrizPonderadaValorOperativo!S12=0),0,MatrizPonderadaValorOperativo!S12/MatrizPonderadaCostes!S12)</f>
        <v>0</v>
      </c>
      <c r="T12" s="43">
        <f>IF(OR(MatrizPonderadaCostes!T12=0,MatrizPonderadaValorOperativo!T12=0),0,MatrizPonderadaValorOperativo!T12/MatrizPonderadaCostes!T12)</f>
        <v>0</v>
      </c>
      <c r="U12" s="43">
        <f>IF(OR(MatrizPonderadaCostes!U12=0,MatrizPonderadaValorOperativo!U12=0),0,MatrizPonderadaValorOperativo!U12/MatrizPonderadaCostes!U12)</f>
        <v>0</v>
      </c>
      <c r="V12" s="44">
        <f>IF(OR(MatrizPonderadaCostes!V12=0,MatrizPonderadaValorOperativo!V12=0),0,MatrizPonderadaValorOperativo!V12/MatrizPonderadaCostes!V12)</f>
        <v>0</v>
      </c>
      <c r="W12"/>
      <c r="X12" s="14" t="str">
        <f>VLOOKUP(tblMatrizDeAdyacencia[[#This Row],[NodoOrigen \ NodoDestino]],tblNodos[],2,FALSE)</f>
        <v>Colector regional</v>
      </c>
      <c r="Y12" s="5" t="s">
        <v>36</v>
      </c>
      <c r="Z12" s="43">
        <f>IF(tblMatrizDistancias[[#This Row],[NodoOrigen \ NodoDestino]]="O1",0,IF(tblMatrizTradeOff[[#This Row],[O1]]=0,9999,1/tblMatrizTradeOff[[#This Row],[O1]]))</f>
        <v>9999</v>
      </c>
      <c r="AA12" s="43">
        <f>IF(tblMatrizDistancias[[#This Row],[NodoOrigen \ NodoDestino]]="O2",0,IF(tblMatrizTradeOff[[#This Row],[O2]]=0,9999,1/tblMatrizTradeOff[[#This Row],[O2]]))</f>
        <v>9999</v>
      </c>
      <c r="AB12" s="43">
        <f>IF(tblMatrizDistancias[[#This Row],[NodoOrigen \ NodoDestino]]="O3",0,IF(tblMatrizTradeOff[[#This Row],[O3]]=0,9999,1/tblMatrizTradeOff[[#This Row],[O3]]))</f>
        <v>9999</v>
      </c>
      <c r="AC12" s="43">
        <f>IF(tblMatrizDistancias[[#This Row],[NodoOrigen \ NodoDestino]]="O4",0,IF(tblMatrizTradeOff[[#This Row],[O4]]=0,9999,1/tblMatrizTradeOff[[#This Row],[O4]]))</f>
        <v>9999</v>
      </c>
      <c r="AD12" s="43">
        <f>IF(tblMatrizDistancias[[#This Row],[NodoOrigen \ NodoDestino]]="O5",0,IF(tblMatrizTradeOff[[#This Row],[O5]]=0,9999,1/tblMatrizTradeOff[[#This Row],[O5]]))</f>
        <v>9999</v>
      </c>
      <c r="AE12" s="43">
        <f>IF(tblMatrizDistancias[[#This Row],[NodoOrigen \ NodoDestino]]="O6",0,IF(tblMatrizTradeOff[[#This Row],[O6]]=0,9999,1/tblMatrizTradeOff[[#This Row],[O6]]))</f>
        <v>9999</v>
      </c>
      <c r="AF12" s="43">
        <f>IF(tblMatrizDistancias[[#This Row],[NodoOrigen \ NodoDestino]]="I1",0,IF(tblMatrizTradeOff[[#This Row],[I1]]=0,9999,1/tblMatrizTradeOff[[#This Row],[I1]]))</f>
        <v>9999</v>
      </c>
      <c r="AG12" s="43">
        <f>IF(tblMatrizDistancias[[#This Row],[NodoOrigen \ NodoDestino]]="I2",0,IF(tblMatrizTradeOff[[#This Row],[I2]]=0,9999,1/tblMatrizTradeOff[[#This Row],[I2]]))</f>
        <v>9999</v>
      </c>
      <c r="AH12" s="43">
        <f>IF(tblMatrizDistancias[[#This Row],[NodoOrigen \ NodoDestino]]="I3",0,IF(tblMatrizTradeOff[[#This Row],[I3]]=0,9999,1/tblMatrizTradeOff[[#This Row],[I3]]))</f>
        <v>0</v>
      </c>
      <c r="AI12" s="43">
        <f>IF(tblMatrizDistancias[[#This Row],[NodoOrigen \ NodoDestino]]="I4",0,IF(tblMatrizTradeOff[[#This Row],[I4]]=0,9999,1/tblMatrizTradeOff[[#This Row],[I4]]))</f>
        <v>9999</v>
      </c>
      <c r="AJ12" s="43">
        <f>IF(tblMatrizDistancias[[#This Row],[NodoOrigen \ NodoDestino]]="I5",0,IF(tblMatrizTradeOff[[#This Row],[I5]]=0,9999,1/tblMatrizTradeOff[[#This Row],[I5]]))</f>
        <v>0.27777777777777779</v>
      </c>
      <c r="AK12" s="43">
        <f>IF(tblMatrizDistancias[[#This Row],[NodoOrigen \ NodoDestino]]="I6",0,IF(tblMatrizTradeOff[[#This Row],[I6]]=0,9999,1/tblMatrizTradeOff[[#This Row],[I6]]))</f>
        <v>9999</v>
      </c>
      <c r="AL12" s="43">
        <f>IF(tblMatrizDistancias[[#This Row],[NodoOrigen \ NodoDestino]]="I7",0,IF(tblMatrizTradeOff[[#This Row],[I7]]=0,9999,1/tblMatrizTradeOff[[#This Row],[I7]]))</f>
        <v>0.35714285714285715</v>
      </c>
      <c r="AM12" s="43">
        <f>IF(tblMatrizDistancias[[#This Row],[NodoOrigen \ NodoDestino]]="I8",0,IF(tblMatrizTradeOff[[#This Row],[I8]]=0,9999,1/tblMatrizTradeOff[[#This Row],[I8]]))</f>
        <v>9999</v>
      </c>
      <c r="AN12" s="43">
        <f>IF(tblMatrizDistancias[[#This Row],[NodoOrigen \ NodoDestino]]="I9",0,IF(tblMatrizTradeOff[[#This Row],[I9]]=0,9999,1/tblMatrizTradeOff[[#This Row],[I9]]))</f>
        <v>9999</v>
      </c>
      <c r="AO12" s="43">
        <f>IF(tblMatrizDistancias[[#This Row],[NodoOrigen \ NodoDestino]]="G1",0,IF(tblMatrizTradeOff[[#This Row],[G1]]=0,9999,1/tblMatrizTradeOff[[#This Row],[G1]]))</f>
        <v>9999</v>
      </c>
      <c r="AP12" s="43">
        <f>IF(tblMatrizDistancias[[#This Row],[NodoOrigen \ NodoDestino]]="G2",0,IF(tblMatrizTradeOff[[#This Row],[G2]]=0,9999,1/tblMatrizTradeOff[[#This Row],[G2]]))</f>
        <v>9999</v>
      </c>
      <c r="AQ12" s="43">
        <f>IF(tblMatrizDistancias[[#This Row],[NodoOrigen \ NodoDestino]]="G3",0,IF(tblMatrizTradeOff[[#This Row],[G3]]=0,9999,1/tblMatrizTradeOff[[#This Row],[G3]]))</f>
        <v>9999</v>
      </c>
      <c r="AR12" s="43">
        <f>IF(tblMatrizDistancias[[#This Row],[NodoOrigen \ NodoDestino]]="D",0,IF(tblMatrizTradeOff[[#This Row],[D]]=0,9999,1/tblMatrizTradeOff[[#This Row],[D]]))</f>
        <v>9999</v>
      </c>
    </row>
    <row r="13" spans="2:44" ht="17.25" customHeight="1" x14ac:dyDescent="0.25">
      <c r="B13" s="14" t="str">
        <f>VLOOKUP(tblMatrizDeAdyacencia[[#This Row],[NodoOrigen \ NodoDestino]],tblNodos[],2,FALSE)</f>
        <v>Redistribuidor zona tránsito 1</v>
      </c>
      <c r="C13" s="5" t="s">
        <v>41</v>
      </c>
      <c r="D13" s="43">
        <f>IF(OR(MatrizPonderadaCostes!D13=0,MatrizPonderadaValorOperativo!D13=0),0,MatrizPonderadaValorOperativo!D13/MatrizPonderadaCostes!D13)</f>
        <v>0</v>
      </c>
      <c r="E13" s="43">
        <f>IF(OR(MatrizPonderadaCostes!E13=0,MatrizPonderadaValorOperativo!E13=0),0,MatrizPonderadaValorOperativo!E13/MatrizPonderadaCostes!E13)</f>
        <v>0</v>
      </c>
      <c r="F13" s="43">
        <f>IF(OR(MatrizPonderadaCostes!F13=0,MatrizPonderadaValorOperativo!F13=0),0,MatrizPonderadaValorOperativo!F13/MatrizPonderadaCostes!F13)</f>
        <v>0</v>
      </c>
      <c r="G13" s="43">
        <f>IF(OR(MatrizPonderadaCostes!G13=0,MatrizPonderadaValorOperativo!G13=0),0,MatrizPonderadaValorOperativo!G13/MatrizPonderadaCostes!G13)</f>
        <v>0</v>
      </c>
      <c r="H13" s="43">
        <f>IF(OR(MatrizPonderadaCostes!H13=0,MatrizPonderadaValorOperativo!H13=0),0,MatrizPonderadaValorOperativo!H13/MatrizPonderadaCostes!H13)</f>
        <v>0</v>
      </c>
      <c r="I13" s="43">
        <f>IF(OR(MatrizPonderadaCostes!I13=0,MatrizPonderadaValorOperativo!I13=0),0,MatrizPonderadaValorOperativo!I13/MatrizPonderadaCostes!I13)</f>
        <v>0</v>
      </c>
      <c r="J13" s="43">
        <f>IF(OR(MatrizPonderadaCostes!J13=0,MatrizPonderadaValorOperativo!J13=0),0,MatrizPonderadaValorOperativo!J13/MatrizPonderadaCostes!J13)</f>
        <v>0</v>
      </c>
      <c r="K13" s="43">
        <f>IF(OR(MatrizPonderadaCostes!K13=0,MatrizPonderadaValorOperativo!K13=0),0,MatrizPonderadaValorOperativo!K13/MatrizPonderadaCostes!K13)</f>
        <v>0</v>
      </c>
      <c r="L13" s="43">
        <f>IF(OR(MatrizPonderadaCostes!L13=0,MatrizPonderadaValorOperativo!L13=0),0,MatrizPonderadaValorOperativo!L13/MatrizPonderadaCostes!L13)</f>
        <v>0</v>
      </c>
      <c r="M13" s="43">
        <f>IF(OR(MatrizPonderadaCostes!M13=0,MatrizPonderadaValorOperativo!M13=0),0,MatrizPonderadaValorOperativo!M13/MatrizPonderadaCostes!M13)</f>
        <v>0</v>
      </c>
      <c r="N13" s="43">
        <f>IF(OR(MatrizPonderadaCostes!N13=0,MatrizPonderadaValorOperativo!N13=0),0,MatrizPonderadaValorOperativo!N13/MatrizPonderadaCostes!N13)</f>
        <v>0</v>
      </c>
      <c r="O13" s="43">
        <f>IF(OR(MatrizPonderadaCostes!O13=0,MatrizPonderadaValorOperativo!O13=0),0,MatrizPonderadaValorOperativo!O13/MatrizPonderadaCostes!O13)</f>
        <v>2.8</v>
      </c>
      <c r="P13" s="43">
        <f>IF(OR(MatrizPonderadaCostes!P13=0,MatrizPonderadaValorOperativo!P13=0),0,MatrizPonderadaValorOperativo!P13/MatrizPonderadaCostes!P13)</f>
        <v>2.6</v>
      </c>
      <c r="Q13" s="43">
        <f>IF(OR(MatrizPonderadaCostes!Q13=0,MatrizPonderadaValorOperativo!Q13=0),0,MatrizPonderadaValorOperativo!Q13/MatrizPonderadaCostes!Q13)</f>
        <v>0</v>
      </c>
      <c r="R13" s="43">
        <f>IF(OR(MatrizPonderadaCostes!R13=0,MatrizPonderadaValorOperativo!R13=0),0,MatrizPonderadaValorOperativo!R13/MatrizPonderadaCostes!R13)</f>
        <v>0</v>
      </c>
      <c r="S13" s="43">
        <f>IF(OR(MatrizPonderadaCostes!S13=0,MatrizPonderadaValorOperativo!S13=0),0,MatrizPonderadaValorOperativo!S13/MatrizPonderadaCostes!S13)</f>
        <v>0</v>
      </c>
      <c r="T13" s="43">
        <f>IF(OR(MatrizPonderadaCostes!T13=0,MatrizPonderadaValorOperativo!T13=0),0,MatrizPonderadaValorOperativo!T13/MatrizPonderadaCostes!T13)</f>
        <v>0</v>
      </c>
      <c r="U13" s="43">
        <f>IF(OR(MatrizPonderadaCostes!U13=0,MatrizPonderadaValorOperativo!U13=0),0,MatrizPonderadaValorOperativo!U13/MatrizPonderadaCostes!U13)</f>
        <v>0</v>
      </c>
      <c r="V13" s="44">
        <f>IF(OR(MatrizPonderadaCostes!V13=0,MatrizPonderadaValorOperativo!V13=0),0,MatrizPonderadaValorOperativo!V13/MatrizPonderadaCostes!V13)</f>
        <v>0</v>
      </c>
      <c r="W13"/>
      <c r="X13" s="14" t="str">
        <f>VLOOKUP(tblMatrizDeAdyacencia[[#This Row],[NodoOrigen \ NodoDestino]],tblNodos[],2,FALSE)</f>
        <v>Redistribuidor zona tránsito 1</v>
      </c>
      <c r="Y13" s="5" t="s">
        <v>41</v>
      </c>
      <c r="Z13" s="43">
        <f>IF(tblMatrizDistancias[[#This Row],[NodoOrigen \ NodoDestino]]="O1",0,IF(tblMatrizTradeOff[[#This Row],[O1]]=0,9999,1/tblMatrizTradeOff[[#This Row],[O1]]))</f>
        <v>9999</v>
      </c>
      <c r="AA13" s="43">
        <f>IF(tblMatrizDistancias[[#This Row],[NodoOrigen \ NodoDestino]]="O2",0,IF(tblMatrizTradeOff[[#This Row],[O2]]=0,9999,1/tblMatrizTradeOff[[#This Row],[O2]]))</f>
        <v>9999</v>
      </c>
      <c r="AB13" s="43">
        <f>IF(tblMatrizDistancias[[#This Row],[NodoOrigen \ NodoDestino]]="O3",0,IF(tblMatrizTradeOff[[#This Row],[O3]]=0,9999,1/tblMatrizTradeOff[[#This Row],[O3]]))</f>
        <v>9999</v>
      </c>
      <c r="AC13" s="43">
        <f>IF(tblMatrizDistancias[[#This Row],[NodoOrigen \ NodoDestino]]="O4",0,IF(tblMatrizTradeOff[[#This Row],[O4]]=0,9999,1/tblMatrizTradeOff[[#This Row],[O4]]))</f>
        <v>9999</v>
      </c>
      <c r="AD13" s="43">
        <f>IF(tblMatrizDistancias[[#This Row],[NodoOrigen \ NodoDestino]]="O5",0,IF(tblMatrizTradeOff[[#This Row],[O5]]=0,9999,1/tblMatrizTradeOff[[#This Row],[O5]]))</f>
        <v>9999</v>
      </c>
      <c r="AE13" s="43">
        <f>IF(tblMatrizDistancias[[#This Row],[NodoOrigen \ NodoDestino]]="O6",0,IF(tblMatrizTradeOff[[#This Row],[O6]]=0,9999,1/tblMatrizTradeOff[[#This Row],[O6]]))</f>
        <v>9999</v>
      </c>
      <c r="AF13" s="43">
        <f>IF(tblMatrizDistancias[[#This Row],[NodoOrigen \ NodoDestino]]="I1",0,IF(tblMatrizTradeOff[[#This Row],[I1]]=0,9999,1/tblMatrizTradeOff[[#This Row],[I1]]))</f>
        <v>9999</v>
      </c>
      <c r="AG13" s="43">
        <f>IF(tblMatrizDistancias[[#This Row],[NodoOrigen \ NodoDestino]]="I2",0,IF(tblMatrizTradeOff[[#This Row],[I2]]=0,9999,1/tblMatrizTradeOff[[#This Row],[I2]]))</f>
        <v>9999</v>
      </c>
      <c r="AH13" s="43">
        <f>IF(tblMatrizDistancias[[#This Row],[NodoOrigen \ NodoDestino]]="I3",0,IF(tblMatrizTradeOff[[#This Row],[I3]]=0,9999,1/tblMatrizTradeOff[[#This Row],[I3]]))</f>
        <v>9999</v>
      </c>
      <c r="AI13" s="43">
        <f>IF(tblMatrizDistancias[[#This Row],[NodoOrigen \ NodoDestino]]="I4",0,IF(tblMatrizTradeOff[[#This Row],[I4]]=0,9999,1/tblMatrizTradeOff[[#This Row],[I4]]))</f>
        <v>0</v>
      </c>
      <c r="AJ13" s="43">
        <f>IF(tblMatrizDistancias[[#This Row],[NodoOrigen \ NodoDestino]]="I5",0,IF(tblMatrizTradeOff[[#This Row],[I5]]=0,9999,1/tblMatrizTradeOff[[#This Row],[I5]]))</f>
        <v>9999</v>
      </c>
      <c r="AK13" s="43">
        <f>IF(tblMatrizDistancias[[#This Row],[NodoOrigen \ NodoDestino]]="I6",0,IF(tblMatrizTradeOff[[#This Row],[I6]]=0,9999,1/tblMatrizTradeOff[[#This Row],[I6]]))</f>
        <v>0.35714285714285715</v>
      </c>
      <c r="AL13" s="43">
        <f>IF(tblMatrizDistancias[[#This Row],[NodoOrigen \ NodoDestino]]="I7",0,IF(tblMatrizTradeOff[[#This Row],[I7]]=0,9999,1/tblMatrizTradeOff[[#This Row],[I7]]))</f>
        <v>0.38461538461538458</v>
      </c>
      <c r="AM13" s="43">
        <f>IF(tblMatrizDistancias[[#This Row],[NodoOrigen \ NodoDestino]]="I8",0,IF(tblMatrizTradeOff[[#This Row],[I8]]=0,9999,1/tblMatrizTradeOff[[#This Row],[I8]]))</f>
        <v>9999</v>
      </c>
      <c r="AN13" s="43">
        <f>IF(tblMatrizDistancias[[#This Row],[NodoOrigen \ NodoDestino]]="I9",0,IF(tblMatrizTradeOff[[#This Row],[I9]]=0,9999,1/tblMatrizTradeOff[[#This Row],[I9]]))</f>
        <v>9999</v>
      </c>
      <c r="AO13" s="43">
        <f>IF(tblMatrizDistancias[[#This Row],[NodoOrigen \ NodoDestino]]="G1",0,IF(tblMatrizTradeOff[[#This Row],[G1]]=0,9999,1/tblMatrizTradeOff[[#This Row],[G1]]))</f>
        <v>9999</v>
      </c>
      <c r="AP13" s="43">
        <f>IF(tblMatrizDistancias[[#This Row],[NodoOrigen \ NodoDestino]]="G2",0,IF(tblMatrizTradeOff[[#This Row],[G2]]=0,9999,1/tblMatrizTradeOff[[#This Row],[G2]]))</f>
        <v>9999</v>
      </c>
      <c r="AQ13" s="43">
        <f>IF(tblMatrizDistancias[[#This Row],[NodoOrigen \ NodoDestino]]="G3",0,IF(tblMatrizTradeOff[[#This Row],[G3]]=0,9999,1/tblMatrizTradeOff[[#This Row],[G3]]))</f>
        <v>9999</v>
      </c>
      <c r="AR13" s="43">
        <f>IF(tblMatrizDistancias[[#This Row],[NodoOrigen \ NodoDestino]]="D",0,IF(tblMatrizTradeOff[[#This Row],[D]]=0,9999,1/tblMatrizTradeOff[[#This Row],[D]]))</f>
        <v>9999</v>
      </c>
    </row>
    <row r="14" spans="2:44" ht="17.25" customHeight="1" x14ac:dyDescent="0.25">
      <c r="B14" s="14" t="str">
        <f>VLOOKUP(tblMatrizDeAdyacencia[[#This Row],[NodoOrigen \ NodoDestino]],tblNodos[],2,FALSE)</f>
        <v>Redistribuidor zona tránsito 2</v>
      </c>
      <c r="C14" s="5" t="s">
        <v>55</v>
      </c>
      <c r="D14" s="43">
        <f>IF(OR(MatrizPonderadaCostes!D14=0,MatrizPonderadaValorOperativo!D14=0),0,MatrizPonderadaValorOperativo!D14/MatrizPonderadaCostes!D14)</f>
        <v>0</v>
      </c>
      <c r="E14" s="43">
        <f>IF(OR(MatrizPonderadaCostes!E14=0,MatrizPonderadaValorOperativo!E14=0),0,MatrizPonderadaValorOperativo!E14/MatrizPonderadaCostes!E14)</f>
        <v>0</v>
      </c>
      <c r="F14" s="43">
        <f>IF(OR(MatrizPonderadaCostes!F14=0,MatrizPonderadaValorOperativo!F14=0),0,MatrizPonderadaValorOperativo!F14/MatrizPonderadaCostes!F14)</f>
        <v>0</v>
      </c>
      <c r="G14" s="43">
        <f>IF(OR(MatrizPonderadaCostes!G14=0,MatrizPonderadaValorOperativo!G14=0),0,MatrizPonderadaValorOperativo!G14/MatrizPonderadaCostes!G14)</f>
        <v>0</v>
      </c>
      <c r="H14" s="43">
        <f>IF(OR(MatrizPonderadaCostes!H14=0,MatrizPonderadaValorOperativo!H14=0),0,MatrizPonderadaValorOperativo!H14/MatrizPonderadaCostes!H14)</f>
        <v>0</v>
      </c>
      <c r="I14" s="43">
        <f>IF(OR(MatrizPonderadaCostes!I14=0,MatrizPonderadaValorOperativo!I14=0),0,MatrizPonderadaValorOperativo!I14/MatrizPonderadaCostes!I14)</f>
        <v>0</v>
      </c>
      <c r="J14" s="43">
        <f>IF(OR(MatrizPonderadaCostes!J14=0,MatrizPonderadaValorOperativo!J14=0),0,MatrizPonderadaValorOperativo!J14/MatrizPonderadaCostes!J14)</f>
        <v>0</v>
      </c>
      <c r="K14" s="43">
        <f>IF(OR(MatrizPonderadaCostes!K14=0,MatrizPonderadaValorOperativo!K14=0),0,MatrizPonderadaValorOperativo!K14/MatrizPonderadaCostes!K14)</f>
        <v>0</v>
      </c>
      <c r="L14" s="43">
        <f>IF(OR(MatrizPonderadaCostes!L14=0,MatrizPonderadaValorOperativo!L14=0),0,MatrizPonderadaValorOperativo!L14/MatrizPonderadaCostes!L14)</f>
        <v>0</v>
      </c>
      <c r="M14" s="43">
        <f>IF(OR(MatrizPonderadaCostes!M14=0,MatrizPonderadaValorOperativo!M14=0),0,MatrizPonderadaValorOperativo!M14/MatrizPonderadaCostes!M14)</f>
        <v>0</v>
      </c>
      <c r="N14" s="43">
        <f>IF(OR(MatrizPonderadaCostes!N14=0,MatrizPonderadaValorOperativo!N14=0),0,MatrizPonderadaValorOperativo!N14/MatrizPonderadaCostes!N14)</f>
        <v>0</v>
      </c>
      <c r="O14" s="43">
        <f>IF(OR(MatrizPonderadaCostes!O14=0,MatrizPonderadaValorOperativo!O14=0),0,MatrizPonderadaValorOperativo!O14/MatrizPonderadaCostes!O14)</f>
        <v>5.666666666666667</v>
      </c>
      <c r="P14" s="43">
        <f>IF(OR(MatrizPonderadaCostes!P14=0,MatrizPonderadaValorOperativo!P14=0),0,MatrizPonderadaValorOperativo!P14/MatrizPonderadaCostes!P14)</f>
        <v>0</v>
      </c>
      <c r="Q14" s="43">
        <f>IF(OR(MatrizPonderadaCostes!Q14=0,MatrizPonderadaValorOperativo!Q14=0),0,MatrizPonderadaValorOperativo!Q14/MatrizPonderadaCostes!Q14)</f>
        <v>3.6666666666666665</v>
      </c>
      <c r="R14" s="43">
        <f>IF(OR(MatrizPonderadaCostes!R14=0,MatrizPonderadaValorOperativo!R14=0),0,MatrizPonderadaValorOperativo!R14/MatrizPonderadaCostes!R14)</f>
        <v>0</v>
      </c>
      <c r="S14" s="43">
        <f>IF(OR(MatrizPonderadaCostes!S14=0,MatrizPonderadaValorOperativo!S14=0),0,MatrizPonderadaValorOperativo!S14/MatrizPonderadaCostes!S14)</f>
        <v>0</v>
      </c>
      <c r="T14" s="43">
        <f>IF(OR(MatrizPonderadaCostes!T14=0,MatrizPonderadaValorOperativo!T14=0),0,MatrizPonderadaValorOperativo!T14/MatrizPonderadaCostes!T14)</f>
        <v>0</v>
      </c>
      <c r="U14" s="43">
        <f>IF(OR(MatrizPonderadaCostes!U14=0,MatrizPonderadaValorOperativo!U14=0),0,MatrizPonderadaValorOperativo!U14/MatrizPonderadaCostes!U14)</f>
        <v>0</v>
      </c>
      <c r="V14" s="44">
        <f>IF(OR(MatrizPonderadaCostes!V14=0,MatrizPonderadaValorOperativo!V14=0),0,MatrizPonderadaValorOperativo!V14/MatrizPonderadaCostes!V14)</f>
        <v>0</v>
      </c>
      <c r="W14"/>
      <c r="X14" s="14" t="str">
        <f>VLOOKUP(tblMatrizDeAdyacencia[[#This Row],[NodoOrigen \ NodoDestino]],tblNodos[],2,FALSE)</f>
        <v>Redistribuidor zona tránsito 2</v>
      </c>
      <c r="Y14" s="5" t="s">
        <v>55</v>
      </c>
      <c r="Z14" s="43">
        <f>IF(tblMatrizDistancias[[#This Row],[NodoOrigen \ NodoDestino]]="O1",0,IF(tblMatrizTradeOff[[#This Row],[O1]]=0,9999,1/tblMatrizTradeOff[[#This Row],[O1]]))</f>
        <v>9999</v>
      </c>
      <c r="AA14" s="43">
        <f>IF(tblMatrizDistancias[[#This Row],[NodoOrigen \ NodoDestino]]="O2",0,IF(tblMatrizTradeOff[[#This Row],[O2]]=0,9999,1/tblMatrizTradeOff[[#This Row],[O2]]))</f>
        <v>9999</v>
      </c>
      <c r="AB14" s="43">
        <f>IF(tblMatrizDistancias[[#This Row],[NodoOrigen \ NodoDestino]]="O3",0,IF(tblMatrizTradeOff[[#This Row],[O3]]=0,9999,1/tblMatrizTradeOff[[#This Row],[O3]]))</f>
        <v>9999</v>
      </c>
      <c r="AC14" s="43">
        <f>IF(tblMatrizDistancias[[#This Row],[NodoOrigen \ NodoDestino]]="O4",0,IF(tblMatrizTradeOff[[#This Row],[O4]]=0,9999,1/tblMatrizTradeOff[[#This Row],[O4]]))</f>
        <v>9999</v>
      </c>
      <c r="AD14" s="43">
        <f>IF(tblMatrizDistancias[[#This Row],[NodoOrigen \ NodoDestino]]="O5",0,IF(tblMatrizTradeOff[[#This Row],[O5]]=0,9999,1/tblMatrizTradeOff[[#This Row],[O5]]))</f>
        <v>9999</v>
      </c>
      <c r="AE14" s="43">
        <f>IF(tblMatrizDistancias[[#This Row],[NodoOrigen \ NodoDestino]]="O6",0,IF(tblMatrizTradeOff[[#This Row],[O6]]=0,9999,1/tblMatrizTradeOff[[#This Row],[O6]]))</f>
        <v>9999</v>
      </c>
      <c r="AF14" s="43">
        <f>IF(tblMatrizDistancias[[#This Row],[NodoOrigen \ NodoDestino]]="I1",0,IF(tblMatrizTradeOff[[#This Row],[I1]]=0,9999,1/tblMatrizTradeOff[[#This Row],[I1]]))</f>
        <v>9999</v>
      </c>
      <c r="AG14" s="43">
        <f>IF(tblMatrizDistancias[[#This Row],[NodoOrigen \ NodoDestino]]="I2",0,IF(tblMatrizTradeOff[[#This Row],[I2]]=0,9999,1/tblMatrizTradeOff[[#This Row],[I2]]))</f>
        <v>9999</v>
      </c>
      <c r="AH14" s="43">
        <f>IF(tblMatrizDistancias[[#This Row],[NodoOrigen \ NodoDestino]]="I3",0,IF(tblMatrizTradeOff[[#This Row],[I3]]=0,9999,1/tblMatrizTradeOff[[#This Row],[I3]]))</f>
        <v>9999</v>
      </c>
      <c r="AI14" s="43">
        <f>IF(tblMatrizDistancias[[#This Row],[NodoOrigen \ NodoDestino]]="I4",0,IF(tblMatrizTradeOff[[#This Row],[I4]]=0,9999,1/tblMatrizTradeOff[[#This Row],[I4]]))</f>
        <v>9999</v>
      </c>
      <c r="AJ14" s="43">
        <f>IF(tblMatrizDistancias[[#This Row],[NodoOrigen \ NodoDestino]]="I5",0,IF(tblMatrizTradeOff[[#This Row],[I5]]=0,9999,1/tblMatrizTradeOff[[#This Row],[I5]]))</f>
        <v>0</v>
      </c>
      <c r="AK14" s="43">
        <f>IF(tblMatrizDistancias[[#This Row],[NodoOrigen \ NodoDestino]]="I6",0,IF(tblMatrizTradeOff[[#This Row],[I6]]=0,9999,1/tblMatrizTradeOff[[#This Row],[I6]]))</f>
        <v>0.1764705882352941</v>
      </c>
      <c r="AL14" s="43">
        <f>IF(tblMatrizDistancias[[#This Row],[NodoOrigen \ NodoDestino]]="I7",0,IF(tblMatrizTradeOff[[#This Row],[I7]]=0,9999,1/tblMatrizTradeOff[[#This Row],[I7]]))</f>
        <v>9999</v>
      </c>
      <c r="AM14" s="43">
        <f>IF(tblMatrizDistancias[[#This Row],[NodoOrigen \ NodoDestino]]="I8",0,IF(tblMatrizTradeOff[[#This Row],[I8]]=0,9999,1/tblMatrizTradeOff[[#This Row],[I8]]))</f>
        <v>0.27272727272727276</v>
      </c>
      <c r="AN14" s="43">
        <f>IF(tblMatrizDistancias[[#This Row],[NodoOrigen \ NodoDestino]]="I9",0,IF(tblMatrizTradeOff[[#This Row],[I9]]=0,9999,1/tblMatrizTradeOff[[#This Row],[I9]]))</f>
        <v>9999</v>
      </c>
      <c r="AO14" s="43">
        <f>IF(tblMatrizDistancias[[#This Row],[NodoOrigen \ NodoDestino]]="G1",0,IF(tblMatrizTradeOff[[#This Row],[G1]]=0,9999,1/tblMatrizTradeOff[[#This Row],[G1]]))</f>
        <v>9999</v>
      </c>
      <c r="AP14" s="43">
        <f>IF(tblMatrizDistancias[[#This Row],[NodoOrigen \ NodoDestino]]="G2",0,IF(tblMatrizTradeOff[[#This Row],[G2]]=0,9999,1/tblMatrizTradeOff[[#This Row],[G2]]))</f>
        <v>9999</v>
      </c>
      <c r="AQ14" s="43">
        <f>IF(tblMatrizDistancias[[#This Row],[NodoOrigen \ NodoDestino]]="G3",0,IF(tblMatrizTradeOff[[#This Row],[G3]]=0,9999,1/tblMatrizTradeOff[[#This Row],[G3]]))</f>
        <v>9999</v>
      </c>
      <c r="AR14" s="43">
        <f>IF(tblMatrizDistancias[[#This Row],[NodoOrigen \ NodoDestino]]="D",0,IF(tblMatrizTradeOff[[#This Row],[D]]=0,9999,1/tblMatrizTradeOff[[#This Row],[D]]))</f>
        <v>9999</v>
      </c>
    </row>
    <row r="15" spans="2:44" ht="17.25" customHeight="1" x14ac:dyDescent="0.25">
      <c r="B15" s="14" t="str">
        <f>VLOOKUP(tblMatrizDeAdyacencia[[#This Row],[NodoOrigen \ NodoDestino]],tblNodos[],2,FALSE)</f>
        <v>Redistribuidor principal</v>
      </c>
      <c r="C15" s="5" t="s">
        <v>57</v>
      </c>
      <c r="D15" s="43">
        <f>IF(OR(MatrizPonderadaCostes!D15=0,MatrizPonderadaValorOperativo!D15=0),0,MatrizPonderadaValorOperativo!D15/MatrizPonderadaCostes!D15)</f>
        <v>0</v>
      </c>
      <c r="E15" s="43">
        <f>IF(OR(MatrizPonderadaCostes!E15=0,MatrizPonderadaValorOperativo!E15=0),0,MatrizPonderadaValorOperativo!E15/MatrizPonderadaCostes!E15)</f>
        <v>0</v>
      </c>
      <c r="F15" s="43">
        <f>IF(OR(MatrizPonderadaCostes!F15=0,MatrizPonderadaValorOperativo!F15=0),0,MatrizPonderadaValorOperativo!F15/MatrizPonderadaCostes!F15)</f>
        <v>0</v>
      </c>
      <c r="G15" s="43">
        <f>IF(OR(MatrizPonderadaCostes!G15=0,MatrizPonderadaValorOperativo!G15=0),0,MatrizPonderadaValorOperativo!G15/MatrizPonderadaCostes!G15)</f>
        <v>0</v>
      </c>
      <c r="H15" s="43">
        <f>IF(OR(MatrizPonderadaCostes!H15=0,MatrizPonderadaValorOperativo!H15=0),0,MatrizPonderadaValorOperativo!H15/MatrizPonderadaCostes!H15)</f>
        <v>0</v>
      </c>
      <c r="I15" s="43">
        <f>IF(OR(MatrizPonderadaCostes!I15=0,MatrizPonderadaValorOperativo!I15=0),0,MatrizPonderadaValorOperativo!I15/MatrizPonderadaCostes!I15)</f>
        <v>0</v>
      </c>
      <c r="J15" s="43">
        <f>IF(OR(MatrizPonderadaCostes!J15=0,MatrizPonderadaValorOperativo!J15=0),0,MatrizPonderadaValorOperativo!J15/MatrizPonderadaCostes!J15)</f>
        <v>0</v>
      </c>
      <c r="K15" s="43">
        <f>IF(OR(MatrizPonderadaCostes!K15=0,MatrizPonderadaValorOperativo!K15=0),0,MatrizPonderadaValorOperativo!K15/MatrizPonderadaCostes!K15)</f>
        <v>0</v>
      </c>
      <c r="L15" s="43">
        <f>IF(OR(MatrizPonderadaCostes!L15=0,MatrizPonderadaValorOperativo!L15=0),0,MatrizPonderadaValorOperativo!L15/MatrizPonderadaCostes!L15)</f>
        <v>0</v>
      </c>
      <c r="M15" s="43">
        <f>IF(OR(MatrizPonderadaCostes!M15=0,MatrizPonderadaValorOperativo!M15=0),0,MatrizPonderadaValorOperativo!M15/MatrizPonderadaCostes!M15)</f>
        <v>0</v>
      </c>
      <c r="N15" s="43">
        <f>IF(OR(MatrizPonderadaCostes!N15=0,MatrizPonderadaValorOperativo!N15=0),0,MatrizPonderadaValorOperativo!N15/MatrizPonderadaCostes!N15)</f>
        <v>0</v>
      </c>
      <c r="O15" s="43">
        <f>IF(OR(MatrizPonderadaCostes!O15=0,MatrizPonderadaValorOperativo!O15=0),0,MatrizPonderadaValorOperativo!O15/MatrizPonderadaCostes!O15)</f>
        <v>0</v>
      </c>
      <c r="P15" s="43">
        <f>IF(OR(MatrizPonderadaCostes!P15=0,MatrizPonderadaValorOperativo!P15=0),0,MatrizPonderadaValorOperativo!P15/MatrizPonderadaCostes!P15)</f>
        <v>0</v>
      </c>
      <c r="Q15" s="43">
        <f>IF(OR(MatrizPonderadaCostes!Q15=0,MatrizPonderadaValorOperativo!Q15=0),0,MatrizPonderadaValorOperativo!Q15/MatrizPonderadaCostes!Q15)</f>
        <v>0</v>
      </c>
      <c r="R15" s="43">
        <f>IF(OR(MatrizPonderadaCostes!R15=0,MatrizPonderadaValorOperativo!R15=0),0,MatrizPonderadaValorOperativo!R15/MatrizPonderadaCostes!R15)</f>
        <v>3.6</v>
      </c>
      <c r="S15" s="43">
        <f>IF(OR(MatrizPonderadaCostes!S15=0,MatrizPonderadaValorOperativo!S15=0),0,MatrizPonderadaValorOperativo!S15/MatrizPonderadaCostes!S15)</f>
        <v>0</v>
      </c>
      <c r="T15" s="43">
        <f>IF(OR(MatrizPonderadaCostes!T15=0,MatrizPonderadaValorOperativo!T15=0),0,MatrizPonderadaValorOperativo!T15/MatrizPonderadaCostes!T15)</f>
        <v>0</v>
      </c>
      <c r="U15" s="43">
        <f>IF(OR(MatrizPonderadaCostes!U15=0,MatrizPonderadaValorOperativo!U15=0),0,MatrizPonderadaValorOperativo!U15/MatrizPonderadaCostes!U15)</f>
        <v>0</v>
      </c>
      <c r="V15" s="44">
        <f>IF(OR(MatrizPonderadaCostes!V15=0,MatrizPonderadaValorOperativo!V15=0),0,MatrizPonderadaValorOperativo!V15/MatrizPonderadaCostes!V15)</f>
        <v>0</v>
      </c>
      <c r="W15"/>
      <c r="X15" s="14" t="str">
        <f>VLOOKUP(tblMatrizDeAdyacencia[[#This Row],[NodoOrigen \ NodoDestino]],tblNodos[],2,FALSE)</f>
        <v>Redistribuidor principal</v>
      </c>
      <c r="Y15" s="5" t="s">
        <v>57</v>
      </c>
      <c r="Z15" s="43">
        <f>IF(tblMatrizDistancias[[#This Row],[NodoOrigen \ NodoDestino]]="O1",0,IF(tblMatrizTradeOff[[#This Row],[O1]]=0,9999,1/tblMatrizTradeOff[[#This Row],[O1]]))</f>
        <v>9999</v>
      </c>
      <c r="AA15" s="43">
        <f>IF(tblMatrizDistancias[[#This Row],[NodoOrigen \ NodoDestino]]="O2",0,IF(tblMatrizTradeOff[[#This Row],[O2]]=0,9999,1/tblMatrizTradeOff[[#This Row],[O2]]))</f>
        <v>9999</v>
      </c>
      <c r="AB15" s="43">
        <f>IF(tblMatrizDistancias[[#This Row],[NodoOrigen \ NodoDestino]]="O3",0,IF(tblMatrizTradeOff[[#This Row],[O3]]=0,9999,1/tblMatrizTradeOff[[#This Row],[O3]]))</f>
        <v>9999</v>
      </c>
      <c r="AC15" s="43">
        <f>IF(tblMatrizDistancias[[#This Row],[NodoOrigen \ NodoDestino]]="O4",0,IF(tblMatrizTradeOff[[#This Row],[O4]]=0,9999,1/tblMatrizTradeOff[[#This Row],[O4]]))</f>
        <v>9999</v>
      </c>
      <c r="AD15" s="43">
        <f>IF(tblMatrizDistancias[[#This Row],[NodoOrigen \ NodoDestino]]="O5",0,IF(tblMatrizTradeOff[[#This Row],[O5]]=0,9999,1/tblMatrizTradeOff[[#This Row],[O5]]))</f>
        <v>9999</v>
      </c>
      <c r="AE15" s="43">
        <f>IF(tblMatrizDistancias[[#This Row],[NodoOrigen \ NodoDestino]]="O6",0,IF(tblMatrizTradeOff[[#This Row],[O6]]=0,9999,1/tblMatrizTradeOff[[#This Row],[O6]]))</f>
        <v>9999</v>
      </c>
      <c r="AF15" s="43">
        <f>IF(tblMatrizDistancias[[#This Row],[NodoOrigen \ NodoDestino]]="I1",0,IF(tblMatrizTradeOff[[#This Row],[I1]]=0,9999,1/tblMatrizTradeOff[[#This Row],[I1]]))</f>
        <v>9999</v>
      </c>
      <c r="AG15" s="43">
        <f>IF(tblMatrizDistancias[[#This Row],[NodoOrigen \ NodoDestino]]="I2",0,IF(tblMatrizTradeOff[[#This Row],[I2]]=0,9999,1/tblMatrizTradeOff[[#This Row],[I2]]))</f>
        <v>9999</v>
      </c>
      <c r="AH15" s="43">
        <f>IF(tblMatrizDistancias[[#This Row],[NodoOrigen \ NodoDestino]]="I3",0,IF(tblMatrizTradeOff[[#This Row],[I3]]=0,9999,1/tblMatrizTradeOff[[#This Row],[I3]]))</f>
        <v>9999</v>
      </c>
      <c r="AI15" s="43">
        <f>IF(tblMatrizDistancias[[#This Row],[NodoOrigen \ NodoDestino]]="I4",0,IF(tblMatrizTradeOff[[#This Row],[I4]]=0,9999,1/tblMatrizTradeOff[[#This Row],[I4]]))</f>
        <v>9999</v>
      </c>
      <c r="AJ15" s="43">
        <f>IF(tblMatrizDistancias[[#This Row],[NodoOrigen \ NodoDestino]]="I5",0,IF(tblMatrizTradeOff[[#This Row],[I5]]=0,9999,1/tblMatrizTradeOff[[#This Row],[I5]]))</f>
        <v>9999</v>
      </c>
      <c r="AK15" s="43">
        <f>IF(tblMatrizDistancias[[#This Row],[NodoOrigen \ NodoDestino]]="I6",0,IF(tblMatrizTradeOff[[#This Row],[I6]]=0,9999,1/tblMatrizTradeOff[[#This Row],[I6]]))</f>
        <v>0</v>
      </c>
      <c r="AL15" s="43">
        <f>IF(tblMatrizDistancias[[#This Row],[NodoOrigen \ NodoDestino]]="I7",0,IF(tblMatrizTradeOff[[#This Row],[I7]]=0,9999,1/tblMatrizTradeOff[[#This Row],[I7]]))</f>
        <v>9999</v>
      </c>
      <c r="AM15" s="43">
        <f>IF(tblMatrizDistancias[[#This Row],[NodoOrigen \ NodoDestino]]="I8",0,IF(tblMatrizTradeOff[[#This Row],[I8]]=0,9999,1/tblMatrizTradeOff[[#This Row],[I8]]))</f>
        <v>9999</v>
      </c>
      <c r="AN15" s="43">
        <f>IF(tblMatrizDistancias[[#This Row],[NodoOrigen \ NodoDestino]]="I9",0,IF(tblMatrizTradeOff[[#This Row],[I9]]=0,9999,1/tblMatrizTradeOff[[#This Row],[I9]]))</f>
        <v>0.27777777777777779</v>
      </c>
      <c r="AO15" s="43">
        <f>IF(tblMatrizDistancias[[#This Row],[NodoOrigen \ NodoDestino]]="G1",0,IF(tblMatrizTradeOff[[#This Row],[G1]]=0,9999,1/tblMatrizTradeOff[[#This Row],[G1]]))</f>
        <v>9999</v>
      </c>
      <c r="AP15" s="43">
        <f>IF(tblMatrizDistancias[[#This Row],[NodoOrigen \ NodoDestino]]="G2",0,IF(tblMatrizTradeOff[[#This Row],[G2]]=0,9999,1/tblMatrizTradeOff[[#This Row],[G2]]))</f>
        <v>9999</v>
      </c>
      <c r="AQ15" s="43">
        <f>IF(tblMatrizDistancias[[#This Row],[NodoOrigen \ NodoDestino]]="G3",0,IF(tblMatrizTradeOff[[#This Row],[G3]]=0,9999,1/tblMatrizTradeOff[[#This Row],[G3]]))</f>
        <v>9999</v>
      </c>
      <c r="AR15" s="43">
        <f>IF(tblMatrizDistancias[[#This Row],[NodoOrigen \ NodoDestino]]="D",0,IF(tblMatrizTradeOff[[#This Row],[D]]=0,9999,1/tblMatrizTradeOff[[#This Row],[D]]))</f>
        <v>9999</v>
      </c>
    </row>
    <row r="16" spans="2:44" ht="17.25" customHeight="1" x14ac:dyDescent="0.25">
      <c r="B16" s="14" t="str">
        <f>VLOOKUP(tblMatrizDeAdyacencia[[#This Row],[NodoOrigen \ NodoDestino]],tblNodos[],2,FALSE)</f>
        <v>Redistribuidor secundario 1</v>
      </c>
      <c r="C16" s="5" t="s">
        <v>59</v>
      </c>
      <c r="D16" s="43">
        <f>IF(OR(MatrizPonderadaCostes!D16=0,MatrizPonderadaValorOperativo!D16=0),0,MatrizPonderadaValorOperativo!D16/MatrizPonderadaCostes!D16)</f>
        <v>0</v>
      </c>
      <c r="E16" s="43">
        <f>IF(OR(MatrizPonderadaCostes!E16=0,MatrizPonderadaValorOperativo!E16=0),0,MatrizPonderadaValorOperativo!E16/MatrizPonderadaCostes!E16)</f>
        <v>0</v>
      </c>
      <c r="F16" s="43">
        <f>IF(OR(MatrizPonderadaCostes!F16=0,MatrizPonderadaValorOperativo!F16=0),0,MatrizPonderadaValorOperativo!F16/MatrizPonderadaCostes!F16)</f>
        <v>0</v>
      </c>
      <c r="G16" s="43">
        <f>IF(OR(MatrizPonderadaCostes!G16=0,MatrizPonderadaValorOperativo!G16=0),0,MatrizPonderadaValorOperativo!G16/MatrizPonderadaCostes!G16)</f>
        <v>0</v>
      </c>
      <c r="H16" s="43">
        <f>IF(OR(MatrizPonderadaCostes!H16=0,MatrizPonderadaValorOperativo!H16=0),0,MatrizPonderadaValorOperativo!H16/MatrizPonderadaCostes!H16)</f>
        <v>0</v>
      </c>
      <c r="I16" s="43">
        <f>IF(OR(MatrizPonderadaCostes!I16=0,MatrizPonderadaValorOperativo!I16=0),0,MatrizPonderadaValorOperativo!I16/MatrizPonderadaCostes!I16)</f>
        <v>0</v>
      </c>
      <c r="J16" s="43">
        <f>IF(OR(MatrizPonderadaCostes!J16=0,MatrizPonderadaValorOperativo!J16=0),0,MatrizPonderadaValorOperativo!J16/MatrizPonderadaCostes!J16)</f>
        <v>0</v>
      </c>
      <c r="K16" s="43">
        <f>IF(OR(MatrizPonderadaCostes!K16=0,MatrizPonderadaValorOperativo!K16=0),0,MatrizPonderadaValorOperativo!K16/MatrizPonderadaCostes!K16)</f>
        <v>0</v>
      </c>
      <c r="L16" s="43">
        <f>IF(OR(MatrizPonderadaCostes!L16=0,MatrizPonderadaValorOperativo!L16=0),0,MatrizPonderadaValorOperativo!L16/MatrizPonderadaCostes!L16)</f>
        <v>0</v>
      </c>
      <c r="M16" s="43">
        <f>IF(OR(MatrizPonderadaCostes!M16=0,MatrizPonderadaValorOperativo!M16=0),0,MatrizPonderadaValorOperativo!M16/MatrizPonderadaCostes!M16)</f>
        <v>0</v>
      </c>
      <c r="N16" s="43">
        <f>IF(OR(MatrizPonderadaCostes!N16=0,MatrizPonderadaValorOperativo!N16=0),0,MatrizPonderadaValorOperativo!N16/MatrizPonderadaCostes!N16)</f>
        <v>0</v>
      </c>
      <c r="O16" s="43">
        <f>IF(OR(MatrizPonderadaCostes!O16=0,MatrizPonderadaValorOperativo!O16=0),0,MatrizPonderadaValorOperativo!O16/MatrizPonderadaCostes!O16)</f>
        <v>0</v>
      </c>
      <c r="P16" s="43">
        <f>IF(OR(MatrizPonderadaCostes!P16=0,MatrizPonderadaValorOperativo!P16=0),0,MatrizPonderadaValorOperativo!P16/MatrizPonderadaCostes!P16)</f>
        <v>0</v>
      </c>
      <c r="Q16" s="43">
        <f>IF(OR(MatrizPonderadaCostes!Q16=0,MatrizPonderadaValorOperativo!Q16=0),0,MatrizPonderadaValorOperativo!Q16/MatrizPonderadaCostes!Q16)</f>
        <v>0</v>
      </c>
      <c r="R16" s="43">
        <f>IF(OR(MatrizPonderadaCostes!R16=0,MatrizPonderadaValorOperativo!R16=0),0,MatrizPonderadaValorOperativo!R16/MatrizPonderadaCostes!R16)</f>
        <v>2.8</v>
      </c>
      <c r="S16" s="43">
        <f>IF(OR(MatrizPonderadaCostes!S16=0,MatrizPonderadaValorOperativo!S16=0),0,MatrizPonderadaValorOperativo!S16/MatrizPonderadaCostes!S16)</f>
        <v>0</v>
      </c>
      <c r="T16" s="43">
        <f>IF(OR(MatrizPonderadaCostes!T16=0,MatrizPonderadaValorOperativo!T16=0),0,MatrizPonderadaValorOperativo!T16/MatrizPonderadaCostes!T16)</f>
        <v>0</v>
      </c>
      <c r="U16" s="43">
        <f>IF(OR(MatrizPonderadaCostes!U16=0,MatrizPonderadaValorOperativo!U16=0),0,MatrizPonderadaValorOperativo!U16/MatrizPonderadaCostes!U16)</f>
        <v>0</v>
      </c>
      <c r="V16" s="44">
        <f>IF(OR(MatrizPonderadaCostes!V16=0,MatrizPonderadaValorOperativo!V16=0),0,MatrizPonderadaValorOperativo!V16/MatrizPonderadaCostes!V16)</f>
        <v>0</v>
      </c>
      <c r="W16"/>
      <c r="X16" s="14" t="str">
        <f>VLOOKUP(tblMatrizDeAdyacencia[[#This Row],[NodoOrigen \ NodoDestino]],tblNodos[],2,FALSE)</f>
        <v>Redistribuidor secundario 1</v>
      </c>
      <c r="Y16" s="5" t="s">
        <v>59</v>
      </c>
      <c r="Z16" s="43">
        <f>IF(tblMatrizDistancias[[#This Row],[NodoOrigen \ NodoDestino]]="O1",0,IF(tblMatrizTradeOff[[#This Row],[O1]]=0,9999,1/tblMatrizTradeOff[[#This Row],[O1]]))</f>
        <v>9999</v>
      </c>
      <c r="AA16" s="43">
        <f>IF(tblMatrizDistancias[[#This Row],[NodoOrigen \ NodoDestino]]="O2",0,IF(tblMatrizTradeOff[[#This Row],[O2]]=0,9999,1/tblMatrizTradeOff[[#This Row],[O2]]))</f>
        <v>9999</v>
      </c>
      <c r="AB16" s="43">
        <f>IF(tblMatrizDistancias[[#This Row],[NodoOrigen \ NodoDestino]]="O3",0,IF(tblMatrizTradeOff[[#This Row],[O3]]=0,9999,1/tblMatrizTradeOff[[#This Row],[O3]]))</f>
        <v>9999</v>
      </c>
      <c r="AC16" s="43">
        <f>IF(tblMatrizDistancias[[#This Row],[NodoOrigen \ NodoDestino]]="O4",0,IF(tblMatrizTradeOff[[#This Row],[O4]]=0,9999,1/tblMatrizTradeOff[[#This Row],[O4]]))</f>
        <v>9999</v>
      </c>
      <c r="AD16" s="43">
        <f>IF(tblMatrizDistancias[[#This Row],[NodoOrigen \ NodoDestino]]="O5",0,IF(tblMatrizTradeOff[[#This Row],[O5]]=0,9999,1/tblMatrizTradeOff[[#This Row],[O5]]))</f>
        <v>9999</v>
      </c>
      <c r="AE16" s="43">
        <f>IF(tblMatrizDistancias[[#This Row],[NodoOrigen \ NodoDestino]]="O6",0,IF(tblMatrizTradeOff[[#This Row],[O6]]=0,9999,1/tblMatrizTradeOff[[#This Row],[O6]]))</f>
        <v>9999</v>
      </c>
      <c r="AF16" s="43">
        <f>IF(tblMatrizDistancias[[#This Row],[NodoOrigen \ NodoDestino]]="I1",0,IF(tblMatrizTradeOff[[#This Row],[I1]]=0,9999,1/tblMatrizTradeOff[[#This Row],[I1]]))</f>
        <v>9999</v>
      </c>
      <c r="AG16" s="43">
        <f>IF(tblMatrizDistancias[[#This Row],[NodoOrigen \ NodoDestino]]="I2",0,IF(tblMatrizTradeOff[[#This Row],[I2]]=0,9999,1/tblMatrizTradeOff[[#This Row],[I2]]))</f>
        <v>9999</v>
      </c>
      <c r="AH16" s="43">
        <f>IF(tblMatrizDistancias[[#This Row],[NodoOrigen \ NodoDestino]]="I3",0,IF(tblMatrizTradeOff[[#This Row],[I3]]=0,9999,1/tblMatrizTradeOff[[#This Row],[I3]]))</f>
        <v>9999</v>
      </c>
      <c r="AI16" s="43">
        <f>IF(tblMatrizDistancias[[#This Row],[NodoOrigen \ NodoDestino]]="I4",0,IF(tblMatrizTradeOff[[#This Row],[I4]]=0,9999,1/tblMatrizTradeOff[[#This Row],[I4]]))</f>
        <v>9999</v>
      </c>
      <c r="AJ16" s="43">
        <f>IF(tblMatrizDistancias[[#This Row],[NodoOrigen \ NodoDestino]]="I5",0,IF(tblMatrizTradeOff[[#This Row],[I5]]=0,9999,1/tblMatrizTradeOff[[#This Row],[I5]]))</f>
        <v>9999</v>
      </c>
      <c r="AK16" s="43">
        <f>IF(tblMatrizDistancias[[#This Row],[NodoOrigen \ NodoDestino]]="I6",0,IF(tblMatrizTradeOff[[#This Row],[I6]]=0,9999,1/tblMatrizTradeOff[[#This Row],[I6]]))</f>
        <v>9999</v>
      </c>
      <c r="AL16" s="43">
        <f>IF(tblMatrizDistancias[[#This Row],[NodoOrigen \ NodoDestino]]="I7",0,IF(tblMatrizTradeOff[[#This Row],[I7]]=0,9999,1/tblMatrizTradeOff[[#This Row],[I7]]))</f>
        <v>0</v>
      </c>
      <c r="AM16" s="43">
        <f>IF(tblMatrizDistancias[[#This Row],[NodoOrigen \ NodoDestino]]="I8",0,IF(tblMatrizTradeOff[[#This Row],[I8]]=0,9999,1/tblMatrizTradeOff[[#This Row],[I8]]))</f>
        <v>9999</v>
      </c>
      <c r="AN16" s="43">
        <f>IF(tblMatrizDistancias[[#This Row],[NodoOrigen \ NodoDestino]]="I9",0,IF(tblMatrizTradeOff[[#This Row],[I9]]=0,9999,1/tblMatrizTradeOff[[#This Row],[I9]]))</f>
        <v>0.35714285714285715</v>
      </c>
      <c r="AO16" s="43">
        <f>IF(tblMatrizDistancias[[#This Row],[NodoOrigen \ NodoDestino]]="G1",0,IF(tblMatrizTradeOff[[#This Row],[G1]]=0,9999,1/tblMatrizTradeOff[[#This Row],[G1]]))</f>
        <v>9999</v>
      </c>
      <c r="AP16" s="43">
        <f>IF(tblMatrizDistancias[[#This Row],[NodoOrigen \ NodoDestino]]="G2",0,IF(tblMatrizTradeOff[[#This Row],[G2]]=0,9999,1/tblMatrizTradeOff[[#This Row],[G2]]))</f>
        <v>9999</v>
      </c>
      <c r="AQ16" s="43">
        <f>IF(tblMatrizDistancias[[#This Row],[NodoOrigen \ NodoDestino]]="G3",0,IF(tblMatrizTradeOff[[#This Row],[G3]]=0,9999,1/tblMatrizTradeOff[[#This Row],[G3]]))</f>
        <v>9999</v>
      </c>
      <c r="AR16" s="43">
        <f>IF(tblMatrizDistancias[[#This Row],[NodoOrigen \ NodoDestino]]="D",0,IF(tblMatrizTradeOff[[#This Row],[D]]=0,9999,1/tblMatrizTradeOff[[#This Row],[D]]))</f>
        <v>9999</v>
      </c>
    </row>
    <row r="17" spans="2:44" ht="17.25" customHeight="1" x14ac:dyDescent="0.25">
      <c r="B17" s="14" t="str">
        <f>VLOOKUP(tblMatrizDeAdyacencia[[#This Row],[NodoOrigen \ NodoDestino]],tblNodos[],2,FALSE)</f>
        <v>Redistribuidor secundario 2</v>
      </c>
      <c r="C17" s="5" t="s">
        <v>61</v>
      </c>
      <c r="D17" s="43">
        <f>IF(OR(MatrizPonderadaCostes!D17=0,MatrizPonderadaValorOperativo!D17=0),0,MatrizPonderadaValorOperativo!D17/MatrizPonderadaCostes!D17)</f>
        <v>0</v>
      </c>
      <c r="E17" s="43">
        <f>IF(OR(MatrizPonderadaCostes!E17=0,MatrizPonderadaValorOperativo!E17=0),0,MatrizPonderadaValorOperativo!E17/MatrizPonderadaCostes!E17)</f>
        <v>0</v>
      </c>
      <c r="F17" s="43">
        <f>IF(OR(MatrizPonderadaCostes!F17=0,MatrizPonderadaValorOperativo!F17=0),0,MatrizPonderadaValorOperativo!F17/MatrizPonderadaCostes!F17)</f>
        <v>0</v>
      </c>
      <c r="G17" s="43">
        <f>IF(OR(MatrizPonderadaCostes!G17=0,MatrizPonderadaValorOperativo!G17=0),0,MatrizPonderadaValorOperativo!G17/MatrizPonderadaCostes!G17)</f>
        <v>0</v>
      </c>
      <c r="H17" s="43">
        <f>IF(OR(MatrizPonderadaCostes!H17=0,MatrizPonderadaValorOperativo!H17=0),0,MatrizPonderadaValorOperativo!H17/MatrizPonderadaCostes!H17)</f>
        <v>0</v>
      </c>
      <c r="I17" s="43">
        <f>IF(OR(MatrizPonderadaCostes!I17=0,MatrizPonderadaValorOperativo!I17=0),0,MatrizPonderadaValorOperativo!I17/MatrizPonderadaCostes!I17)</f>
        <v>0</v>
      </c>
      <c r="J17" s="43">
        <f>IF(OR(MatrizPonderadaCostes!J17=0,MatrizPonderadaValorOperativo!J17=0),0,MatrizPonderadaValorOperativo!J17/MatrizPonderadaCostes!J17)</f>
        <v>0</v>
      </c>
      <c r="K17" s="43">
        <f>IF(OR(MatrizPonderadaCostes!K17=0,MatrizPonderadaValorOperativo!K17=0),0,MatrizPonderadaValorOperativo!K17/MatrizPonderadaCostes!K17)</f>
        <v>0</v>
      </c>
      <c r="L17" s="43">
        <f>IF(OR(MatrizPonderadaCostes!L17=0,MatrizPonderadaValorOperativo!L17=0),0,MatrizPonderadaValorOperativo!L17/MatrizPonderadaCostes!L17)</f>
        <v>0</v>
      </c>
      <c r="M17" s="43">
        <f>IF(OR(MatrizPonderadaCostes!M17=0,MatrizPonderadaValorOperativo!M17=0),0,MatrizPonderadaValorOperativo!M17/MatrizPonderadaCostes!M17)</f>
        <v>0</v>
      </c>
      <c r="N17" s="43">
        <f>IF(OR(MatrizPonderadaCostes!N17=0,MatrizPonderadaValorOperativo!N17=0),0,MatrizPonderadaValorOperativo!N17/MatrizPonderadaCostes!N17)</f>
        <v>0</v>
      </c>
      <c r="O17" s="43">
        <f>IF(OR(MatrizPonderadaCostes!O17=0,MatrizPonderadaValorOperativo!O17=0),0,MatrizPonderadaValorOperativo!O17/MatrizPonderadaCostes!O17)</f>
        <v>0</v>
      </c>
      <c r="P17" s="43">
        <f>IF(OR(MatrizPonderadaCostes!P17=0,MatrizPonderadaValorOperativo!P17=0),0,MatrizPonderadaValorOperativo!P17/MatrizPonderadaCostes!P17)</f>
        <v>0</v>
      </c>
      <c r="Q17" s="43">
        <f>IF(OR(MatrizPonderadaCostes!Q17=0,MatrizPonderadaValorOperativo!Q17=0),0,MatrizPonderadaValorOperativo!Q17/MatrizPonderadaCostes!Q17)</f>
        <v>0</v>
      </c>
      <c r="R17" s="43">
        <f>IF(OR(MatrizPonderadaCostes!R17=0,MatrizPonderadaValorOperativo!R17=0),0,MatrizPonderadaValorOperativo!R17/MatrizPonderadaCostes!R17)</f>
        <v>0</v>
      </c>
      <c r="S17" s="43">
        <f>IF(OR(MatrizPonderadaCostes!S17=0,MatrizPonderadaValorOperativo!S17=0),0,MatrizPonderadaValorOperativo!S17/MatrizPonderadaCostes!S17)</f>
        <v>2.6</v>
      </c>
      <c r="T17" s="43">
        <f>IF(OR(MatrizPonderadaCostes!T17=0,MatrizPonderadaValorOperativo!T17=0),0,MatrizPonderadaValorOperativo!T17/MatrizPonderadaCostes!T17)</f>
        <v>0</v>
      </c>
      <c r="U17" s="43">
        <f>IF(OR(MatrizPonderadaCostes!U17=0,MatrizPonderadaValorOperativo!U17=0),0,MatrizPonderadaValorOperativo!U17/MatrizPonderadaCostes!U17)</f>
        <v>0</v>
      </c>
      <c r="V17" s="44">
        <f>IF(OR(MatrizPonderadaCostes!V17=0,MatrizPonderadaValorOperativo!V17=0),0,MatrizPonderadaValorOperativo!V17/MatrizPonderadaCostes!V17)</f>
        <v>0</v>
      </c>
      <c r="W17"/>
      <c r="X17" s="14" t="str">
        <f>VLOOKUP(tblMatrizDeAdyacencia[[#This Row],[NodoOrigen \ NodoDestino]],tblNodos[],2,FALSE)</f>
        <v>Redistribuidor secundario 2</v>
      </c>
      <c r="Y17" s="5" t="s">
        <v>61</v>
      </c>
      <c r="Z17" s="43">
        <f>IF(tblMatrizDistancias[[#This Row],[NodoOrigen \ NodoDestino]]="O1",0,IF(tblMatrizTradeOff[[#This Row],[O1]]=0,9999,1/tblMatrizTradeOff[[#This Row],[O1]]))</f>
        <v>9999</v>
      </c>
      <c r="AA17" s="43">
        <f>IF(tblMatrizDistancias[[#This Row],[NodoOrigen \ NodoDestino]]="O2",0,IF(tblMatrizTradeOff[[#This Row],[O2]]=0,9999,1/tblMatrizTradeOff[[#This Row],[O2]]))</f>
        <v>9999</v>
      </c>
      <c r="AB17" s="43">
        <f>IF(tblMatrizDistancias[[#This Row],[NodoOrigen \ NodoDestino]]="O3",0,IF(tblMatrizTradeOff[[#This Row],[O3]]=0,9999,1/tblMatrizTradeOff[[#This Row],[O3]]))</f>
        <v>9999</v>
      </c>
      <c r="AC17" s="43">
        <f>IF(tblMatrizDistancias[[#This Row],[NodoOrigen \ NodoDestino]]="O4",0,IF(tblMatrizTradeOff[[#This Row],[O4]]=0,9999,1/tblMatrizTradeOff[[#This Row],[O4]]))</f>
        <v>9999</v>
      </c>
      <c r="AD17" s="43">
        <f>IF(tblMatrizDistancias[[#This Row],[NodoOrigen \ NodoDestino]]="O5",0,IF(tblMatrizTradeOff[[#This Row],[O5]]=0,9999,1/tblMatrizTradeOff[[#This Row],[O5]]))</f>
        <v>9999</v>
      </c>
      <c r="AE17" s="43">
        <f>IF(tblMatrizDistancias[[#This Row],[NodoOrigen \ NodoDestino]]="O6",0,IF(tblMatrizTradeOff[[#This Row],[O6]]=0,9999,1/tblMatrizTradeOff[[#This Row],[O6]]))</f>
        <v>9999</v>
      </c>
      <c r="AF17" s="43">
        <f>IF(tblMatrizDistancias[[#This Row],[NodoOrigen \ NodoDestino]]="I1",0,IF(tblMatrizTradeOff[[#This Row],[I1]]=0,9999,1/tblMatrizTradeOff[[#This Row],[I1]]))</f>
        <v>9999</v>
      </c>
      <c r="AG17" s="43">
        <f>IF(tblMatrizDistancias[[#This Row],[NodoOrigen \ NodoDestino]]="I2",0,IF(tblMatrizTradeOff[[#This Row],[I2]]=0,9999,1/tblMatrizTradeOff[[#This Row],[I2]]))</f>
        <v>9999</v>
      </c>
      <c r="AH17" s="43">
        <f>IF(tblMatrizDistancias[[#This Row],[NodoOrigen \ NodoDestino]]="I3",0,IF(tblMatrizTradeOff[[#This Row],[I3]]=0,9999,1/tblMatrizTradeOff[[#This Row],[I3]]))</f>
        <v>9999</v>
      </c>
      <c r="AI17" s="43">
        <f>IF(tblMatrizDistancias[[#This Row],[NodoOrigen \ NodoDestino]]="I4",0,IF(tblMatrizTradeOff[[#This Row],[I4]]=0,9999,1/tblMatrizTradeOff[[#This Row],[I4]]))</f>
        <v>9999</v>
      </c>
      <c r="AJ17" s="43">
        <f>IF(tblMatrizDistancias[[#This Row],[NodoOrigen \ NodoDestino]]="I5",0,IF(tblMatrizTradeOff[[#This Row],[I5]]=0,9999,1/tblMatrizTradeOff[[#This Row],[I5]]))</f>
        <v>9999</v>
      </c>
      <c r="AK17" s="43">
        <f>IF(tblMatrizDistancias[[#This Row],[NodoOrigen \ NodoDestino]]="I6",0,IF(tblMatrizTradeOff[[#This Row],[I6]]=0,9999,1/tblMatrizTradeOff[[#This Row],[I6]]))</f>
        <v>9999</v>
      </c>
      <c r="AL17" s="43">
        <f>IF(tblMatrizDistancias[[#This Row],[NodoOrigen \ NodoDestino]]="I7",0,IF(tblMatrizTradeOff[[#This Row],[I7]]=0,9999,1/tblMatrizTradeOff[[#This Row],[I7]]))</f>
        <v>9999</v>
      </c>
      <c r="AM17" s="43">
        <f>IF(tblMatrizDistancias[[#This Row],[NodoOrigen \ NodoDestino]]="I8",0,IF(tblMatrizTradeOff[[#This Row],[I8]]=0,9999,1/tblMatrizTradeOff[[#This Row],[I8]]))</f>
        <v>0</v>
      </c>
      <c r="AN17" s="43">
        <f>IF(tblMatrizDistancias[[#This Row],[NodoOrigen \ NodoDestino]]="I9",0,IF(tblMatrizTradeOff[[#This Row],[I9]]=0,9999,1/tblMatrizTradeOff[[#This Row],[I9]]))</f>
        <v>9999</v>
      </c>
      <c r="AO17" s="43">
        <f>IF(tblMatrizDistancias[[#This Row],[NodoOrigen \ NodoDestino]]="G1",0,IF(tblMatrizTradeOff[[#This Row],[G1]]=0,9999,1/tblMatrizTradeOff[[#This Row],[G1]]))</f>
        <v>0.38461538461538458</v>
      </c>
      <c r="AP17" s="43">
        <f>IF(tblMatrizDistancias[[#This Row],[NodoOrigen \ NodoDestino]]="G2",0,IF(tblMatrizTradeOff[[#This Row],[G2]]=0,9999,1/tblMatrizTradeOff[[#This Row],[G2]]))</f>
        <v>9999</v>
      </c>
      <c r="AQ17" s="43">
        <f>IF(tblMatrizDistancias[[#This Row],[NodoOrigen \ NodoDestino]]="G3",0,IF(tblMatrizTradeOff[[#This Row],[G3]]=0,9999,1/tblMatrizTradeOff[[#This Row],[G3]]))</f>
        <v>9999</v>
      </c>
      <c r="AR17" s="43">
        <f>IF(tblMatrizDistancias[[#This Row],[NodoOrigen \ NodoDestino]]="D",0,IF(tblMatrizTradeOff[[#This Row],[D]]=0,9999,1/tblMatrizTradeOff[[#This Row],[D]]))</f>
        <v>9999</v>
      </c>
    </row>
    <row r="18" spans="2:44" ht="17.25" customHeight="1" x14ac:dyDescent="0.25">
      <c r="B18" s="14" t="str">
        <f>VLOOKUP(tblMatrizDeAdyacencia[[#This Row],[NodoOrigen \ NodoDestino]],tblNodos[],2,FALSE)</f>
        <v>Redistribuidor intermedio</v>
      </c>
      <c r="C18" s="5" t="s">
        <v>45</v>
      </c>
      <c r="D18" s="43">
        <f>IF(OR(MatrizPonderadaCostes!D18=0,MatrizPonderadaValorOperativo!D18=0),0,MatrizPonderadaValorOperativo!D18/MatrizPonderadaCostes!D18)</f>
        <v>0</v>
      </c>
      <c r="E18" s="43">
        <f>IF(OR(MatrizPonderadaCostes!E18=0,MatrizPonderadaValorOperativo!E18=0),0,MatrizPonderadaValorOperativo!E18/MatrizPonderadaCostes!E18)</f>
        <v>0</v>
      </c>
      <c r="F18" s="43">
        <f>IF(OR(MatrizPonderadaCostes!F18=0,MatrizPonderadaValorOperativo!F18=0),0,MatrizPonderadaValorOperativo!F18/MatrizPonderadaCostes!F18)</f>
        <v>0</v>
      </c>
      <c r="G18" s="43">
        <f>IF(OR(MatrizPonderadaCostes!G18=0,MatrizPonderadaValorOperativo!G18=0),0,MatrizPonderadaValorOperativo!G18/MatrizPonderadaCostes!G18)</f>
        <v>0</v>
      </c>
      <c r="H18" s="43">
        <f>IF(OR(MatrizPonderadaCostes!H18=0,MatrizPonderadaValorOperativo!H18=0),0,MatrizPonderadaValorOperativo!H18/MatrizPonderadaCostes!H18)</f>
        <v>0</v>
      </c>
      <c r="I18" s="43">
        <f>IF(OR(MatrizPonderadaCostes!I18=0,MatrizPonderadaValorOperativo!I18=0),0,MatrizPonderadaValorOperativo!I18/MatrizPonderadaCostes!I18)</f>
        <v>0</v>
      </c>
      <c r="J18" s="43">
        <f>IF(OR(MatrizPonderadaCostes!J18=0,MatrizPonderadaValorOperativo!J18=0),0,MatrizPonderadaValorOperativo!J18/MatrizPonderadaCostes!J18)</f>
        <v>0</v>
      </c>
      <c r="K18" s="43">
        <f>IF(OR(MatrizPonderadaCostes!K18=0,MatrizPonderadaValorOperativo!K18=0),0,MatrizPonderadaValorOperativo!K18/MatrizPonderadaCostes!K18)</f>
        <v>0</v>
      </c>
      <c r="L18" s="43">
        <f>IF(OR(MatrizPonderadaCostes!L18=0,MatrizPonderadaValorOperativo!L18=0),0,MatrizPonderadaValorOperativo!L18/MatrizPonderadaCostes!L18)</f>
        <v>0</v>
      </c>
      <c r="M18" s="43">
        <f>IF(OR(MatrizPonderadaCostes!M18=0,MatrizPonderadaValorOperativo!M18=0),0,MatrizPonderadaValorOperativo!M18/MatrizPonderadaCostes!M18)</f>
        <v>0</v>
      </c>
      <c r="N18" s="43">
        <f>IF(OR(MatrizPonderadaCostes!N18=0,MatrizPonderadaValorOperativo!N18=0),0,MatrizPonderadaValorOperativo!N18/MatrizPonderadaCostes!N18)</f>
        <v>0</v>
      </c>
      <c r="O18" s="43">
        <f>IF(OR(MatrizPonderadaCostes!O18=0,MatrizPonderadaValorOperativo!O18=0),0,MatrizPonderadaValorOperativo!O18/MatrizPonderadaCostes!O18)</f>
        <v>0</v>
      </c>
      <c r="P18" s="43">
        <f>IF(OR(MatrizPonderadaCostes!P18=0,MatrizPonderadaValorOperativo!P18=0),0,MatrizPonderadaValorOperativo!P18/MatrizPonderadaCostes!P18)</f>
        <v>0</v>
      </c>
      <c r="Q18" s="43">
        <f>IF(OR(MatrizPonderadaCostes!Q18=0,MatrizPonderadaValorOperativo!Q18=0),0,MatrizPonderadaValorOperativo!Q18/MatrizPonderadaCostes!Q18)</f>
        <v>0</v>
      </c>
      <c r="R18" s="43">
        <f>IF(OR(MatrizPonderadaCostes!R18=0,MatrizPonderadaValorOperativo!R18=0),0,MatrizPonderadaValorOperativo!R18/MatrizPonderadaCostes!R18)</f>
        <v>0</v>
      </c>
      <c r="S18" s="43">
        <f>IF(OR(MatrizPonderadaCostes!S18=0,MatrizPonderadaValorOperativo!S18=0),0,MatrizPonderadaValorOperativo!S18/MatrizPonderadaCostes!S18)</f>
        <v>0</v>
      </c>
      <c r="T18" s="43">
        <f>IF(OR(MatrizPonderadaCostes!T18=0,MatrizPonderadaValorOperativo!T18=0),0,MatrizPonderadaValorOperativo!T18/MatrizPonderadaCostes!T18)</f>
        <v>5.666666666666667</v>
      </c>
      <c r="U18" s="43">
        <f>IF(OR(MatrizPonderadaCostes!U18=0,MatrizPonderadaValorOperativo!U18=0),0,MatrizPonderadaValorOperativo!U18/MatrizPonderadaCostes!U18)</f>
        <v>0</v>
      </c>
      <c r="V18" s="44">
        <f>IF(OR(MatrizPonderadaCostes!V18=0,MatrizPonderadaValorOperativo!V18=0),0,MatrizPonderadaValorOperativo!V18/MatrizPonderadaCostes!V18)</f>
        <v>3.6</v>
      </c>
      <c r="W18"/>
      <c r="X18" s="14" t="str">
        <f>VLOOKUP(tblMatrizDeAdyacencia[[#This Row],[NodoOrigen \ NodoDestino]],tblNodos[],2,FALSE)</f>
        <v>Redistribuidor intermedio</v>
      </c>
      <c r="Y18" s="5" t="s">
        <v>45</v>
      </c>
      <c r="Z18" s="43">
        <f>IF(tblMatrizDistancias[[#This Row],[NodoOrigen \ NodoDestino]]="O1",0,IF(tblMatrizTradeOff[[#This Row],[O1]]=0,9999,1/tblMatrizTradeOff[[#This Row],[O1]]))</f>
        <v>9999</v>
      </c>
      <c r="AA18" s="43">
        <f>IF(tblMatrizDistancias[[#This Row],[NodoOrigen \ NodoDestino]]="O2",0,IF(tblMatrizTradeOff[[#This Row],[O2]]=0,9999,1/tblMatrizTradeOff[[#This Row],[O2]]))</f>
        <v>9999</v>
      </c>
      <c r="AB18" s="43">
        <f>IF(tblMatrizDistancias[[#This Row],[NodoOrigen \ NodoDestino]]="O3",0,IF(tblMatrizTradeOff[[#This Row],[O3]]=0,9999,1/tblMatrizTradeOff[[#This Row],[O3]]))</f>
        <v>9999</v>
      </c>
      <c r="AC18" s="43">
        <f>IF(tblMatrizDistancias[[#This Row],[NodoOrigen \ NodoDestino]]="O4",0,IF(tblMatrizTradeOff[[#This Row],[O4]]=0,9999,1/tblMatrizTradeOff[[#This Row],[O4]]))</f>
        <v>9999</v>
      </c>
      <c r="AD18" s="43">
        <f>IF(tblMatrizDistancias[[#This Row],[NodoOrigen \ NodoDestino]]="O5",0,IF(tblMatrizTradeOff[[#This Row],[O5]]=0,9999,1/tblMatrizTradeOff[[#This Row],[O5]]))</f>
        <v>9999</v>
      </c>
      <c r="AE18" s="43">
        <f>IF(tblMatrizDistancias[[#This Row],[NodoOrigen \ NodoDestino]]="O6",0,IF(tblMatrizTradeOff[[#This Row],[O6]]=0,9999,1/tblMatrizTradeOff[[#This Row],[O6]]))</f>
        <v>9999</v>
      </c>
      <c r="AF18" s="43">
        <f>IF(tblMatrizDistancias[[#This Row],[NodoOrigen \ NodoDestino]]="I1",0,IF(tblMatrizTradeOff[[#This Row],[I1]]=0,9999,1/tblMatrizTradeOff[[#This Row],[I1]]))</f>
        <v>9999</v>
      </c>
      <c r="AG18" s="43">
        <f>IF(tblMatrizDistancias[[#This Row],[NodoOrigen \ NodoDestino]]="I2",0,IF(tblMatrizTradeOff[[#This Row],[I2]]=0,9999,1/tblMatrizTradeOff[[#This Row],[I2]]))</f>
        <v>9999</v>
      </c>
      <c r="AH18" s="43">
        <f>IF(tblMatrizDistancias[[#This Row],[NodoOrigen \ NodoDestino]]="I3",0,IF(tblMatrizTradeOff[[#This Row],[I3]]=0,9999,1/tblMatrizTradeOff[[#This Row],[I3]]))</f>
        <v>9999</v>
      </c>
      <c r="AI18" s="43">
        <f>IF(tblMatrizDistancias[[#This Row],[NodoOrigen \ NodoDestino]]="I4",0,IF(tblMatrizTradeOff[[#This Row],[I4]]=0,9999,1/tblMatrizTradeOff[[#This Row],[I4]]))</f>
        <v>9999</v>
      </c>
      <c r="AJ18" s="43">
        <f>IF(tblMatrizDistancias[[#This Row],[NodoOrigen \ NodoDestino]]="I5",0,IF(tblMatrizTradeOff[[#This Row],[I5]]=0,9999,1/tblMatrizTradeOff[[#This Row],[I5]]))</f>
        <v>9999</v>
      </c>
      <c r="AK18" s="43">
        <f>IF(tblMatrizDistancias[[#This Row],[NodoOrigen \ NodoDestino]]="I6",0,IF(tblMatrizTradeOff[[#This Row],[I6]]=0,9999,1/tblMatrizTradeOff[[#This Row],[I6]]))</f>
        <v>9999</v>
      </c>
      <c r="AL18" s="43">
        <f>IF(tblMatrizDistancias[[#This Row],[NodoOrigen \ NodoDestino]]="I7",0,IF(tblMatrizTradeOff[[#This Row],[I7]]=0,9999,1/tblMatrizTradeOff[[#This Row],[I7]]))</f>
        <v>9999</v>
      </c>
      <c r="AM18" s="43">
        <f>IF(tblMatrizDistancias[[#This Row],[NodoOrigen \ NodoDestino]]="I8",0,IF(tblMatrizTradeOff[[#This Row],[I8]]=0,9999,1/tblMatrizTradeOff[[#This Row],[I8]]))</f>
        <v>9999</v>
      </c>
      <c r="AN18" s="43">
        <f>IF(tblMatrizDistancias[[#This Row],[NodoOrigen \ NodoDestino]]="I9",0,IF(tblMatrizTradeOff[[#This Row],[I9]]=0,9999,1/tblMatrizTradeOff[[#This Row],[I9]]))</f>
        <v>0</v>
      </c>
      <c r="AO18" s="43">
        <f>IF(tblMatrizDistancias[[#This Row],[NodoOrigen \ NodoDestino]]="G1",0,IF(tblMatrizTradeOff[[#This Row],[G1]]=0,9999,1/tblMatrizTradeOff[[#This Row],[G1]]))</f>
        <v>9999</v>
      </c>
      <c r="AP18" s="43">
        <f>IF(tblMatrizDistancias[[#This Row],[NodoOrigen \ NodoDestino]]="G2",0,IF(tblMatrizTradeOff[[#This Row],[G2]]=0,9999,1/tblMatrizTradeOff[[#This Row],[G2]]))</f>
        <v>0.1764705882352941</v>
      </c>
      <c r="AQ18" s="43">
        <f>IF(tblMatrizDistancias[[#This Row],[NodoOrigen \ NodoDestino]]="G3",0,IF(tblMatrizTradeOff[[#This Row],[G3]]=0,9999,1/tblMatrizTradeOff[[#This Row],[G3]]))</f>
        <v>9999</v>
      </c>
      <c r="AR18" s="43">
        <f>IF(tblMatrizDistancias[[#This Row],[NodoOrigen \ NodoDestino]]="D",0,IF(tblMatrizTradeOff[[#This Row],[D]]=0,9999,1/tblMatrizTradeOff[[#This Row],[D]]))</f>
        <v>0.27777777777777779</v>
      </c>
    </row>
    <row r="19" spans="2:44" ht="17.25" customHeight="1" x14ac:dyDescent="0.25">
      <c r="B19" s="14" t="str">
        <f>VLOOKUP(tblMatrizDeAdyacencia[[#This Row],[NodoOrigen \ NodoDestino]],tblNodos[],2,FALSE)</f>
        <v>Redistribuidor logístico</v>
      </c>
      <c r="C19" s="5" t="s">
        <v>65</v>
      </c>
      <c r="D19" s="43">
        <f>IF(OR(MatrizPonderadaCostes!D19=0,MatrizPonderadaValorOperativo!D19=0),0,MatrizPonderadaValorOperativo!D19/MatrizPonderadaCostes!D19)</f>
        <v>0</v>
      </c>
      <c r="E19" s="43">
        <f>IF(OR(MatrizPonderadaCostes!E19=0,MatrizPonderadaValorOperativo!E19=0),0,MatrizPonderadaValorOperativo!E19/MatrizPonderadaCostes!E19)</f>
        <v>0</v>
      </c>
      <c r="F19" s="43">
        <f>IF(OR(MatrizPonderadaCostes!F19=0,MatrizPonderadaValorOperativo!F19=0),0,MatrizPonderadaValorOperativo!F19/MatrizPonderadaCostes!F19)</f>
        <v>0</v>
      </c>
      <c r="G19" s="43">
        <f>IF(OR(MatrizPonderadaCostes!G19=0,MatrizPonderadaValorOperativo!G19=0),0,MatrizPonderadaValorOperativo!G19/MatrizPonderadaCostes!G19)</f>
        <v>0</v>
      </c>
      <c r="H19" s="43">
        <f>IF(OR(MatrizPonderadaCostes!H19=0,MatrizPonderadaValorOperativo!H19=0),0,MatrizPonderadaValorOperativo!H19/MatrizPonderadaCostes!H19)</f>
        <v>0</v>
      </c>
      <c r="I19" s="43">
        <f>IF(OR(MatrizPonderadaCostes!I19=0,MatrizPonderadaValorOperativo!I19=0),0,MatrizPonderadaValorOperativo!I19/MatrizPonderadaCostes!I19)</f>
        <v>0</v>
      </c>
      <c r="J19" s="43">
        <f>IF(OR(MatrizPonderadaCostes!J19=0,MatrizPonderadaValorOperativo!J19=0),0,MatrizPonderadaValorOperativo!J19/MatrizPonderadaCostes!J19)</f>
        <v>0</v>
      </c>
      <c r="K19" s="43">
        <f>IF(OR(MatrizPonderadaCostes!K19=0,MatrizPonderadaValorOperativo!K19=0),0,MatrizPonderadaValorOperativo!K19/MatrizPonderadaCostes!K19)</f>
        <v>0</v>
      </c>
      <c r="L19" s="43">
        <f>IF(OR(MatrizPonderadaCostes!L19=0,MatrizPonderadaValorOperativo!L19=0),0,MatrizPonderadaValorOperativo!L19/MatrizPonderadaCostes!L19)</f>
        <v>0</v>
      </c>
      <c r="M19" s="43">
        <f>IF(OR(MatrizPonderadaCostes!M19=0,MatrizPonderadaValorOperativo!M19=0),0,MatrizPonderadaValorOperativo!M19/MatrizPonderadaCostes!M19)</f>
        <v>0</v>
      </c>
      <c r="N19" s="43">
        <f>IF(OR(MatrizPonderadaCostes!N19=0,MatrizPonderadaValorOperativo!N19=0),0,MatrizPonderadaValorOperativo!N19/MatrizPonderadaCostes!N19)</f>
        <v>0</v>
      </c>
      <c r="O19" s="43">
        <f>IF(OR(MatrizPonderadaCostes!O19=0,MatrizPonderadaValorOperativo!O19=0),0,MatrizPonderadaValorOperativo!O19/MatrizPonderadaCostes!O19)</f>
        <v>0</v>
      </c>
      <c r="P19" s="43">
        <f>IF(OR(MatrizPonderadaCostes!P19=0,MatrizPonderadaValorOperativo!P19=0),0,MatrizPonderadaValorOperativo!P19/MatrizPonderadaCostes!P19)</f>
        <v>0</v>
      </c>
      <c r="Q19" s="43">
        <f>IF(OR(MatrizPonderadaCostes!Q19=0,MatrizPonderadaValorOperativo!Q19=0),0,MatrizPonderadaValorOperativo!Q19/MatrizPonderadaCostes!Q19)</f>
        <v>0</v>
      </c>
      <c r="R19" s="43">
        <f>IF(OR(MatrizPonderadaCostes!R19=0,MatrizPonderadaValorOperativo!R19=0),0,MatrizPonderadaValorOperativo!R19/MatrizPonderadaCostes!R19)</f>
        <v>0</v>
      </c>
      <c r="S19" s="43">
        <f>IF(OR(MatrizPonderadaCostes!S19=0,MatrizPonderadaValorOperativo!S19=0),0,MatrizPonderadaValorOperativo!S19/MatrizPonderadaCostes!S19)</f>
        <v>0</v>
      </c>
      <c r="T19" s="43">
        <f>IF(OR(MatrizPonderadaCostes!T19=0,MatrizPonderadaValorOperativo!T19=0),0,MatrizPonderadaValorOperativo!T19/MatrizPonderadaCostes!T19)</f>
        <v>4.666666666666667</v>
      </c>
      <c r="U19" s="43">
        <f>IF(OR(MatrizPonderadaCostes!U19=0,MatrizPonderadaValorOperativo!U19=0),0,MatrizPonderadaValorOperativo!U19/MatrizPonderadaCostes!U19)</f>
        <v>0</v>
      </c>
      <c r="V19" s="44">
        <f>IF(OR(MatrizPonderadaCostes!V19=0,MatrizPonderadaValorOperativo!V19=0),0,MatrizPonderadaValorOperativo!V19/MatrizPonderadaCostes!V19)</f>
        <v>2.8</v>
      </c>
      <c r="W19"/>
      <c r="X19" s="14" t="str">
        <f>VLOOKUP(tblMatrizDeAdyacencia[[#This Row],[NodoOrigen \ NodoDestino]],tblNodos[],2,FALSE)</f>
        <v>Redistribuidor logístico</v>
      </c>
      <c r="Y19" s="5" t="s">
        <v>65</v>
      </c>
      <c r="Z19" s="43">
        <f>IF(tblMatrizDistancias[[#This Row],[NodoOrigen \ NodoDestino]]="O1",0,IF(tblMatrizTradeOff[[#This Row],[O1]]=0,9999,1/tblMatrizTradeOff[[#This Row],[O1]]))</f>
        <v>9999</v>
      </c>
      <c r="AA19" s="43">
        <f>IF(tblMatrizDistancias[[#This Row],[NodoOrigen \ NodoDestino]]="O2",0,IF(tblMatrizTradeOff[[#This Row],[O2]]=0,9999,1/tblMatrizTradeOff[[#This Row],[O2]]))</f>
        <v>9999</v>
      </c>
      <c r="AB19" s="43">
        <f>IF(tblMatrizDistancias[[#This Row],[NodoOrigen \ NodoDestino]]="O3",0,IF(tblMatrizTradeOff[[#This Row],[O3]]=0,9999,1/tblMatrizTradeOff[[#This Row],[O3]]))</f>
        <v>9999</v>
      </c>
      <c r="AC19" s="43">
        <f>IF(tblMatrizDistancias[[#This Row],[NodoOrigen \ NodoDestino]]="O4",0,IF(tblMatrizTradeOff[[#This Row],[O4]]=0,9999,1/tblMatrizTradeOff[[#This Row],[O4]]))</f>
        <v>9999</v>
      </c>
      <c r="AD19" s="43">
        <f>IF(tblMatrizDistancias[[#This Row],[NodoOrigen \ NodoDestino]]="O5",0,IF(tblMatrizTradeOff[[#This Row],[O5]]=0,9999,1/tblMatrizTradeOff[[#This Row],[O5]]))</f>
        <v>9999</v>
      </c>
      <c r="AE19" s="43">
        <f>IF(tblMatrizDistancias[[#This Row],[NodoOrigen \ NodoDestino]]="O6",0,IF(tblMatrizTradeOff[[#This Row],[O6]]=0,9999,1/tblMatrizTradeOff[[#This Row],[O6]]))</f>
        <v>9999</v>
      </c>
      <c r="AF19" s="43">
        <f>IF(tblMatrizDistancias[[#This Row],[NodoOrigen \ NodoDestino]]="I1",0,IF(tblMatrizTradeOff[[#This Row],[I1]]=0,9999,1/tblMatrizTradeOff[[#This Row],[I1]]))</f>
        <v>9999</v>
      </c>
      <c r="AG19" s="43">
        <f>IF(tblMatrizDistancias[[#This Row],[NodoOrigen \ NodoDestino]]="I2",0,IF(tblMatrizTradeOff[[#This Row],[I2]]=0,9999,1/tblMatrizTradeOff[[#This Row],[I2]]))</f>
        <v>9999</v>
      </c>
      <c r="AH19" s="43">
        <f>IF(tblMatrizDistancias[[#This Row],[NodoOrigen \ NodoDestino]]="I3",0,IF(tblMatrizTradeOff[[#This Row],[I3]]=0,9999,1/tblMatrizTradeOff[[#This Row],[I3]]))</f>
        <v>9999</v>
      </c>
      <c r="AI19" s="43">
        <f>IF(tblMatrizDistancias[[#This Row],[NodoOrigen \ NodoDestino]]="I4",0,IF(tblMatrizTradeOff[[#This Row],[I4]]=0,9999,1/tblMatrizTradeOff[[#This Row],[I4]]))</f>
        <v>9999</v>
      </c>
      <c r="AJ19" s="43">
        <f>IF(tblMatrizDistancias[[#This Row],[NodoOrigen \ NodoDestino]]="I5",0,IF(tblMatrizTradeOff[[#This Row],[I5]]=0,9999,1/tblMatrizTradeOff[[#This Row],[I5]]))</f>
        <v>9999</v>
      </c>
      <c r="AK19" s="43">
        <f>IF(tblMatrizDistancias[[#This Row],[NodoOrigen \ NodoDestino]]="I6",0,IF(tblMatrizTradeOff[[#This Row],[I6]]=0,9999,1/tblMatrizTradeOff[[#This Row],[I6]]))</f>
        <v>9999</v>
      </c>
      <c r="AL19" s="43">
        <f>IF(tblMatrizDistancias[[#This Row],[NodoOrigen \ NodoDestino]]="I7",0,IF(tblMatrizTradeOff[[#This Row],[I7]]=0,9999,1/tblMatrizTradeOff[[#This Row],[I7]]))</f>
        <v>9999</v>
      </c>
      <c r="AM19" s="43">
        <f>IF(tblMatrizDistancias[[#This Row],[NodoOrigen \ NodoDestino]]="I8",0,IF(tblMatrizTradeOff[[#This Row],[I8]]=0,9999,1/tblMatrizTradeOff[[#This Row],[I8]]))</f>
        <v>9999</v>
      </c>
      <c r="AN19" s="43">
        <f>IF(tblMatrizDistancias[[#This Row],[NodoOrigen \ NodoDestino]]="I9",0,IF(tblMatrizTradeOff[[#This Row],[I9]]=0,9999,1/tblMatrizTradeOff[[#This Row],[I9]]))</f>
        <v>9999</v>
      </c>
      <c r="AO19" s="43">
        <f>IF(tblMatrizDistancias[[#This Row],[NodoOrigen \ NodoDestino]]="G1",0,IF(tblMatrizTradeOff[[#This Row],[G1]]=0,9999,1/tblMatrizTradeOff[[#This Row],[G1]]))</f>
        <v>0</v>
      </c>
      <c r="AP19" s="43">
        <f>IF(tblMatrizDistancias[[#This Row],[NodoOrigen \ NodoDestino]]="G2",0,IF(tblMatrizTradeOff[[#This Row],[G2]]=0,9999,1/tblMatrizTradeOff[[#This Row],[G2]]))</f>
        <v>0.21428571428571427</v>
      </c>
      <c r="AQ19" s="43">
        <f>IF(tblMatrizDistancias[[#This Row],[NodoOrigen \ NodoDestino]]="G3",0,IF(tblMatrizTradeOff[[#This Row],[G3]]=0,9999,1/tblMatrizTradeOff[[#This Row],[G3]]))</f>
        <v>9999</v>
      </c>
      <c r="AR19" s="43">
        <f>IF(tblMatrizDistancias[[#This Row],[NodoOrigen \ NodoDestino]]="D",0,IF(tblMatrizTradeOff[[#This Row],[D]]=0,9999,1/tblMatrizTradeOff[[#This Row],[D]]))</f>
        <v>0.35714285714285715</v>
      </c>
    </row>
    <row r="20" spans="2:44" ht="17.25" customHeight="1" x14ac:dyDescent="0.25">
      <c r="B20" s="14" t="str">
        <f>VLOOKUP(tblMatrizDeAdyacencia[[#This Row],[NodoOrigen \ NodoDestino]],tblNodos[],2,FALSE)</f>
        <v>Redistribuidor financiero</v>
      </c>
      <c r="C20" s="5" t="s">
        <v>67</v>
      </c>
      <c r="D20" s="43">
        <f>IF(OR(MatrizPonderadaCostes!D20=0,MatrizPonderadaValorOperativo!D20=0),0,MatrizPonderadaValorOperativo!D20/MatrizPonderadaCostes!D20)</f>
        <v>0</v>
      </c>
      <c r="E20" s="43">
        <f>IF(OR(MatrizPonderadaCostes!E20=0,MatrizPonderadaValorOperativo!E20=0),0,MatrizPonderadaValorOperativo!E20/MatrizPonderadaCostes!E20)</f>
        <v>0</v>
      </c>
      <c r="F20" s="43">
        <f>IF(OR(MatrizPonderadaCostes!F20=0,MatrizPonderadaValorOperativo!F20=0),0,MatrizPonderadaValorOperativo!F20/MatrizPonderadaCostes!F20)</f>
        <v>0</v>
      </c>
      <c r="G20" s="43">
        <f>IF(OR(MatrizPonderadaCostes!G20=0,MatrizPonderadaValorOperativo!G20=0),0,MatrizPonderadaValorOperativo!G20/MatrizPonderadaCostes!G20)</f>
        <v>0</v>
      </c>
      <c r="H20" s="43">
        <f>IF(OR(MatrizPonderadaCostes!H20=0,MatrizPonderadaValorOperativo!H20=0),0,MatrizPonderadaValorOperativo!H20/MatrizPonderadaCostes!H20)</f>
        <v>0</v>
      </c>
      <c r="I20" s="43">
        <f>IF(OR(MatrizPonderadaCostes!I20=0,MatrizPonderadaValorOperativo!I20=0),0,MatrizPonderadaValorOperativo!I20/MatrizPonderadaCostes!I20)</f>
        <v>0</v>
      </c>
      <c r="J20" s="43">
        <f>IF(OR(MatrizPonderadaCostes!J20=0,MatrizPonderadaValorOperativo!J20=0),0,MatrizPonderadaValorOperativo!J20/MatrizPonderadaCostes!J20)</f>
        <v>0</v>
      </c>
      <c r="K20" s="43">
        <f>IF(OR(MatrizPonderadaCostes!K20=0,MatrizPonderadaValorOperativo!K20=0),0,MatrizPonderadaValorOperativo!K20/MatrizPonderadaCostes!K20)</f>
        <v>0</v>
      </c>
      <c r="L20" s="43">
        <f>IF(OR(MatrizPonderadaCostes!L20=0,MatrizPonderadaValorOperativo!L20=0),0,MatrizPonderadaValorOperativo!L20/MatrizPonderadaCostes!L20)</f>
        <v>0</v>
      </c>
      <c r="M20" s="43">
        <f>IF(OR(MatrizPonderadaCostes!M20=0,MatrizPonderadaValorOperativo!M20=0),0,MatrizPonderadaValorOperativo!M20/MatrizPonderadaCostes!M20)</f>
        <v>0</v>
      </c>
      <c r="N20" s="43">
        <f>IF(OR(MatrizPonderadaCostes!N20=0,MatrizPonderadaValorOperativo!N20=0),0,MatrizPonderadaValorOperativo!N20/MatrizPonderadaCostes!N20)</f>
        <v>0</v>
      </c>
      <c r="O20" s="43">
        <f>IF(OR(MatrizPonderadaCostes!O20=0,MatrizPonderadaValorOperativo!O20=0),0,MatrizPonderadaValorOperativo!O20/MatrizPonderadaCostes!O20)</f>
        <v>0</v>
      </c>
      <c r="P20" s="43">
        <f>IF(OR(MatrizPonderadaCostes!P20=0,MatrizPonderadaValorOperativo!P20=0),0,MatrizPonderadaValorOperativo!P20/MatrizPonderadaCostes!P20)</f>
        <v>0</v>
      </c>
      <c r="Q20" s="43">
        <f>IF(OR(MatrizPonderadaCostes!Q20=0,MatrizPonderadaValorOperativo!Q20=0),0,MatrizPonderadaValorOperativo!Q20/MatrizPonderadaCostes!Q20)</f>
        <v>0</v>
      </c>
      <c r="R20" s="43">
        <f>IF(OR(MatrizPonderadaCostes!R20=0,MatrizPonderadaValorOperativo!R20=0),0,MatrizPonderadaValorOperativo!R20/MatrizPonderadaCostes!R20)</f>
        <v>0</v>
      </c>
      <c r="S20" s="43">
        <f>IF(OR(MatrizPonderadaCostes!S20=0,MatrizPonderadaValorOperativo!S20=0),0,MatrizPonderadaValorOperativo!S20/MatrizPonderadaCostes!S20)</f>
        <v>0</v>
      </c>
      <c r="T20" s="43">
        <f>IF(OR(MatrizPonderadaCostes!T20=0,MatrizPonderadaValorOperativo!T20=0),0,MatrizPonderadaValorOperativo!T20/MatrizPonderadaCostes!T20)</f>
        <v>0</v>
      </c>
      <c r="U20" s="43">
        <f>IF(OR(MatrizPonderadaCostes!U20=0,MatrizPonderadaValorOperativo!U20=0),0,MatrizPonderadaValorOperativo!U20/MatrizPonderadaCostes!U20)</f>
        <v>3.6</v>
      </c>
      <c r="V20" s="44">
        <f>IF(OR(MatrizPonderadaCostes!V20=0,MatrizPonderadaValorOperativo!V20=0),0,MatrizPonderadaValorOperativo!V20/MatrizPonderadaCostes!V20)</f>
        <v>5.666666666666667</v>
      </c>
      <c r="W20"/>
      <c r="X20" s="14" t="str">
        <f>VLOOKUP(tblMatrizDeAdyacencia[[#This Row],[NodoOrigen \ NodoDestino]],tblNodos[],2,FALSE)</f>
        <v>Redistribuidor financiero</v>
      </c>
      <c r="Y20" s="5" t="s">
        <v>67</v>
      </c>
      <c r="Z20" s="43">
        <f>IF(tblMatrizDistancias[[#This Row],[NodoOrigen \ NodoDestino]]="O1",0,IF(tblMatrizTradeOff[[#This Row],[O1]]=0,9999,1/tblMatrizTradeOff[[#This Row],[O1]]))</f>
        <v>9999</v>
      </c>
      <c r="AA20" s="43">
        <f>IF(tblMatrizDistancias[[#This Row],[NodoOrigen \ NodoDestino]]="O2",0,IF(tblMatrizTradeOff[[#This Row],[O2]]=0,9999,1/tblMatrizTradeOff[[#This Row],[O2]]))</f>
        <v>9999</v>
      </c>
      <c r="AB20" s="43">
        <f>IF(tblMatrizDistancias[[#This Row],[NodoOrigen \ NodoDestino]]="O3",0,IF(tblMatrizTradeOff[[#This Row],[O3]]=0,9999,1/tblMatrizTradeOff[[#This Row],[O3]]))</f>
        <v>9999</v>
      </c>
      <c r="AC20" s="43">
        <f>IF(tblMatrizDistancias[[#This Row],[NodoOrigen \ NodoDestino]]="O4",0,IF(tblMatrizTradeOff[[#This Row],[O4]]=0,9999,1/tblMatrizTradeOff[[#This Row],[O4]]))</f>
        <v>9999</v>
      </c>
      <c r="AD20" s="43">
        <f>IF(tblMatrizDistancias[[#This Row],[NodoOrigen \ NodoDestino]]="O5",0,IF(tblMatrizTradeOff[[#This Row],[O5]]=0,9999,1/tblMatrizTradeOff[[#This Row],[O5]]))</f>
        <v>9999</v>
      </c>
      <c r="AE20" s="43">
        <f>IF(tblMatrizDistancias[[#This Row],[NodoOrigen \ NodoDestino]]="O6",0,IF(tblMatrizTradeOff[[#This Row],[O6]]=0,9999,1/tblMatrizTradeOff[[#This Row],[O6]]))</f>
        <v>9999</v>
      </c>
      <c r="AF20" s="43">
        <f>IF(tblMatrizDistancias[[#This Row],[NodoOrigen \ NodoDestino]]="I1",0,IF(tblMatrizTradeOff[[#This Row],[I1]]=0,9999,1/tblMatrizTradeOff[[#This Row],[I1]]))</f>
        <v>9999</v>
      </c>
      <c r="AG20" s="43">
        <f>IF(tblMatrizDistancias[[#This Row],[NodoOrigen \ NodoDestino]]="I2",0,IF(tblMatrizTradeOff[[#This Row],[I2]]=0,9999,1/tblMatrizTradeOff[[#This Row],[I2]]))</f>
        <v>9999</v>
      </c>
      <c r="AH20" s="43">
        <f>IF(tblMatrizDistancias[[#This Row],[NodoOrigen \ NodoDestino]]="I3",0,IF(tblMatrizTradeOff[[#This Row],[I3]]=0,9999,1/tblMatrizTradeOff[[#This Row],[I3]]))</f>
        <v>9999</v>
      </c>
      <c r="AI20" s="43">
        <f>IF(tblMatrizDistancias[[#This Row],[NodoOrigen \ NodoDestino]]="I4",0,IF(tblMatrizTradeOff[[#This Row],[I4]]=0,9999,1/tblMatrizTradeOff[[#This Row],[I4]]))</f>
        <v>9999</v>
      </c>
      <c r="AJ20" s="43">
        <f>IF(tblMatrizDistancias[[#This Row],[NodoOrigen \ NodoDestino]]="I5",0,IF(tblMatrizTradeOff[[#This Row],[I5]]=0,9999,1/tblMatrizTradeOff[[#This Row],[I5]]))</f>
        <v>9999</v>
      </c>
      <c r="AK20" s="43">
        <f>IF(tblMatrizDistancias[[#This Row],[NodoOrigen \ NodoDestino]]="I6",0,IF(tblMatrizTradeOff[[#This Row],[I6]]=0,9999,1/tblMatrizTradeOff[[#This Row],[I6]]))</f>
        <v>9999</v>
      </c>
      <c r="AL20" s="43">
        <f>IF(tblMatrizDistancias[[#This Row],[NodoOrigen \ NodoDestino]]="I7",0,IF(tblMatrizTradeOff[[#This Row],[I7]]=0,9999,1/tblMatrizTradeOff[[#This Row],[I7]]))</f>
        <v>9999</v>
      </c>
      <c r="AM20" s="43">
        <f>IF(tblMatrizDistancias[[#This Row],[NodoOrigen \ NodoDestino]]="I8",0,IF(tblMatrizTradeOff[[#This Row],[I8]]=0,9999,1/tblMatrizTradeOff[[#This Row],[I8]]))</f>
        <v>9999</v>
      </c>
      <c r="AN20" s="43">
        <f>IF(tblMatrizDistancias[[#This Row],[NodoOrigen \ NodoDestino]]="I9",0,IF(tblMatrizTradeOff[[#This Row],[I9]]=0,9999,1/tblMatrizTradeOff[[#This Row],[I9]]))</f>
        <v>9999</v>
      </c>
      <c r="AO20" s="43">
        <f>IF(tblMatrizDistancias[[#This Row],[NodoOrigen \ NodoDestino]]="G1",0,IF(tblMatrizTradeOff[[#This Row],[G1]]=0,9999,1/tblMatrizTradeOff[[#This Row],[G1]]))</f>
        <v>9999</v>
      </c>
      <c r="AP20" s="43">
        <f>IF(tblMatrizDistancias[[#This Row],[NodoOrigen \ NodoDestino]]="G2",0,IF(tblMatrizTradeOff[[#This Row],[G2]]=0,9999,1/tblMatrizTradeOff[[#This Row],[G2]]))</f>
        <v>0</v>
      </c>
      <c r="AQ20" s="43">
        <f>IF(tblMatrizDistancias[[#This Row],[NodoOrigen \ NodoDestino]]="G3",0,IF(tblMatrizTradeOff[[#This Row],[G3]]=0,9999,1/tblMatrizTradeOff[[#This Row],[G3]]))</f>
        <v>0.27777777777777779</v>
      </c>
      <c r="AR20" s="43">
        <f>IF(tblMatrizDistancias[[#This Row],[NodoOrigen \ NodoDestino]]="D",0,IF(tblMatrizTradeOff[[#This Row],[D]]=0,9999,1/tblMatrizTradeOff[[#This Row],[D]]))</f>
        <v>0.1764705882352941</v>
      </c>
    </row>
    <row r="21" spans="2:44" ht="17.25" customHeight="1" x14ac:dyDescent="0.25">
      <c r="B21" s="14" t="str">
        <f>VLOOKUP(tblMatrizDeAdyacencia[[#This Row],[NodoOrigen \ NodoDestino]],tblNodos[],2,FALSE)</f>
        <v>Redistribuidor final</v>
      </c>
      <c r="C21" s="5" t="s">
        <v>69</v>
      </c>
      <c r="D21" s="43">
        <f>IF(OR(MatrizPonderadaCostes!D21=0,MatrizPonderadaValorOperativo!D21=0),0,MatrizPonderadaValorOperativo!D21/MatrizPonderadaCostes!D21)</f>
        <v>0</v>
      </c>
      <c r="E21" s="43">
        <f>IF(OR(MatrizPonderadaCostes!E21=0,MatrizPonderadaValorOperativo!E21=0),0,MatrizPonderadaValorOperativo!E21/MatrizPonderadaCostes!E21)</f>
        <v>0</v>
      </c>
      <c r="F21" s="43">
        <f>IF(OR(MatrizPonderadaCostes!F21=0,MatrizPonderadaValorOperativo!F21=0),0,MatrizPonderadaValorOperativo!F21/MatrizPonderadaCostes!F21)</f>
        <v>0</v>
      </c>
      <c r="G21" s="43">
        <f>IF(OR(MatrizPonderadaCostes!G21=0,MatrizPonderadaValorOperativo!G21=0),0,MatrizPonderadaValorOperativo!G21/MatrizPonderadaCostes!G21)</f>
        <v>0</v>
      </c>
      <c r="H21" s="43">
        <f>IF(OR(MatrizPonderadaCostes!H21=0,MatrizPonderadaValorOperativo!H21=0),0,MatrizPonderadaValorOperativo!H21/MatrizPonderadaCostes!H21)</f>
        <v>0</v>
      </c>
      <c r="I21" s="43">
        <f>IF(OR(MatrizPonderadaCostes!I21=0,MatrizPonderadaValorOperativo!I21=0),0,MatrizPonderadaValorOperativo!I21/MatrizPonderadaCostes!I21)</f>
        <v>0</v>
      </c>
      <c r="J21" s="43">
        <f>IF(OR(MatrizPonderadaCostes!J21=0,MatrizPonderadaValorOperativo!J21=0),0,MatrizPonderadaValorOperativo!J21/MatrizPonderadaCostes!J21)</f>
        <v>0</v>
      </c>
      <c r="K21" s="43">
        <f>IF(OR(MatrizPonderadaCostes!K21=0,MatrizPonderadaValorOperativo!K21=0),0,MatrizPonderadaValorOperativo!K21/MatrizPonderadaCostes!K21)</f>
        <v>0</v>
      </c>
      <c r="L21" s="43">
        <f>IF(OR(MatrizPonderadaCostes!L21=0,MatrizPonderadaValorOperativo!L21=0),0,MatrizPonderadaValorOperativo!L21/MatrizPonderadaCostes!L21)</f>
        <v>0</v>
      </c>
      <c r="M21" s="43">
        <f>IF(OR(MatrizPonderadaCostes!M21=0,MatrizPonderadaValorOperativo!M21=0),0,MatrizPonderadaValorOperativo!M21/MatrizPonderadaCostes!M21)</f>
        <v>0</v>
      </c>
      <c r="N21" s="43">
        <f>IF(OR(MatrizPonderadaCostes!N21=0,MatrizPonderadaValorOperativo!N21=0),0,MatrizPonderadaValorOperativo!N21/MatrizPonderadaCostes!N21)</f>
        <v>0</v>
      </c>
      <c r="O21" s="43">
        <f>IF(OR(MatrizPonderadaCostes!O21=0,MatrizPonderadaValorOperativo!O21=0),0,MatrizPonderadaValorOperativo!O21/MatrizPonderadaCostes!O21)</f>
        <v>0</v>
      </c>
      <c r="P21" s="43">
        <f>IF(OR(MatrizPonderadaCostes!P21=0,MatrizPonderadaValorOperativo!P21=0),0,MatrizPonderadaValorOperativo!P21/MatrizPonderadaCostes!P21)</f>
        <v>0</v>
      </c>
      <c r="Q21" s="43">
        <f>IF(OR(MatrizPonderadaCostes!Q21=0,MatrizPonderadaValorOperativo!Q21=0),0,MatrizPonderadaValorOperativo!Q21/MatrizPonderadaCostes!Q21)</f>
        <v>0</v>
      </c>
      <c r="R21" s="43">
        <f>IF(OR(MatrizPonderadaCostes!R21=0,MatrizPonderadaValorOperativo!R21=0),0,MatrizPonderadaValorOperativo!R21/MatrizPonderadaCostes!R21)</f>
        <v>0</v>
      </c>
      <c r="S21" s="43">
        <f>IF(OR(MatrizPonderadaCostes!S21=0,MatrizPonderadaValorOperativo!S21=0),0,MatrizPonderadaValorOperativo!S21/MatrizPonderadaCostes!S21)</f>
        <v>0</v>
      </c>
      <c r="T21" s="43">
        <f>IF(OR(MatrizPonderadaCostes!T21=0,MatrizPonderadaValorOperativo!T21=0),0,MatrizPonderadaValorOperativo!T21/MatrizPonderadaCostes!T21)</f>
        <v>0</v>
      </c>
      <c r="U21" s="43">
        <f>IF(OR(MatrizPonderadaCostes!U21=0,MatrizPonderadaValorOperativo!U21=0),0,MatrizPonderadaValorOperativo!U21/MatrizPonderadaCostes!U21)</f>
        <v>0</v>
      </c>
      <c r="V21" s="44">
        <f>IF(OR(MatrizPonderadaCostes!V21=0,MatrizPonderadaValorOperativo!V21=0),0,MatrizPonderadaValorOperativo!V21/MatrizPonderadaCostes!V21)</f>
        <v>3.2</v>
      </c>
      <c r="W21"/>
      <c r="X21" s="14" t="str">
        <f>VLOOKUP(tblMatrizDeAdyacencia[[#This Row],[NodoOrigen \ NodoDestino]],tblNodos[],2,FALSE)</f>
        <v>Redistribuidor final</v>
      </c>
      <c r="Y21" s="5" t="s">
        <v>69</v>
      </c>
      <c r="Z21" s="43">
        <f>IF(tblMatrizDistancias[[#This Row],[NodoOrigen \ NodoDestino]]="O1",0,IF(tblMatrizTradeOff[[#This Row],[O1]]=0,9999,1/tblMatrizTradeOff[[#This Row],[O1]]))</f>
        <v>9999</v>
      </c>
      <c r="AA21" s="43">
        <f>IF(tblMatrizDistancias[[#This Row],[NodoOrigen \ NodoDestino]]="O2",0,IF(tblMatrizTradeOff[[#This Row],[O2]]=0,9999,1/tblMatrizTradeOff[[#This Row],[O2]]))</f>
        <v>9999</v>
      </c>
      <c r="AB21" s="43">
        <f>IF(tblMatrizDistancias[[#This Row],[NodoOrigen \ NodoDestino]]="O3",0,IF(tblMatrizTradeOff[[#This Row],[O3]]=0,9999,1/tblMatrizTradeOff[[#This Row],[O3]]))</f>
        <v>9999</v>
      </c>
      <c r="AC21" s="43">
        <f>IF(tblMatrizDistancias[[#This Row],[NodoOrigen \ NodoDestino]]="O4",0,IF(tblMatrizTradeOff[[#This Row],[O4]]=0,9999,1/tblMatrizTradeOff[[#This Row],[O4]]))</f>
        <v>9999</v>
      </c>
      <c r="AD21" s="43">
        <f>IF(tblMatrizDistancias[[#This Row],[NodoOrigen \ NodoDestino]]="O5",0,IF(tblMatrizTradeOff[[#This Row],[O5]]=0,9999,1/tblMatrizTradeOff[[#This Row],[O5]]))</f>
        <v>9999</v>
      </c>
      <c r="AE21" s="43">
        <f>IF(tblMatrizDistancias[[#This Row],[NodoOrigen \ NodoDestino]]="O6",0,IF(tblMatrizTradeOff[[#This Row],[O6]]=0,9999,1/tblMatrizTradeOff[[#This Row],[O6]]))</f>
        <v>9999</v>
      </c>
      <c r="AF21" s="43">
        <f>IF(tblMatrizDistancias[[#This Row],[NodoOrigen \ NodoDestino]]="I1",0,IF(tblMatrizTradeOff[[#This Row],[I1]]=0,9999,1/tblMatrizTradeOff[[#This Row],[I1]]))</f>
        <v>9999</v>
      </c>
      <c r="AG21" s="43">
        <f>IF(tblMatrizDistancias[[#This Row],[NodoOrigen \ NodoDestino]]="I2",0,IF(tblMatrizTradeOff[[#This Row],[I2]]=0,9999,1/tblMatrizTradeOff[[#This Row],[I2]]))</f>
        <v>9999</v>
      </c>
      <c r="AH21" s="43">
        <f>IF(tblMatrizDistancias[[#This Row],[NodoOrigen \ NodoDestino]]="I3",0,IF(tblMatrizTradeOff[[#This Row],[I3]]=0,9999,1/tblMatrizTradeOff[[#This Row],[I3]]))</f>
        <v>9999</v>
      </c>
      <c r="AI21" s="43">
        <f>IF(tblMatrizDistancias[[#This Row],[NodoOrigen \ NodoDestino]]="I4",0,IF(tblMatrizTradeOff[[#This Row],[I4]]=0,9999,1/tblMatrizTradeOff[[#This Row],[I4]]))</f>
        <v>9999</v>
      </c>
      <c r="AJ21" s="43">
        <f>IF(tblMatrizDistancias[[#This Row],[NodoOrigen \ NodoDestino]]="I5",0,IF(tblMatrizTradeOff[[#This Row],[I5]]=0,9999,1/tblMatrizTradeOff[[#This Row],[I5]]))</f>
        <v>9999</v>
      </c>
      <c r="AK21" s="43">
        <f>IF(tblMatrizDistancias[[#This Row],[NodoOrigen \ NodoDestino]]="I6",0,IF(tblMatrizTradeOff[[#This Row],[I6]]=0,9999,1/tblMatrizTradeOff[[#This Row],[I6]]))</f>
        <v>9999</v>
      </c>
      <c r="AL21" s="43">
        <f>IF(tblMatrizDistancias[[#This Row],[NodoOrigen \ NodoDestino]]="I7",0,IF(tblMatrizTradeOff[[#This Row],[I7]]=0,9999,1/tblMatrizTradeOff[[#This Row],[I7]]))</f>
        <v>9999</v>
      </c>
      <c r="AM21" s="43">
        <f>IF(tblMatrizDistancias[[#This Row],[NodoOrigen \ NodoDestino]]="I8",0,IF(tblMatrizTradeOff[[#This Row],[I8]]=0,9999,1/tblMatrizTradeOff[[#This Row],[I8]]))</f>
        <v>9999</v>
      </c>
      <c r="AN21" s="43">
        <f>IF(tblMatrizDistancias[[#This Row],[NodoOrigen \ NodoDestino]]="I9",0,IF(tblMatrizTradeOff[[#This Row],[I9]]=0,9999,1/tblMatrizTradeOff[[#This Row],[I9]]))</f>
        <v>9999</v>
      </c>
      <c r="AO21" s="43">
        <f>IF(tblMatrizDistancias[[#This Row],[NodoOrigen \ NodoDestino]]="G1",0,IF(tblMatrizTradeOff[[#This Row],[G1]]=0,9999,1/tblMatrizTradeOff[[#This Row],[G1]]))</f>
        <v>9999</v>
      </c>
      <c r="AP21" s="43">
        <f>IF(tblMatrizDistancias[[#This Row],[NodoOrigen \ NodoDestino]]="G2",0,IF(tblMatrizTradeOff[[#This Row],[G2]]=0,9999,1/tblMatrizTradeOff[[#This Row],[G2]]))</f>
        <v>9999</v>
      </c>
      <c r="AQ21" s="43">
        <f>IF(tblMatrizDistancias[[#This Row],[NodoOrigen \ NodoDestino]]="G3",0,IF(tblMatrizTradeOff[[#This Row],[G3]]=0,9999,1/tblMatrizTradeOff[[#This Row],[G3]]))</f>
        <v>0</v>
      </c>
      <c r="AR21" s="43">
        <f>IF(tblMatrizDistancias[[#This Row],[NodoOrigen \ NodoDestino]]="D",0,IF(tblMatrizTradeOff[[#This Row],[D]]=0,9999,1/tblMatrizTradeOff[[#This Row],[D]]))</f>
        <v>0.3125</v>
      </c>
    </row>
    <row r="22" spans="2:44" ht="17.25" customHeight="1" x14ac:dyDescent="0.25">
      <c r="B22" s="15" t="str">
        <f>VLOOKUP(tblMatrizDeAdyacencia[[#This Row],[NodoOrigen \ NodoDestino]],tblNodos[],2,FALSE)</f>
        <v>Destino operativo final</v>
      </c>
      <c r="C22" s="10" t="s">
        <v>37</v>
      </c>
      <c r="D22" s="45">
        <f>IF(OR(MatrizPonderadaCostes!D22=0,MatrizPonderadaValorOperativo!D22=0),0,MatrizPonderadaValorOperativo!D22/MatrizPonderadaCostes!D22)</f>
        <v>0</v>
      </c>
      <c r="E22" s="45">
        <f>IF(OR(MatrizPonderadaCostes!E22=0,MatrizPonderadaValorOperativo!E22=0),0,MatrizPonderadaValorOperativo!E22/MatrizPonderadaCostes!E22)</f>
        <v>0</v>
      </c>
      <c r="F22" s="45">
        <f>IF(OR(MatrizPonderadaCostes!F22=0,MatrizPonderadaValorOperativo!F22=0),0,MatrizPonderadaValorOperativo!F22/MatrizPonderadaCostes!F22)</f>
        <v>0</v>
      </c>
      <c r="G22" s="45">
        <f>IF(OR(MatrizPonderadaCostes!G22=0,MatrizPonderadaValorOperativo!G22=0),0,MatrizPonderadaValorOperativo!G22/MatrizPonderadaCostes!G22)</f>
        <v>0</v>
      </c>
      <c r="H22" s="45">
        <f>IF(OR(MatrizPonderadaCostes!H22=0,MatrizPonderadaValorOperativo!H22=0),0,MatrizPonderadaValorOperativo!H22/MatrizPonderadaCostes!H22)</f>
        <v>0</v>
      </c>
      <c r="I22" s="45">
        <f>IF(OR(MatrizPonderadaCostes!I22=0,MatrizPonderadaValorOperativo!I22=0),0,MatrizPonderadaValorOperativo!I22/MatrizPonderadaCostes!I22)</f>
        <v>0</v>
      </c>
      <c r="J22" s="45">
        <f>IF(OR(MatrizPonderadaCostes!J22=0,MatrizPonderadaValorOperativo!J22=0),0,MatrizPonderadaValorOperativo!J22/MatrizPonderadaCostes!J22)</f>
        <v>0</v>
      </c>
      <c r="K22" s="45">
        <f>IF(OR(MatrizPonderadaCostes!K22=0,MatrizPonderadaValorOperativo!K22=0),0,MatrizPonderadaValorOperativo!K22/MatrizPonderadaCostes!K22)</f>
        <v>0</v>
      </c>
      <c r="L22" s="45">
        <f>IF(OR(MatrizPonderadaCostes!L22=0,MatrizPonderadaValorOperativo!L22=0),0,MatrizPonderadaValorOperativo!L22/MatrizPonderadaCostes!L22)</f>
        <v>0</v>
      </c>
      <c r="M22" s="45">
        <f>IF(OR(MatrizPonderadaCostes!M22=0,MatrizPonderadaValorOperativo!M22=0),0,MatrizPonderadaValorOperativo!M22/MatrizPonderadaCostes!M22)</f>
        <v>0</v>
      </c>
      <c r="N22" s="45">
        <f>IF(OR(MatrizPonderadaCostes!N22=0,MatrizPonderadaValorOperativo!N22=0),0,MatrizPonderadaValorOperativo!N22/MatrizPonderadaCostes!N22)</f>
        <v>0</v>
      </c>
      <c r="O22" s="45">
        <f>IF(OR(MatrizPonderadaCostes!O22=0,MatrizPonderadaValorOperativo!O22=0),0,MatrizPonderadaValorOperativo!O22/MatrizPonderadaCostes!O22)</f>
        <v>0</v>
      </c>
      <c r="P22" s="45">
        <f>IF(OR(MatrizPonderadaCostes!P22=0,MatrizPonderadaValorOperativo!P22=0),0,MatrizPonderadaValorOperativo!P22/MatrizPonderadaCostes!P22)</f>
        <v>0</v>
      </c>
      <c r="Q22" s="45">
        <f>IF(OR(MatrizPonderadaCostes!Q22=0,MatrizPonderadaValorOperativo!Q22=0),0,MatrizPonderadaValorOperativo!Q22/MatrizPonderadaCostes!Q22)</f>
        <v>0</v>
      </c>
      <c r="R22" s="45">
        <f>IF(OR(MatrizPonderadaCostes!R22=0,MatrizPonderadaValorOperativo!R22=0),0,MatrizPonderadaValorOperativo!R22/MatrizPonderadaCostes!R22)</f>
        <v>0</v>
      </c>
      <c r="S22" s="45">
        <f>IF(OR(MatrizPonderadaCostes!S22=0,MatrizPonderadaValorOperativo!S22=0),0,MatrizPonderadaValorOperativo!S22/MatrizPonderadaCostes!S22)</f>
        <v>0</v>
      </c>
      <c r="T22" s="45">
        <f>IF(OR(MatrizPonderadaCostes!T22=0,MatrizPonderadaValorOperativo!T22=0),0,MatrizPonderadaValorOperativo!T22/MatrizPonderadaCostes!T22)</f>
        <v>0</v>
      </c>
      <c r="U22" s="45">
        <f>IF(OR(MatrizPonderadaCostes!U22=0,MatrizPonderadaValorOperativo!U22=0),0,MatrizPonderadaValorOperativo!U22/MatrizPonderadaCostes!U22)</f>
        <v>0</v>
      </c>
      <c r="V22" s="46">
        <f>IF(OR(MatrizPonderadaCostes!V22=0,MatrizPonderadaValorOperativo!V22=0),0,MatrizPonderadaValorOperativo!V22/MatrizPonderadaCostes!V22)</f>
        <v>0</v>
      </c>
      <c r="W22"/>
      <c r="X22" s="15" t="str">
        <f>VLOOKUP(tblMatrizDeAdyacencia[[#This Row],[NodoOrigen \ NodoDestino]],tblNodos[],2,FALSE)</f>
        <v>Destino operativo final</v>
      </c>
      <c r="Y22" s="10" t="s">
        <v>37</v>
      </c>
      <c r="Z22" s="45">
        <f>IF(tblMatrizDistancias[[#This Row],[NodoOrigen \ NodoDestino]]="O1",0,IF(tblMatrizTradeOff[[#This Row],[O1]]=0,9999,1/tblMatrizTradeOff[[#This Row],[O1]]))</f>
        <v>9999</v>
      </c>
      <c r="AA22" s="45">
        <f>IF(tblMatrizDistancias[[#This Row],[NodoOrigen \ NodoDestino]]="O2",0,IF(tblMatrizTradeOff[[#This Row],[O2]]=0,9999,1/tblMatrizTradeOff[[#This Row],[O2]]))</f>
        <v>9999</v>
      </c>
      <c r="AB22" s="45">
        <f>IF(tblMatrizDistancias[[#This Row],[NodoOrigen \ NodoDestino]]="O3",0,IF(tblMatrizTradeOff[[#This Row],[O3]]=0,9999,1/tblMatrizTradeOff[[#This Row],[O3]]))</f>
        <v>9999</v>
      </c>
      <c r="AC22" s="45">
        <f>IF(tblMatrizDistancias[[#This Row],[NodoOrigen \ NodoDestino]]="O4",0,IF(tblMatrizTradeOff[[#This Row],[O4]]=0,9999,1/tblMatrizTradeOff[[#This Row],[O4]]))</f>
        <v>9999</v>
      </c>
      <c r="AD22" s="45">
        <f>IF(tblMatrizDistancias[[#This Row],[NodoOrigen \ NodoDestino]]="O5",0,IF(tblMatrizTradeOff[[#This Row],[O5]]=0,9999,1/tblMatrizTradeOff[[#This Row],[O5]]))</f>
        <v>9999</v>
      </c>
      <c r="AE22" s="45">
        <f>IF(tblMatrizDistancias[[#This Row],[NodoOrigen \ NodoDestino]]="O6",0,IF(tblMatrizTradeOff[[#This Row],[O6]]=0,9999,1/tblMatrizTradeOff[[#This Row],[O6]]))</f>
        <v>9999</v>
      </c>
      <c r="AF22" s="45">
        <f>IF(tblMatrizDistancias[[#This Row],[NodoOrigen \ NodoDestino]]="I1",0,IF(tblMatrizTradeOff[[#This Row],[I1]]=0,9999,1/tblMatrizTradeOff[[#This Row],[I1]]))</f>
        <v>9999</v>
      </c>
      <c r="AG22" s="45">
        <f>IF(tblMatrizDistancias[[#This Row],[NodoOrigen \ NodoDestino]]="I2",0,IF(tblMatrizTradeOff[[#This Row],[I2]]=0,9999,1/tblMatrizTradeOff[[#This Row],[I2]]))</f>
        <v>9999</v>
      </c>
      <c r="AH22" s="45">
        <f>IF(tblMatrizDistancias[[#This Row],[NodoOrigen \ NodoDestino]]="I3",0,IF(tblMatrizTradeOff[[#This Row],[I3]]=0,9999,1/tblMatrizTradeOff[[#This Row],[I3]]))</f>
        <v>9999</v>
      </c>
      <c r="AI22" s="45">
        <f>IF(tblMatrizDistancias[[#This Row],[NodoOrigen \ NodoDestino]]="I4",0,IF(tblMatrizTradeOff[[#This Row],[I4]]=0,9999,1/tblMatrizTradeOff[[#This Row],[I4]]))</f>
        <v>9999</v>
      </c>
      <c r="AJ22" s="45">
        <f>IF(tblMatrizDistancias[[#This Row],[NodoOrigen \ NodoDestino]]="I5",0,IF(tblMatrizTradeOff[[#This Row],[I5]]=0,9999,1/tblMatrizTradeOff[[#This Row],[I5]]))</f>
        <v>9999</v>
      </c>
      <c r="AK22" s="45">
        <f>IF(tblMatrizDistancias[[#This Row],[NodoOrigen \ NodoDestino]]="I6",0,IF(tblMatrizTradeOff[[#This Row],[I6]]=0,9999,1/tblMatrizTradeOff[[#This Row],[I6]]))</f>
        <v>9999</v>
      </c>
      <c r="AL22" s="45">
        <f>IF(tblMatrizDistancias[[#This Row],[NodoOrigen \ NodoDestino]]="I7",0,IF(tblMatrizTradeOff[[#This Row],[I7]]=0,9999,1/tblMatrizTradeOff[[#This Row],[I7]]))</f>
        <v>9999</v>
      </c>
      <c r="AM22" s="45">
        <f>IF(tblMatrizDistancias[[#This Row],[NodoOrigen \ NodoDestino]]="I8",0,IF(tblMatrizTradeOff[[#This Row],[I8]]=0,9999,1/tblMatrizTradeOff[[#This Row],[I8]]))</f>
        <v>9999</v>
      </c>
      <c r="AN22" s="45">
        <f>IF(tblMatrizDistancias[[#This Row],[NodoOrigen \ NodoDestino]]="I9",0,IF(tblMatrizTradeOff[[#This Row],[I9]]=0,9999,1/tblMatrizTradeOff[[#This Row],[I9]]))</f>
        <v>9999</v>
      </c>
      <c r="AO22" s="45">
        <f>IF(tblMatrizDistancias[[#This Row],[NodoOrigen \ NodoDestino]]="G1",0,IF(tblMatrizTradeOff[[#This Row],[G1]]=0,9999,1/tblMatrizTradeOff[[#This Row],[G1]]))</f>
        <v>9999</v>
      </c>
      <c r="AP22" s="45">
        <f>IF(tblMatrizDistancias[[#This Row],[NodoOrigen \ NodoDestino]]="G2",0,IF(tblMatrizTradeOff[[#This Row],[G2]]=0,9999,1/tblMatrizTradeOff[[#This Row],[G2]]))</f>
        <v>9999</v>
      </c>
      <c r="AQ22" s="45">
        <f>IF(tblMatrizDistancias[[#This Row],[NodoOrigen \ NodoDestino]]="G3",0,IF(tblMatrizTradeOff[[#This Row],[G3]]=0,9999,1/tblMatrizTradeOff[[#This Row],[G3]]))</f>
        <v>9999</v>
      </c>
      <c r="AR22" s="45">
        <f>IF(tblMatrizDistancias[[#This Row],[NodoOrigen \ NodoDestino]]="D",0,IF(tblMatrizTradeOff[[#This Row],[D]]=0,9999,1/tblMatrizTradeOff[[#This Row],[D]]))</f>
        <v>0</v>
      </c>
    </row>
    <row r="23" spans="2:44" ht="17.25" customHeight="1" x14ac:dyDescent="0.25"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</row>
    <row r="24" spans="2:44" ht="17.25" customHeight="1" x14ac:dyDescent="0.25"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</row>
    <row r="25" spans="2:44" ht="17.25" customHeight="1" x14ac:dyDescent="0.25"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</row>
    <row r="26" spans="2:44" ht="17.25" customHeight="1" x14ac:dyDescent="0.25"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</row>
    <row r="27" spans="2:44" ht="17.25" customHeight="1" x14ac:dyDescent="0.25"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</row>
    <row r="28" spans="2:44" ht="17.25" customHeight="1" x14ac:dyDescent="0.25"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</row>
    <row r="29" spans="2:44" ht="17.25" customHeight="1" x14ac:dyDescent="0.25"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</row>
    <row r="30" spans="2:44" ht="17.25" customHeight="1" x14ac:dyDescent="0.25"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</row>
    <row r="31" spans="2:44" ht="17.25" customHeight="1" x14ac:dyDescent="0.25"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</row>
    <row r="32" spans="2:44" ht="17.25" customHeight="1" x14ac:dyDescent="0.25"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</row>
    <row r="33" spans="2:42" ht="17.25" customHeight="1" x14ac:dyDescent="0.25"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</row>
    <row r="34" spans="2:42" ht="17.25" customHeight="1" x14ac:dyDescent="0.25"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</row>
    <row r="35" spans="2:42" ht="17.25" customHeight="1" x14ac:dyDescent="0.25"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</row>
    <row r="36" spans="2:42" ht="17.25" customHeight="1" x14ac:dyDescent="0.25"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</row>
    <row r="37" spans="2:42" ht="17.25" customHeight="1" x14ac:dyDescent="0.25"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</row>
    <row r="38" spans="2:42" ht="17.25" customHeight="1" x14ac:dyDescent="0.25"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</row>
    <row r="39" spans="2:42" ht="17.25" customHeight="1" x14ac:dyDescent="0.25"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</row>
    <row r="40" spans="2:42" ht="17.25" customHeight="1" x14ac:dyDescent="0.25"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</row>
    <row r="41" spans="2:42" ht="17.25" customHeight="1" x14ac:dyDescent="0.25"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</row>
    <row r="42" spans="2:42" ht="17.25" customHeight="1" x14ac:dyDescent="0.25"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</row>
    <row r="43" spans="2:42" ht="17.25" customHeight="1" x14ac:dyDescent="0.25"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</row>
    <row r="44" spans="2:42" ht="17.25" customHeight="1" x14ac:dyDescent="0.25"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</row>
    <row r="45" spans="2:42" ht="17.25" customHeight="1" x14ac:dyDescent="0.25"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</row>
    <row r="46" spans="2:42" ht="17.25" customHeight="1" x14ac:dyDescent="0.25"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</row>
    <row r="47" spans="2:42" ht="17.25" customHeight="1" x14ac:dyDescent="0.25"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</row>
    <row r="48" spans="2:42" ht="17.25" customHeight="1" x14ac:dyDescent="0.25"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</row>
    <row r="49" spans="2:42" ht="17.25" customHeight="1" x14ac:dyDescent="0.25"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</row>
    <row r="50" spans="2:42" ht="17.25" customHeight="1" x14ac:dyDescent="0.25"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</row>
    <row r="51" spans="2:42" ht="17.25" customHeight="1" x14ac:dyDescent="0.25"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</row>
    <row r="52" spans="2:42" ht="17.25" customHeight="1" x14ac:dyDescent="0.25"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</row>
    <row r="53" spans="2:42" ht="17.25" customHeight="1" x14ac:dyDescent="0.25"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</row>
    <row r="54" spans="2:42" ht="17.25" customHeight="1" x14ac:dyDescent="0.25"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</row>
    <row r="55" spans="2:42" ht="17.25" customHeight="1" x14ac:dyDescent="0.25"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</row>
    <row r="56" spans="2:42" ht="17.25" customHeight="1" x14ac:dyDescent="0.25"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</row>
    <row r="57" spans="2:42" ht="17.25" customHeight="1" x14ac:dyDescent="0.25"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</row>
    <row r="58" spans="2:42" ht="17.25" customHeight="1" x14ac:dyDescent="0.25"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</row>
    <row r="59" spans="2:42" ht="17.25" customHeight="1" x14ac:dyDescent="0.25"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</row>
    <row r="60" spans="2:42" ht="17.25" customHeight="1" x14ac:dyDescent="0.25"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</row>
    <row r="61" spans="2:42" ht="17.25" customHeight="1" x14ac:dyDescent="0.25"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</row>
    <row r="62" spans="2:42" ht="17.25" customHeight="1" x14ac:dyDescent="0.25"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</row>
    <row r="63" spans="2:42" ht="17.25" customHeight="1" x14ac:dyDescent="0.25"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</row>
    <row r="64" spans="2:42" ht="17.25" customHeight="1" x14ac:dyDescent="0.25"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</row>
    <row r="65" spans="2:42" ht="17.25" customHeight="1" x14ac:dyDescent="0.25"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</row>
    <row r="66" spans="2:42" ht="17.25" customHeight="1" x14ac:dyDescent="0.25"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</row>
    <row r="67" spans="2:42" ht="17.25" customHeight="1" x14ac:dyDescent="0.25"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</row>
    <row r="68" spans="2:42" ht="17.25" customHeight="1" x14ac:dyDescent="0.25">
      <c r="B68"/>
      <c r="C68"/>
      <c r="D68"/>
      <c r="E68"/>
      <c r="F68"/>
      <c r="G68"/>
      <c r="H68"/>
      <c r="I68"/>
      <c r="J68"/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</row>
    <row r="69" spans="2:42" ht="17.25" customHeight="1" x14ac:dyDescent="0.25">
      <c r="B69"/>
      <c r="C69"/>
      <c r="D69"/>
      <c r="E69"/>
      <c r="F69"/>
      <c r="G69"/>
      <c r="H69"/>
      <c r="I69"/>
      <c r="J69"/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/>
    </row>
    <row r="70" spans="2:42" ht="17.25" customHeight="1" x14ac:dyDescent="0.25">
      <c r="B70"/>
      <c r="C70"/>
      <c r="D70"/>
      <c r="E70"/>
      <c r="F70"/>
      <c r="G70"/>
      <c r="H70"/>
      <c r="I70"/>
      <c r="J70"/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  <c r="AN70"/>
      <c r="AO70"/>
      <c r="AP70"/>
    </row>
    <row r="71" spans="2:42" ht="17.25" customHeight="1" x14ac:dyDescent="0.25">
      <c r="B71"/>
      <c r="C71"/>
      <c r="D71"/>
      <c r="E71"/>
      <c r="F71"/>
      <c r="G71"/>
      <c r="H71"/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  <c r="AN71"/>
      <c r="AO71"/>
      <c r="AP71"/>
    </row>
    <row r="72" spans="2:42" ht="17.25" customHeight="1" x14ac:dyDescent="0.25"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  <c r="AN72"/>
      <c r="AO72"/>
      <c r="AP72"/>
    </row>
    <row r="73" spans="2:42" ht="17.25" customHeight="1" x14ac:dyDescent="0.25">
      <c r="B73"/>
      <c r="C73"/>
      <c r="D73"/>
      <c r="E73"/>
      <c r="F73"/>
      <c r="G73"/>
      <c r="H73"/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  <c r="AN73"/>
      <c r="AO73"/>
      <c r="AP73"/>
    </row>
    <row r="74" spans="2:42" ht="17.25" customHeight="1" x14ac:dyDescent="0.25">
      <c r="B74"/>
      <c r="C74"/>
      <c r="D74"/>
      <c r="E74"/>
      <c r="F74"/>
      <c r="G74"/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</row>
    <row r="75" spans="2:42" ht="17.25" customHeight="1" x14ac:dyDescent="0.25">
      <c r="B75"/>
      <c r="C75"/>
      <c r="D75"/>
      <c r="E75"/>
      <c r="F75"/>
      <c r="G75"/>
      <c r="H75"/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N75"/>
      <c r="AO75"/>
      <c r="AP75"/>
    </row>
    <row r="76" spans="2:42" ht="17.25" customHeight="1" x14ac:dyDescent="0.25">
      <c r="B76"/>
      <c r="C76"/>
      <c r="D76"/>
      <c r="E76"/>
      <c r="F76"/>
      <c r="G76"/>
      <c r="H76"/>
      <c r="I76"/>
      <c r="J76"/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  <c r="AJ76"/>
      <c r="AK76"/>
      <c r="AL76"/>
      <c r="AM76"/>
      <c r="AN76"/>
      <c r="AO76"/>
      <c r="AP76"/>
    </row>
    <row r="77" spans="2:42" ht="17.25" customHeight="1" x14ac:dyDescent="0.25">
      <c r="B77"/>
      <c r="C77"/>
      <c r="D77"/>
      <c r="E77"/>
      <c r="F77"/>
      <c r="G77"/>
      <c r="H77"/>
      <c r="I77"/>
      <c r="J77"/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  <c r="AN77"/>
      <c r="AO77"/>
      <c r="AP77"/>
    </row>
    <row r="78" spans="2:42" ht="17.25" customHeight="1" x14ac:dyDescent="0.25"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  <c r="AJ78"/>
      <c r="AK78"/>
      <c r="AL78"/>
      <c r="AM78"/>
      <c r="AN78"/>
      <c r="AO78"/>
      <c r="AP78"/>
    </row>
    <row r="79" spans="2:42" ht="17.25" customHeight="1" x14ac:dyDescent="0.25">
      <c r="B79"/>
      <c r="C79"/>
      <c r="D79"/>
      <c r="E79"/>
      <c r="F79"/>
      <c r="G79"/>
      <c r="H79"/>
      <c r="I79"/>
      <c r="J79"/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  <c r="AJ79"/>
      <c r="AK79"/>
      <c r="AL79"/>
      <c r="AM79"/>
      <c r="AN79"/>
      <c r="AO79"/>
      <c r="AP79"/>
    </row>
    <row r="80" spans="2:42" ht="17.25" customHeight="1" x14ac:dyDescent="0.25">
      <c r="B80"/>
      <c r="C80"/>
      <c r="D80"/>
      <c r="E80"/>
      <c r="F80"/>
      <c r="G80"/>
      <c r="H80"/>
      <c r="I80"/>
      <c r="J80"/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  <c r="AJ80"/>
      <c r="AK80"/>
      <c r="AL80"/>
      <c r="AM80"/>
      <c r="AN80"/>
      <c r="AO80"/>
      <c r="AP80"/>
    </row>
    <row r="81" spans="2:42" ht="17.25" customHeight="1" x14ac:dyDescent="0.25">
      <c r="B81"/>
      <c r="C81"/>
      <c r="D81"/>
      <c r="E81"/>
      <c r="F81"/>
      <c r="G81"/>
      <c r="H81"/>
      <c r="I8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  <c r="AJ81"/>
      <c r="AK81"/>
      <c r="AL81"/>
      <c r="AM81"/>
      <c r="AN81"/>
      <c r="AO81"/>
      <c r="AP81"/>
    </row>
    <row r="82" spans="2:42" ht="17.25" customHeight="1" x14ac:dyDescent="0.25"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  <c r="AL82"/>
      <c r="AM82"/>
      <c r="AN82"/>
      <c r="AO82"/>
      <c r="AP82"/>
    </row>
    <row r="83" spans="2:42" ht="17.25" customHeight="1" x14ac:dyDescent="0.25">
      <c r="B83"/>
      <c r="C83"/>
      <c r="D83"/>
      <c r="E83"/>
      <c r="F83"/>
      <c r="G83"/>
      <c r="H83"/>
      <c r="I83"/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  <c r="AJ83"/>
      <c r="AK83"/>
      <c r="AL83"/>
      <c r="AM83"/>
      <c r="AN83"/>
      <c r="AO83"/>
      <c r="AP83"/>
    </row>
    <row r="84" spans="2:42" ht="17.25" customHeight="1" x14ac:dyDescent="0.25">
      <c r="B84"/>
      <c r="C84"/>
      <c r="D84"/>
      <c r="E84"/>
      <c r="F84"/>
      <c r="G84"/>
      <c r="H84"/>
      <c r="I84"/>
      <c r="J84"/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  <c r="AJ84"/>
      <c r="AK84"/>
      <c r="AL84"/>
      <c r="AM84"/>
      <c r="AN84"/>
      <c r="AO84"/>
      <c r="AP84"/>
    </row>
    <row r="85" spans="2:42" ht="17.25" customHeight="1" x14ac:dyDescent="0.25">
      <c r="B85"/>
      <c r="C85"/>
      <c r="D85"/>
      <c r="E85"/>
      <c r="F85"/>
      <c r="G85"/>
      <c r="H85"/>
      <c r="I85"/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  <c r="AJ85"/>
      <c r="AK85"/>
      <c r="AL85"/>
      <c r="AM85"/>
      <c r="AN85"/>
      <c r="AO85"/>
      <c r="AP85"/>
    </row>
    <row r="86" spans="2:42" ht="17.25" customHeight="1" x14ac:dyDescent="0.25">
      <c r="B86"/>
      <c r="C86"/>
      <c r="D86"/>
      <c r="E86"/>
      <c r="F86"/>
      <c r="G86"/>
      <c r="H86"/>
      <c r="I86"/>
      <c r="J86"/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  <c r="AJ86"/>
      <c r="AK86"/>
      <c r="AL86"/>
      <c r="AM86"/>
      <c r="AN86"/>
      <c r="AO86"/>
      <c r="AP86"/>
    </row>
    <row r="87" spans="2:42" ht="17.25" customHeight="1" x14ac:dyDescent="0.25">
      <c r="B87"/>
      <c r="C87"/>
      <c r="D87"/>
      <c r="E87"/>
      <c r="F87"/>
      <c r="G87"/>
      <c r="H87"/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  <c r="AJ87"/>
      <c r="AK87"/>
      <c r="AL87"/>
      <c r="AM87"/>
      <c r="AN87"/>
      <c r="AO87"/>
      <c r="AP87"/>
    </row>
    <row r="88" spans="2:42" ht="17.25" customHeight="1" x14ac:dyDescent="0.25">
      <c r="B88"/>
      <c r="C88"/>
      <c r="D88"/>
      <c r="E88"/>
      <c r="F88"/>
      <c r="G88"/>
      <c r="H88"/>
      <c r="I88"/>
      <c r="J88"/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  <c r="AJ88"/>
      <c r="AK88"/>
      <c r="AL88"/>
      <c r="AM88"/>
      <c r="AN88"/>
      <c r="AO88"/>
      <c r="AP88"/>
    </row>
    <row r="89" spans="2:42" ht="17.25" customHeight="1" x14ac:dyDescent="0.25">
      <c r="B89"/>
      <c r="C89"/>
      <c r="D89"/>
      <c r="E89"/>
      <c r="F89"/>
      <c r="G89"/>
      <c r="H89"/>
      <c r="I89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  <c r="AJ89"/>
      <c r="AK89"/>
      <c r="AL89"/>
      <c r="AM89"/>
      <c r="AN89"/>
      <c r="AO89"/>
      <c r="AP89"/>
    </row>
    <row r="90" spans="2:42" ht="17.25" customHeight="1" x14ac:dyDescent="0.25"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  <c r="AJ90"/>
      <c r="AK90"/>
      <c r="AL90"/>
      <c r="AM90"/>
      <c r="AN90"/>
      <c r="AO90"/>
      <c r="AP90"/>
    </row>
    <row r="91" spans="2:42" ht="17.25" customHeight="1" x14ac:dyDescent="0.25">
      <c r="B91"/>
      <c r="C91"/>
      <c r="D91"/>
      <c r="E91"/>
      <c r="F91"/>
      <c r="G91"/>
      <c r="H91"/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  <c r="AJ91"/>
      <c r="AK91"/>
      <c r="AL91"/>
      <c r="AM91"/>
      <c r="AN91"/>
      <c r="AO91"/>
      <c r="AP91"/>
    </row>
    <row r="92" spans="2:42" ht="17.25" customHeight="1" x14ac:dyDescent="0.25"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  <c r="AJ92"/>
      <c r="AK92"/>
      <c r="AL92"/>
      <c r="AM92"/>
      <c r="AN92"/>
      <c r="AO92"/>
      <c r="AP92"/>
    </row>
    <row r="93" spans="2:42" ht="17.25" customHeight="1" x14ac:dyDescent="0.25">
      <c r="B93"/>
      <c r="C93"/>
      <c r="D93"/>
      <c r="E93"/>
      <c r="F93"/>
      <c r="G93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  <c r="AJ93"/>
      <c r="AK93"/>
      <c r="AL93"/>
      <c r="AM93"/>
      <c r="AN93"/>
      <c r="AO93"/>
      <c r="AP93"/>
    </row>
    <row r="94" spans="2:42" ht="17.25" customHeight="1" x14ac:dyDescent="0.25">
      <c r="B94"/>
      <c r="C94"/>
      <c r="D94"/>
      <c r="E94"/>
      <c r="F94"/>
      <c r="G94"/>
      <c r="H94"/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  <c r="AJ94"/>
      <c r="AK94"/>
      <c r="AL94"/>
      <c r="AM94"/>
      <c r="AN94"/>
      <c r="AO94"/>
      <c r="AP94"/>
    </row>
    <row r="95" spans="2:42" ht="17.25" customHeight="1" x14ac:dyDescent="0.25">
      <c r="B95"/>
      <c r="C95"/>
      <c r="D95"/>
      <c r="E95"/>
      <c r="F95"/>
      <c r="G95"/>
      <c r="H95"/>
      <c r="I95"/>
      <c r="J95"/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  <c r="AJ95"/>
      <c r="AK95"/>
      <c r="AL95"/>
      <c r="AM95"/>
      <c r="AN95"/>
      <c r="AO95"/>
      <c r="AP95"/>
    </row>
    <row r="96" spans="2:42" ht="17.25" customHeight="1" x14ac:dyDescent="0.25">
      <c r="B96"/>
      <c r="C96"/>
      <c r="D96"/>
      <c r="E96"/>
      <c r="F96"/>
      <c r="G96"/>
      <c r="H96"/>
      <c r="I96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  <c r="AJ96"/>
      <c r="AK96"/>
      <c r="AL96"/>
      <c r="AM96"/>
      <c r="AN96"/>
      <c r="AO96"/>
      <c r="AP96"/>
    </row>
    <row r="97" spans="2:42" ht="17.25" customHeight="1" x14ac:dyDescent="0.25">
      <c r="B97"/>
      <c r="C97"/>
      <c r="D97"/>
      <c r="E97"/>
      <c r="F97"/>
      <c r="G97"/>
      <c r="H97"/>
      <c r="I97"/>
      <c r="J97"/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  <c r="AN97"/>
      <c r="AO97"/>
      <c r="AP97"/>
    </row>
    <row r="98" spans="2:42" ht="17.25" customHeight="1" x14ac:dyDescent="0.25">
      <c r="B98"/>
      <c r="C98"/>
      <c r="D98"/>
      <c r="E98"/>
      <c r="F98"/>
      <c r="G98"/>
      <c r="H98"/>
      <c r="I98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  <c r="AJ98"/>
      <c r="AK98"/>
      <c r="AL98"/>
      <c r="AM98"/>
      <c r="AN98"/>
      <c r="AO98"/>
      <c r="AP98"/>
    </row>
    <row r="99" spans="2:42" ht="17.25" customHeight="1" x14ac:dyDescent="0.25">
      <c r="B99"/>
      <c r="C99"/>
      <c r="D99"/>
      <c r="E99"/>
      <c r="F99"/>
      <c r="G99"/>
      <c r="H99"/>
      <c r="I99"/>
      <c r="J99"/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  <c r="AJ99"/>
      <c r="AK99"/>
      <c r="AL99"/>
      <c r="AM99"/>
      <c r="AN99"/>
      <c r="AO99"/>
      <c r="AP99"/>
    </row>
    <row r="100" spans="2:42" ht="17.25" customHeight="1" x14ac:dyDescent="0.25">
      <c r="B100"/>
      <c r="C100"/>
      <c r="D100"/>
      <c r="E100"/>
      <c r="F100"/>
      <c r="G100"/>
      <c r="H100"/>
      <c r="I100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  <c r="AJ100"/>
      <c r="AK100"/>
      <c r="AL100"/>
      <c r="AM100"/>
      <c r="AN100"/>
      <c r="AO100"/>
      <c r="AP100"/>
    </row>
    <row r="101" spans="2:42" ht="17.25" customHeight="1" x14ac:dyDescent="0.25">
      <c r="B101"/>
      <c r="C101"/>
      <c r="D101"/>
      <c r="E101"/>
      <c r="F101"/>
      <c r="G101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  <c r="AJ101"/>
      <c r="AK101"/>
      <c r="AL101"/>
      <c r="AM101"/>
      <c r="AN101"/>
      <c r="AO101"/>
      <c r="AP101"/>
    </row>
    <row r="102" spans="2:42" ht="17.25" customHeight="1" x14ac:dyDescent="0.25"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  <c r="AJ102"/>
      <c r="AK102"/>
      <c r="AL102"/>
      <c r="AM102"/>
      <c r="AN102"/>
      <c r="AO102"/>
      <c r="AP102"/>
    </row>
    <row r="103" spans="2:42" ht="17.25" customHeight="1" x14ac:dyDescent="0.25">
      <c r="B103"/>
      <c r="C103"/>
      <c r="D103"/>
      <c r="E103"/>
      <c r="F103"/>
      <c r="G103"/>
      <c r="H103"/>
      <c r="I103"/>
      <c r="J103"/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  <c r="AJ103"/>
      <c r="AK103"/>
      <c r="AL103"/>
      <c r="AM103"/>
      <c r="AN103"/>
      <c r="AO103"/>
      <c r="AP103"/>
    </row>
    <row r="104" spans="2:42" ht="17.25" customHeight="1" x14ac:dyDescent="0.25">
      <c r="B104"/>
      <c r="C104"/>
      <c r="D104"/>
      <c r="E104"/>
      <c r="F104"/>
      <c r="G104"/>
      <c r="H104"/>
      <c r="I104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  <c r="AJ104"/>
      <c r="AK104"/>
      <c r="AL104"/>
      <c r="AM104"/>
      <c r="AN104"/>
      <c r="AO104"/>
      <c r="AP104"/>
    </row>
    <row r="105" spans="2:42" ht="17.25" customHeight="1" x14ac:dyDescent="0.25">
      <c r="B105"/>
      <c r="C105"/>
      <c r="D105"/>
      <c r="E105"/>
      <c r="F105"/>
      <c r="G105"/>
      <c r="H105"/>
      <c r="I105"/>
      <c r="J105"/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  <c r="AJ105"/>
      <c r="AK105"/>
      <c r="AL105"/>
      <c r="AM105"/>
      <c r="AN105"/>
      <c r="AO105"/>
      <c r="AP105"/>
    </row>
    <row r="106" spans="2:42" ht="17.25" customHeight="1" x14ac:dyDescent="0.25">
      <c r="B106"/>
      <c r="C106"/>
      <c r="D106"/>
      <c r="E106"/>
      <c r="F106"/>
      <c r="G106"/>
      <c r="H106"/>
      <c r="I106"/>
      <c r="J106"/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  <c r="AJ106"/>
      <c r="AK106"/>
      <c r="AL106"/>
      <c r="AM106"/>
      <c r="AN106"/>
      <c r="AO106"/>
      <c r="AP106"/>
    </row>
    <row r="107" spans="2:42" ht="17.25" customHeight="1" x14ac:dyDescent="0.25">
      <c r="B107"/>
      <c r="C107"/>
      <c r="D107"/>
      <c r="E107"/>
      <c r="F107"/>
      <c r="G107"/>
      <c r="H107"/>
      <c r="I107"/>
      <c r="J107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  <c r="AJ107"/>
      <c r="AK107"/>
      <c r="AL107"/>
      <c r="AM107"/>
      <c r="AN107"/>
      <c r="AO107"/>
      <c r="AP107"/>
    </row>
    <row r="108" spans="2:42" ht="17.25" customHeight="1" x14ac:dyDescent="0.25">
      <c r="B108"/>
      <c r="C108"/>
      <c r="D108"/>
      <c r="E108"/>
      <c r="F108"/>
      <c r="G108"/>
      <c r="H108"/>
      <c r="I108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  <c r="AJ108"/>
      <c r="AK108"/>
      <c r="AL108"/>
      <c r="AM108"/>
      <c r="AN108"/>
      <c r="AO108"/>
      <c r="AP108"/>
    </row>
    <row r="109" spans="2:42" ht="17.25" customHeight="1" x14ac:dyDescent="0.25">
      <c r="B109"/>
      <c r="C109"/>
      <c r="D109"/>
      <c r="E109"/>
      <c r="F109"/>
      <c r="G109"/>
      <c r="H109"/>
      <c r="I109"/>
      <c r="J109"/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  <c r="AJ109"/>
      <c r="AK109"/>
      <c r="AL109"/>
      <c r="AM109"/>
      <c r="AN109"/>
      <c r="AO109"/>
      <c r="AP109"/>
    </row>
    <row r="110" spans="2:42" ht="17.25" customHeight="1" x14ac:dyDescent="0.25">
      <c r="B110"/>
      <c r="C110"/>
      <c r="D110"/>
      <c r="E110"/>
      <c r="F110"/>
      <c r="G110"/>
      <c r="H110"/>
      <c r="I110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  <c r="AJ110"/>
      <c r="AK110"/>
      <c r="AL110"/>
      <c r="AM110"/>
      <c r="AN110"/>
      <c r="AO110"/>
      <c r="AP110"/>
    </row>
    <row r="111" spans="2:42" ht="17.25" customHeight="1" x14ac:dyDescent="0.25"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  <c r="AJ111"/>
      <c r="AK111"/>
      <c r="AL111"/>
      <c r="AM111"/>
      <c r="AN111"/>
      <c r="AO111"/>
      <c r="AP111"/>
    </row>
    <row r="112" spans="2:42" ht="17.25" customHeight="1" x14ac:dyDescent="0.25">
      <c r="B112"/>
      <c r="C112"/>
      <c r="D112"/>
      <c r="E112"/>
      <c r="F112"/>
      <c r="G112"/>
      <c r="H112"/>
      <c r="I112"/>
      <c r="J112"/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  <c r="AJ112"/>
      <c r="AK112"/>
      <c r="AL112"/>
      <c r="AM112"/>
      <c r="AN112"/>
      <c r="AO112"/>
      <c r="AP112"/>
    </row>
    <row r="113" spans="2:42" ht="17.25" customHeight="1" x14ac:dyDescent="0.25">
      <c r="B113"/>
      <c r="C113"/>
      <c r="D113"/>
      <c r="E113"/>
      <c r="F113"/>
      <c r="G113"/>
      <c r="H113"/>
      <c r="I113"/>
      <c r="J113"/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  <c r="AJ113"/>
      <c r="AK113"/>
      <c r="AL113"/>
      <c r="AM113"/>
      <c r="AN113"/>
      <c r="AO113"/>
      <c r="AP113"/>
    </row>
    <row r="114" spans="2:42" ht="17.25" customHeight="1" x14ac:dyDescent="0.25"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  <c r="AJ114"/>
      <c r="AK114"/>
      <c r="AL114"/>
      <c r="AM114"/>
      <c r="AN114"/>
      <c r="AO114"/>
      <c r="AP114"/>
    </row>
    <row r="115" spans="2:42" ht="17.25" customHeight="1" x14ac:dyDescent="0.25">
      <c r="B115"/>
      <c r="C115"/>
      <c r="D115"/>
      <c r="E115"/>
      <c r="F115"/>
      <c r="G115"/>
      <c r="H115"/>
      <c r="I115"/>
      <c r="J115"/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  <c r="AJ115"/>
      <c r="AK115"/>
      <c r="AL115"/>
      <c r="AM115"/>
      <c r="AN115"/>
      <c r="AO115"/>
      <c r="AP115"/>
    </row>
    <row r="116" spans="2:42" ht="17.25" customHeight="1" x14ac:dyDescent="0.25">
      <c r="B116"/>
      <c r="C116"/>
      <c r="D116"/>
      <c r="E116"/>
      <c r="F116"/>
      <c r="G116"/>
      <c r="H116"/>
      <c r="I116"/>
      <c r="J116"/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  <c r="AJ116"/>
      <c r="AK116"/>
      <c r="AL116"/>
      <c r="AM116"/>
      <c r="AN116"/>
      <c r="AO116"/>
      <c r="AP116"/>
    </row>
    <row r="117" spans="2:42" ht="17.25" customHeight="1" x14ac:dyDescent="0.25">
      <c r="B117"/>
      <c r="C117"/>
      <c r="D117"/>
      <c r="E117"/>
      <c r="F117"/>
      <c r="G117"/>
      <c r="H117"/>
      <c r="I117"/>
      <c r="J117"/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  <c r="AJ117"/>
      <c r="AK117"/>
      <c r="AL117"/>
      <c r="AM117"/>
      <c r="AN117"/>
      <c r="AO117"/>
      <c r="AP117"/>
    </row>
    <row r="118" spans="2:42" ht="17.25" customHeight="1" x14ac:dyDescent="0.25">
      <c r="B118"/>
      <c r="C118"/>
      <c r="D118"/>
      <c r="E118"/>
      <c r="F118"/>
      <c r="G118"/>
      <c r="H118"/>
      <c r="I118"/>
      <c r="J118"/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  <c r="AJ118"/>
      <c r="AK118"/>
      <c r="AL118"/>
      <c r="AM118"/>
      <c r="AN118"/>
      <c r="AO118"/>
      <c r="AP118"/>
    </row>
    <row r="119" spans="2:42" ht="17.25" customHeight="1" x14ac:dyDescent="0.25">
      <c r="B119"/>
      <c r="C119"/>
      <c r="D119"/>
      <c r="E119"/>
      <c r="F119"/>
      <c r="G119"/>
      <c r="H119"/>
      <c r="I119"/>
      <c r="J119"/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  <c r="AJ119"/>
      <c r="AK119"/>
      <c r="AL119"/>
      <c r="AM119"/>
      <c r="AN119"/>
      <c r="AO119"/>
      <c r="AP119"/>
    </row>
    <row r="120" spans="2:42" ht="17.25" customHeight="1" x14ac:dyDescent="0.25">
      <c r="B120"/>
      <c r="C120"/>
      <c r="D120"/>
      <c r="E120"/>
      <c r="F120"/>
      <c r="G120"/>
      <c r="H120"/>
      <c r="I120"/>
      <c r="J120"/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  <c r="AJ120"/>
      <c r="AK120"/>
      <c r="AL120"/>
      <c r="AM120"/>
      <c r="AN120"/>
      <c r="AO120"/>
      <c r="AP120"/>
    </row>
    <row r="121" spans="2:42" ht="17.25" customHeight="1" x14ac:dyDescent="0.25">
      <c r="B121"/>
      <c r="C121"/>
      <c r="D121"/>
      <c r="E121"/>
      <c r="F121"/>
      <c r="G121"/>
      <c r="H121"/>
      <c r="I121"/>
      <c r="J121"/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  <c r="AJ121"/>
      <c r="AK121"/>
      <c r="AL121"/>
      <c r="AM121"/>
      <c r="AN121"/>
      <c r="AO121"/>
      <c r="AP121"/>
    </row>
    <row r="122" spans="2:42" ht="17.25" customHeight="1" x14ac:dyDescent="0.25">
      <c r="B122"/>
      <c r="C122"/>
      <c r="D122"/>
      <c r="E122"/>
      <c r="F122"/>
      <c r="G122"/>
      <c r="H122"/>
      <c r="I122"/>
      <c r="J122"/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  <c r="AJ122"/>
      <c r="AK122"/>
      <c r="AL122"/>
      <c r="AM122"/>
      <c r="AN122"/>
      <c r="AO122"/>
      <c r="AP122"/>
    </row>
    <row r="123" spans="2:42" ht="17.25" customHeight="1" x14ac:dyDescent="0.25"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  <c r="AJ123"/>
      <c r="AK123"/>
      <c r="AL123"/>
      <c r="AM123"/>
      <c r="AN123"/>
      <c r="AO123"/>
      <c r="AP123"/>
    </row>
    <row r="124" spans="2:42" ht="17.25" customHeight="1" x14ac:dyDescent="0.25">
      <c r="B124"/>
      <c r="C124"/>
      <c r="D124"/>
      <c r="E124"/>
      <c r="F124"/>
      <c r="G124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  <c r="AJ124"/>
      <c r="AK124"/>
      <c r="AL124"/>
      <c r="AM124"/>
      <c r="AN124"/>
      <c r="AO124"/>
      <c r="AP124"/>
    </row>
    <row r="125" spans="2:42" ht="17.25" customHeight="1" x14ac:dyDescent="0.25">
      <c r="B125"/>
      <c r="C125"/>
      <c r="D125"/>
      <c r="E125"/>
      <c r="F125"/>
      <c r="G125"/>
      <c r="H125"/>
      <c r="I125"/>
      <c r="J125"/>
      <c r="K125"/>
      <c r="L125"/>
      <c r="M125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  <c r="AJ125"/>
      <c r="AK125"/>
      <c r="AL125"/>
      <c r="AM125"/>
      <c r="AN125"/>
      <c r="AO125"/>
      <c r="AP125"/>
    </row>
    <row r="126" spans="2:42" ht="17.25" customHeight="1" x14ac:dyDescent="0.25">
      <c r="B126"/>
      <c r="C126"/>
      <c r="D126"/>
      <c r="E126"/>
      <c r="F126"/>
      <c r="G126"/>
      <c r="H126"/>
      <c r="I126"/>
      <c r="J126"/>
      <c r="K126"/>
      <c r="L126"/>
      <c r="M126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  <c r="AJ126"/>
      <c r="AK126"/>
      <c r="AL126"/>
      <c r="AM126"/>
      <c r="AN126"/>
      <c r="AO126"/>
      <c r="AP126"/>
    </row>
    <row r="127" spans="2:42" ht="17.25" customHeight="1" x14ac:dyDescent="0.25">
      <c r="B127"/>
      <c r="C127"/>
      <c r="D127"/>
      <c r="E127"/>
      <c r="F127"/>
      <c r="G127"/>
      <c r="H127"/>
      <c r="I127"/>
      <c r="J127"/>
      <c r="K127"/>
      <c r="L127"/>
      <c r="M127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  <c r="AJ127"/>
      <c r="AK127"/>
      <c r="AL127"/>
      <c r="AM127"/>
      <c r="AN127"/>
      <c r="AO127"/>
      <c r="AP127"/>
    </row>
    <row r="128" spans="2:42" ht="17.25" customHeight="1" x14ac:dyDescent="0.25">
      <c r="B128"/>
      <c r="C128"/>
      <c r="D128"/>
      <c r="E128"/>
      <c r="F128"/>
      <c r="G128"/>
      <c r="H128"/>
      <c r="I128"/>
      <c r="J128"/>
      <c r="K128"/>
      <c r="L128"/>
      <c r="M128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  <c r="AJ128"/>
      <c r="AK128"/>
      <c r="AL128"/>
      <c r="AM128"/>
      <c r="AN128"/>
      <c r="AO128"/>
      <c r="AP128"/>
    </row>
    <row r="129" spans="2:42" ht="17.25" customHeight="1" x14ac:dyDescent="0.25">
      <c r="B129"/>
      <c r="C129"/>
      <c r="D129"/>
      <c r="E129"/>
      <c r="F129"/>
      <c r="G129"/>
      <c r="H129"/>
      <c r="I129"/>
      <c r="J129"/>
      <c r="K129"/>
      <c r="L129"/>
      <c r="M129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  <c r="AJ129"/>
      <c r="AK129"/>
      <c r="AL129"/>
      <c r="AM129"/>
      <c r="AN129"/>
      <c r="AO129"/>
      <c r="AP129"/>
    </row>
    <row r="130" spans="2:42" ht="17.25" customHeight="1" x14ac:dyDescent="0.25">
      <c r="B130"/>
      <c r="C130"/>
      <c r="D130"/>
      <c r="E130"/>
      <c r="F130"/>
      <c r="G130"/>
      <c r="H130"/>
      <c r="I130"/>
      <c r="J130"/>
      <c r="K130"/>
      <c r="L130"/>
      <c r="M130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  <c r="AC130"/>
      <c r="AD130"/>
      <c r="AE130"/>
      <c r="AF130"/>
      <c r="AG130"/>
      <c r="AH130"/>
      <c r="AI130"/>
      <c r="AJ130"/>
      <c r="AK130"/>
      <c r="AL130"/>
      <c r="AM130"/>
      <c r="AN130"/>
      <c r="AO130"/>
      <c r="AP130"/>
    </row>
    <row r="131" spans="2:42" ht="17.25" customHeight="1" x14ac:dyDescent="0.25">
      <c r="B131"/>
      <c r="C131"/>
      <c r="D131"/>
      <c r="E131"/>
      <c r="F131"/>
      <c r="G131"/>
      <c r="H131"/>
      <c r="I131"/>
      <c r="J131"/>
      <c r="K131"/>
      <c r="L131"/>
      <c r="M131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  <c r="AJ131"/>
      <c r="AK131"/>
      <c r="AL131"/>
      <c r="AM131"/>
      <c r="AN131"/>
      <c r="AO131"/>
      <c r="AP131"/>
    </row>
    <row r="132" spans="2:42" ht="17.25" customHeight="1" x14ac:dyDescent="0.25">
      <c r="B132"/>
      <c r="C132"/>
      <c r="D132"/>
      <c r="E132"/>
      <c r="F132"/>
      <c r="G132"/>
      <c r="H132"/>
      <c r="I132"/>
      <c r="J132"/>
      <c r="K132"/>
      <c r="L132"/>
      <c r="M132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/>
      <c r="AH132"/>
      <c r="AI132"/>
      <c r="AJ132"/>
      <c r="AK132"/>
      <c r="AL132"/>
      <c r="AM132"/>
      <c r="AN132"/>
      <c r="AO132"/>
      <c r="AP132"/>
    </row>
    <row r="133" spans="2:42" ht="17.25" customHeight="1" x14ac:dyDescent="0.25">
      <c r="B133"/>
      <c r="C133"/>
      <c r="D133"/>
      <c r="E133"/>
      <c r="F133"/>
      <c r="G133"/>
      <c r="H133"/>
      <c r="I133"/>
      <c r="J133"/>
      <c r="K133"/>
      <c r="L133"/>
      <c r="M133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  <c r="AC133"/>
      <c r="AD133"/>
      <c r="AE133"/>
      <c r="AF133"/>
      <c r="AG133"/>
      <c r="AH133"/>
      <c r="AI133"/>
      <c r="AJ133"/>
      <c r="AK133"/>
      <c r="AL133"/>
      <c r="AM133"/>
      <c r="AN133"/>
      <c r="AO133"/>
      <c r="AP133"/>
    </row>
    <row r="134" spans="2:42" ht="17.25" customHeight="1" x14ac:dyDescent="0.25">
      <c r="B134"/>
      <c r="C134"/>
      <c r="D134"/>
      <c r="E134"/>
      <c r="F134"/>
      <c r="G134"/>
      <c r="H134"/>
      <c r="I134"/>
      <c r="J134"/>
      <c r="K134"/>
      <c r="L134"/>
      <c r="M134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  <c r="AJ134"/>
      <c r="AK134"/>
      <c r="AL134"/>
      <c r="AM134"/>
      <c r="AN134"/>
      <c r="AO134"/>
      <c r="AP134"/>
    </row>
    <row r="135" spans="2:42" ht="17.25" customHeight="1" x14ac:dyDescent="0.25">
      <c r="B135"/>
      <c r="C135"/>
      <c r="D135"/>
      <c r="E135"/>
      <c r="F135"/>
      <c r="G135"/>
      <c r="H135"/>
      <c r="I135"/>
      <c r="J135"/>
      <c r="K135"/>
      <c r="L135"/>
      <c r="M135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  <c r="AJ135"/>
      <c r="AK135"/>
      <c r="AL135"/>
      <c r="AM135"/>
      <c r="AN135"/>
      <c r="AO135"/>
      <c r="AP135"/>
    </row>
    <row r="136" spans="2:42" ht="17.25" customHeight="1" x14ac:dyDescent="0.25">
      <c r="B136"/>
      <c r="C136"/>
      <c r="D136"/>
      <c r="E136"/>
      <c r="F136"/>
      <c r="G136"/>
      <c r="H136"/>
      <c r="I136"/>
      <c r="J136"/>
      <c r="K136"/>
      <c r="L136"/>
      <c r="M136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  <c r="AC136"/>
      <c r="AD136"/>
      <c r="AE136"/>
      <c r="AF136"/>
      <c r="AG136"/>
      <c r="AH136"/>
      <c r="AI136"/>
      <c r="AJ136"/>
      <c r="AK136"/>
      <c r="AL136"/>
      <c r="AM136"/>
      <c r="AN136"/>
      <c r="AO136"/>
      <c r="AP136"/>
    </row>
    <row r="137" spans="2:42" ht="17.25" customHeight="1" x14ac:dyDescent="0.25">
      <c r="B137"/>
      <c r="C137"/>
      <c r="D137"/>
      <c r="E137"/>
      <c r="F137"/>
      <c r="G137"/>
      <c r="H137"/>
      <c r="I137"/>
      <c r="J137"/>
      <c r="K137"/>
      <c r="L137"/>
      <c r="M13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/>
      <c r="AH137"/>
      <c r="AI137"/>
      <c r="AJ137"/>
      <c r="AK137"/>
      <c r="AL137"/>
      <c r="AM137"/>
      <c r="AN137"/>
      <c r="AO137"/>
      <c r="AP137"/>
    </row>
    <row r="138" spans="2:42" ht="17.25" customHeight="1" x14ac:dyDescent="0.25">
      <c r="B138"/>
      <c r="C138"/>
      <c r="D138"/>
      <c r="E138"/>
      <c r="F138"/>
      <c r="G138"/>
      <c r="H138"/>
      <c r="I138"/>
      <c r="J138"/>
      <c r="K138"/>
      <c r="L138"/>
      <c r="M138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  <c r="AB138"/>
      <c r="AC138"/>
      <c r="AD138"/>
      <c r="AE138"/>
      <c r="AF138"/>
      <c r="AG138"/>
      <c r="AH138"/>
      <c r="AI138"/>
      <c r="AJ138"/>
      <c r="AK138"/>
      <c r="AL138"/>
      <c r="AM138"/>
      <c r="AN138"/>
      <c r="AO138"/>
      <c r="AP138"/>
    </row>
    <row r="139" spans="2:42" ht="17.25" customHeight="1" x14ac:dyDescent="0.25">
      <c r="B139"/>
      <c r="C139"/>
      <c r="D139"/>
      <c r="E139"/>
      <c r="F139"/>
      <c r="G139"/>
      <c r="H139"/>
      <c r="I139"/>
      <c r="J139"/>
      <c r="K139"/>
      <c r="L139"/>
      <c r="M139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  <c r="AC139"/>
      <c r="AD139"/>
      <c r="AE139"/>
      <c r="AF139"/>
      <c r="AG139"/>
      <c r="AH139"/>
      <c r="AI139"/>
      <c r="AJ139"/>
      <c r="AK139"/>
      <c r="AL139"/>
      <c r="AM139"/>
      <c r="AN139"/>
      <c r="AO139"/>
      <c r="AP139"/>
    </row>
    <row r="140" spans="2:42" ht="17.25" customHeight="1" x14ac:dyDescent="0.25">
      <c r="B140"/>
      <c r="C140"/>
      <c r="D140"/>
      <c r="E140"/>
      <c r="F140"/>
      <c r="G140"/>
      <c r="H140"/>
      <c r="I140"/>
      <c r="J140"/>
      <c r="K140"/>
      <c r="L140"/>
      <c r="M140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  <c r="AJ140"/>
      <c r="AK140"/>
      <c r="AL140"/>
      <c r="AM140"/>
      <c r="AN140"/>
      <c r="AO140"/>
      <c r="AP140"/>
    </row>
    <row r="141" spans="2:42" ht="17.25" customHeight="1" x14ac:dyDescent="0.25">
      <c r="B141"/>
      <c r="C141"/>
      <c r="D141"/>
      <c r="E141"/>
      <c r="F141"/>
      <c r="G141"/>
      <c r="H141"/>
      <c r="I141"/>
      <c r="J141"/>
      <c r="K141"/>
      <c r="L141"/>
      <c r="M141"/>
      <c r="N141"/>
      <c r="O141"/>
      <c r="P141"/>
      <c r="Q141"/>
      <c r="R141"/>
      <c r="S141"/>
      <c r="T141"/>
      <c r="U141"/>
      <c r="V141"/>
      <c r="W141"/>
      <c r="X141"/>
      <c r="Y141"/>
      <c r="Z141"/>
      <c r="AA141"/>
      <c r="AB141"/>
      <c r="AC141"/>
      <c r="AD141"/>
      <c r="AE141"/>
      <c r="AF141"/>
      <c r="AG141"/>
      <c r="AH141"/>
      <c r="AI141"/>
      <c r="AJ141"/>
      <c r="AK141"/>
      <c r="AL141"/>
      <c r="AM141"/>
      <c r="AN141"/>
      <c r="AO141"/>
      <c r="AP141"/>
    </row>
    <row r="142" spans="2:42" ht="17.25" customHeight="1" x14ac:dyDescent="0.25">
      <c r="B142"/>
      <c r="C142"/>
      <c r="D142"/>
      <c r="E142"/>
      <c r="F142"/>
      <c r="G142"/>
      <c r="H142"/>
      <c r="I142"/>
      <c r="J142"/>
      <c r="K142"/>
      <c r="L142"/>
      <c r="M142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  <c r="AC142"/>
      <c r="AD142"/>
      <c r="AE142"/>
      <c r="AF142"/>
      <c r="AG142"/>
      <c r="AH142"/>
      <c r="AI142"/>
      <c r="AJ142"/>
      <c r="AK142"/>
      <c r="AL142"/>
      <c r="AM142"/>
      <c r="AN142"/>
      <c r="AO142"/>
      <c r="AP142"/>
    </row>
    <row r="143" spans="2:42" ht="17.25" customHeight="1" x14ac:dyDescent="0.25">
      <c r="B143"/>
      <c r="C143"/>
      <c r="D143"/>
      <c r="E143"/>
      <c r="F143"/>
      <c r="G143"/>
      <c r="H143"/>
      <c r="I143"/>
      <c r="J143"/>
      <c r="K143"/>
      <c r="L143"/>
      <c r="M143"/>
      <c r="N143"/>
      <c r="O143"/>
      <c r="P143"/>
      <c r="Q143"/>
      <c r="R143"/>
      <c r="S143"/>
      <c r="T143"/>
      <c r="U143"/>
      <c r="V143"/>
      <c r="W143"/>
      <c r="X143"/>
      <c r="Y143"/>
      <c r="Z143"/>
      <c r="AA143"/>
      <c r="AB143"/>
      <c r="AC143"/>
      <c r="AD143"/>
      <c r="AE143"/>
      <c r="AF143"/>
      <c r="AG143"/>
      <c r="AH143"/>
      <c r="AI143"/>
      <c r="AJ143"/>
      <c r="AK143"/>
      <c r="AL143"/>
      <c r="AM143"/>
      <c r="AN143"/>
      <c r="AO143"/>
      <c r="AP143"/>
    </row>
    <row r="144" spans="2:42" ht="17.25" customHeight="1" x14ac:dyDescent="0.25">
      <c r="B144"/>
      <c r="C144"/>
      <c r="D144"/>
      <c r="E144"/>
      <c r="F144"/>
      <c r="G144"/>
      <c r="H144"/>
      <c r="I144"/>
      <c r="J144"/>
      <c r="K144"/>
      <c r="L144"/>
      <c r="M144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  <c r="AC144"/>
      <c r="AD144"/>
      <c r="AE144"/>
      <c r="AF144"/>
      <c r="AG144"/>
      <c r="AH144"/>
      <c r="AI144"/>
      <c r="AJ144"/>
      <c r="AK144"/>
      <c r="AL144"/>
      <c r="AM144"/>
      <c r="AN144"/>
      <c r="AO144"/>
      <c r="AP144"/>
    </row>
    <row r="145" spans="2:42" ht="17.25" customHeight="1" x14ac:dyDescent="0.25">
      <c r="B145"/>
      <c r="C145"/>
      <c r="D145"/>
      <c r="E145"/>
      <c r="F145"/>
      <c r="G145"/>
      <c r="H145"/>
      <c r="I145"/>
      <c r="J145"/>
      <c r="K145"/>
      <c r="L145"/>
      <c r="M145"/>
      <c r="N145"/>
      <c r="O145"/>
      <c r="P145"/>
      <c r="Q145"/>
      <c r="R145"/>
      <c r="S145"/>
      <c r="T145"/>
      <c r="U145"/>
      <c r="V145"/>
      <c r="W145"/>
      <c r="X145"/>
      <c r="Y145"/>
      <c r="Z145"/>
      <c r="AA145"/>
      <c r="AB145"/>
      <c r="AC145"/>
      <c r="AD145"/>
      <c r="AE145"/>
      <c r="AF145"/>
      <c r="AG145"/>
      <c r="AH145"/>
      <c r="AI145"/>
      <c r="AJ145"/>
      <c r="AK145"/>
      <c r="AL145"/>
      <c r="AM145"/>
      <c r="AN145"/>
      <c r="AO145"/>
      <c r="AP145"/>
    </row>
    <row r="146" spans="2:42" ht="17.25" customHeight="1" x14ac:dyDescent="0.25">
      <c r="B146"/>
      <c r="C146"/>
      <c r="D146"/>
      <c r="E146"/>
      <c r="F146"/>
      <c r="G146"/>
      <c r="H146"/>
      <c r="I146"/>
      <c r="J146"/>
      <c r="K146"/>
      <c r="L146"/>
      <c r="M146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/>
      <c r="AB146"/>
      <c r="AC146"/>
      <c r="AD146"/>
      <c r="AE146"/>
      <c r="AF146"/>
      <c r="AG146"/>
      <c r="AH146"/>
      <c r="AI146"/>
      <c r="AJ146"/>
      <c r="AK146"/>
      <c r="AL146"/>
      <c r="AM146"/>
      <c r="AN146"/>
      <c r="AO146"/>
      <c r="AP146"/>
    </row>
    <row r="147" spans="2:42" ht="17.25" customHeight="1" x14ac:dyDescent="0.25">
      <c r="B147"/>
      <c r="C147"/>
      <c r="D147"/>
      <c r="E147"/>
      <c r="F147"/>
      <c r="G147"/>
      <c r="H147"/>
      <c r="I147"/>
      <c r="J147"/>
      <c r="K147"/>
      <c r="L147"/>
      <c r="M147"/>
      <c r="N147"/>
      <c r="O147"/>
      <c r="P147"/>
      <c r="Q147"/>
      <c r="R147"/>
      <c r="S147"/>
      <c r="T147"/>
      <c r="U147"/>
      <c r="V147"/>
      <c r="W147"/>
      <c r="X147"/>
      <c r="Y147"/>
      <c r="Z147"/>
      <c r="AA147"/>
      <c r="AB147"/>
      <c r="AC147"/>
      <c r="AD147"/>
      <c r="AE147"/>
      <c r="AF147"/>
      <c r="AG147"/>
      <c r="AH147"/>
      <c r="AI147"/>
      <c r="AJ147"/>
      <c r="AK147"/>
      <c r="AL147"/>
      <c r="AM147"/>
      <c r="AN147"/>
      <c r="AO147"/>
      <c r="AP147"/>
    </row>
    <row r="148" spans="2:42" ht="17.25" customHeight="1" x14ac:dyDescent="0.25">
      <c r="B148"/>
      <c r="C148"/>
      <c r="D148"/>
      <c r="E148"/>
      <c r="F148"/>
      <c r="G148"/>
      <c r="H148"/>
      <c r="I148"/>
      <c r="J148"/>
      <c r="K148"/>
      <c r="L148"/>
      <c r="M148"/>
      <c r="N148"/>
      <c r="O148"/>
      <c r="P148"/>
      <c r="Q148"/>
      <c r="R148"/>
      <c r="S148"/>
      <c r="T148"/>
      <c r="U148"/>
      <c r="V148"/>
      <c r="W148"/>
      <c r="X148"/>
      <c r="Y148"/>
      <c r="Z148"/>
      <c r="AA148"/>
      <c r="AB148"/>
      <c r="AC148"/>
      <c r="AD148"/>
      <c r="AE148"/>
      <c r="AF148"/>
      <c r="AG148"/>
      <c r="AH148"/>
      <c r="AI148"/>
      <c r="AJ148"/>
      <c r="AK148"/>
      <c r="AL148"/>
      <c r="AM148"/>
      <c r="AN148"/>
      <c r="AO148"/>
      <c r="AP148"/>
    </row>
    <row r="149" spans="2:42" ht="17.25" customHeight="1" x14ac:dyDescent="0.25">
      <c r="B149"/>
      <c r="C149"/>
      <c r="D149"/>
      <c r="E149"/>
      <c r="F149"/>
      <c r="G149"/>
      <c r="H149"/>
      <c r="I149"/>
      <c r="J149"/>
      <c r="K149"/>
      <c r="L149"/>
      <c r="M149"/>
      <c r="N149"/>
      <c r="O149"/>
      <c r="P149"/>
      <c r="Q149"/>
      <c r="R149"/>
      <c r="S149"/>
      <c r="T149"/>
      <c r="U149"/>
      <c r="V149"/>
      <c r="W149"/>
      <c r="X149"/>
      <c r="Y149"/>
      <c r="Z149"/>
      <c r="AA149"/>
      <c r="AB149"/>
      <c r="AC149"/>
      <c r="AD149"/>
      <c r="AE149"/>
      <c r="AF149"/>
      <c r="AG149"/>
      <c r="AH149"/>
      <c r="AI149"/>
      <c r="AJ149"/>
      <c r="AK149"/>
      <c r="AL149"/>
      <c r="AM149"/>
      <c r="AN149"/>
      <c r="AO149"/>
      <c r="AP149"/>
    </row>
    <row r="150" spans="2:42" ht="17.25" customHeight="1" x14ac:dyDescent="0.25">
      <c r="B150"/>
      <c r="C150"/>
      <c r="D150"/>
      <c r="E150"/>
      <c r="F150"/>
      <c r="G150"/>
      <c r="H150"/>
      <c r="I150"/>
      <c r="J150"/>
      <c r="K150"/>
      <c r="L150"/>
      <c r="M150"/>
      <c r="N150"/>
      <c r="O150"/>
      <c r="P150"/>
      <c r="Q150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E150"/>
      <c r="AF150"/>
      <c r="AG150"/>
      <c r="AH150"/>
      <c r="AI150"/>
      <c r="AJ150"/>
      <c r="AK150"/>
      <c r="AL150"/>
      <c r="AM150"/>
      <c r="AN150"/>
      <c r="AO150"/>
      <c r="AP150"/>
    </row>
    <row r="151" spans="2:42" ht="17.25" customHeight="1" x14ac:dyDescent="0.25">
      <c r="B151"/>
      <c r="C151"/>
      <c r="D151"/>
      <c r="E151"/>
      <c r="F151"/>
      <c r="G151"/>
      <c r="H151"/>
      <c r="I151"/>
      <c r="J151"/>
      <c r="K151"/>
      <c r="L151"/>
      <c r="M151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  <c r="AJ151"/>
      <c r="AK151"/>
      <c r="AL151"/>
      <c r="AM151"/>
      <c r="AN151"/>
      <c r="AO151"/>
      <c r="AP151"/>
    </row>
    <row r="152" spans="2:42" ht="17.25" customHeight="1" x14ac:dyDescent="0.25">
      <c r="B152"/>
      <c r="C152"/>
      <c r="D152"/>
      <c r="E152"/>
      <c r="F152"/>
      <c r="G152"/>
      <c r="H152"/>
      <c r="I152"/>
      <c r="J152"/>
      <c r="K152"/>
      <c r="L152"/>
      <c r="M152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  <c r="AJ152"/>
      <c r="AK152"/>
      <c r="AL152"/>
      <c r="AM152"/>
      <c r="AN152"/>
      <c r="AO152"/>
      <c r="AP152"/>
    </row>
    <row r="153" spans="2:42" ht="17.25" customHeight="1" x14ac:dyDescent="0.25">
      <c r="B153"/>
      <c r="C153"/>
      <c r="D153"/>
      <c r="E153"/>
      <c r="F153"/>
      <c r="G153"/>
      <c r="H153"/>
      <c r="I153"/>
      <c r="J153"/>
      <c r="K153"/>
      <c r="L153"/>
      <c r="M153"/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  <c r="AJ153"/>
      <c r="AK153"/>
      <c r="AL153"/>
      <c r="AM153"/>
      <c r="AN153"/>
      <c r="AO153"/>
      <c r="AP153"/>
    </row>
    <row r="154" spans="2:42" ht="17.25" customHeight="1" x14ac:dyDescent="0.25">
      <c r="B154"/>
      <c r="C154"/>
      <c r="D154"/>
      <c r="E154"/>
      <c r="F154"/>
      <c r="G154"/>
      <c r="H154"/>
      <c r="I154"/>
      <c r="J154"/>
      <c r="K154"/>
      <c r="L154"/>
      <c r="M154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  <c r="AJ154"/>
      <c r="AK154"/>
      <c r="AL154"/>
      <c r="AM154"/>
      <c r="AN154"/>
      <c r="AO154"/>
      <c r="AP154"/>
    </row>
    <row r="155" spans="2:42" ht="17.25" customHeight="1" x14ac:dyDescent="0.25">
      <c r="B155"/>
      <c r="C155"/>
      <c r="D155"/>
      <c r="E155"/>
      <c r="F155"/>
      <c r="G155"/>
      <c r="H155"/>
      <c r="I155"/>
      <c r="J155"/>
      <c r="K155"/>
      <c r="L155"/>
      <c r="M155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  <c r="AJ155"/>
      <c r="AK155"/>
      <c r="AL155"/>
      <c r="AM155"/>
      <c r="AN155"/>
      <c r="AO155"/>
      <c r="AP155"/>
    </row>
    <row r="156" spans="2:42" ht="17.25" customHeight="1" x14ac:dyDescent="0.25">
      <c r="B156"/>
      <c r="C156"/>
      <c r="D156"/>
      <c r="E156"/>
      <c r="F156"/>
      <c r="G156"/>
      <c r="H156"/>
      <c r="I156"/>
      <c r="J156"/>
      <c r="K156"/>
      <c r="L156"/>
      <c r="M156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  <c r="AJ156"/>
      <c r="AK156"/>
      <c r="AL156"/>
      <c r="AM156"/>
      <c r="AN156"/>
      <c r="AO156"/>
      <c r="AP156"/>
    </row>
    <row r="157" spans="2:42" ht="17.25" customHeight="1" x14ac:dyDescent="0.25">
      <c r="B157"/>
      <c r="C157"/>
      <c r="D157"/>
      <c r="E157"/>
      <c r="F157"/>
      <c r="G157"/>
      <c r="H157"/>
      <c r="I157"/>
      <c r="J157"/>
      <c r="K157"/>
      <c r="L157"/>
      <c r="M157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  <c r="AJ157"/>
      <c r="AK157"/>
      <c r="AL157"/>
      <c r="AM157"/>
      <c r="AN157"/>
      <c r="AO157"/>
      <c r="AP157"/>
    </row>
    <row r="158" spans="2:42" ht="17.25" customHeight="1" x14ac:dyDescent="0.25">
      <c r="B158"/>
      <c r="C158"/>
      <c r="D158"/>
      <c r="E158"/>
      <c r="F158"/>
      <c r="G158"/>
      <c r="H158"/>
      <c r="I158"/>
      <c r="J158"/>
      <c r="K158"/>
      <c r="L158"/>
      <c r="M158"/>
      <c r="N158"/>
      <c r="O158"/>
      <c r="P158"/>
      <c r="Q158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  <c r="AJ158"/>
      <c r="AK158"/>
      <c r="AL158"/>
      <c r="AM158"/>
      <c r="AN158"/>
      <c r="AO158"/>
      <c r="AP158"/>
    </row>
    <row r="159" spans="2:42" ht="17.25" customHeight="1" x14ac:dyDescent="0.25">
      <c r="B159"/>
      <c r="C159"/>
      <c r="D159"/>
      <c r="E159"/>
      <c r="F159"/>
      <c r="G159"/>
      <c r="H159"/>
      <c r="I159"/>
      <c r="J159"/>
      <c r="K159"/>
      <c r="L159"/>
      <c r="M159"/>
      <c r="N159"/>
      <c r="O159"/>
      <c r="P159"/>
      <c r="Q159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  <c r="AJ159"/>
      <c r="AK159"/>
      <c r="AL159"/>
      <c r="AM159"/>
      <c r="AN159"/>
      <c r="AO159"/>
      <c r="AP159"/>
    </row>
    <row r="160" spans="2:42" ht="17.25" customHeight="1" x14ac:dyDescent="0.25">
      <c r="B160"/>
      <c r="C160"/>
      <c r="D160"/>
      <c r="E160"/>
      <c r="F160"/>
      <c r="G160"/>
      <c r="H160"/>
      <c r="I160"/>
      <c r="J160"/>
      <c r="K160"/>
      <c r="L160"/>
      <c r="M160"/>
      <c r="N160"/>
      <c r="O160"/>
      <c r="P160"/>
      <c r="Q160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  <c r="AJ160"/>
      <c r="AK160"/>
      <c r="AL160"/>
      <c r="AM160"/>
      <c r="AN160"/>
      <c r="AO160"/>
      <c r="AP160"/>
    </row>
    <row r="161" spans="2:42" ht="17.25" customHeight="1" x14ac:dyDescent="0.25">
      <c r="B161"/>
      <c r="C161"/>
      <c r="D161"/>
      <c r="E161"/>
      <c r="F161"/>
      <c r="G161"/>
      <c r="H161"/>
      <c r="I161"/>
      <c r="J161"/>
      <c r="K161"/>
      <c r="L161"/>
      <c r="M161"/>
      <c r="N161"/>
      <c r="O161"/>
      <c r="P161"/>
      <c r="Q161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  <c r="AJ161"/>
      <c r="AK161"/>
      <c r="AL161"/>
      <c r="AM161"/>
      <c r="AN161"/>
      <c r="AO161"/>
      <c r="AP161"/>
    </row>
    <row r="162" spans="2:42" ht="17.25" customHeight="1" x14ac:dyDescent="0.25">
      <c r="B162"/>
      <c r="C162"/>
      <c r="D162"/>
      <c r="E162"/>
      <c r="F162"/>
      <c r="G162"/>
      <c r="H162"/>
      <c r="I162"/>
      <c r="J162"/>
      <c r="K162"/>
      <c r="L162"/>
      <c r="M162"/>
      <c r="N162"/>
      <c r="O162"/>
      <c r="P162"/>
      <c r="Q162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  <c r="AJ162"/>
      <c r="AK162"/>
      <c r="AL162"/>
      <c r="AM162"/>
      <c r="AN162"/>
      <c r="AO162"/>
      <c r="AP162"/>
    </row>
    <row r="163" spans="2:42" ht="17.25" customHeight="1" x14ac:dyDescent="0.25">
      <c r="B163"/>
      <c r="C163"/>
      <c r="D163"/>
      <c r="E163"/>
      <c r="F163"/>
      <c r="G163"/>
      <c r="H163"/>
      <c r="I163"/>
      <c r="J163"/>
      <c r="K163"/>
      <c r="L163"/>
      <c r="M163"/>
      <c r="N163"/>
      <c r="O163"/>
      <c r="P163"/>
      <c r="Q163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  <c r="AJ163"/>
      <c r="AK163"/>
      <c r="AL163"/>
      <c r="AM163"/>
      <c r="AN163"/>
      <c r="AO163"/>
      <c r="AP163"/>
    </row>
    <row r="164" spans="2:42" ht="17.25" customHeight="1" x14ac:dyDescent="0.25">
      <c r="B164"/>
      <c r="C164"/>
      <c r="D164"/>
      <c r="E164"/>
      <c r="F164"/>
      <c r="G164"/>
      <c r="H164"/>
      <c r="I164"/>
      <c r="J164"/>
      <c r="K164"/>
      <c r="L164"/>
      <c r="M164"/>
      <c r="N164"/>
      <c r="O164"/>
      <c r="P164"/>
      <c r="Q164"/>
      <c r="R164"/>
      <c r="S164"/>
      <c r="T164"/>
      <c r="U164"/>
      <c r="V164"/>
      <c r="W164"/>
      <c r="X164"/>
      <c r="Y164"/>
      <c r="Z164"/>
      <c r="AA164"/>
      <c r="AB164"/>
      <c r="AC164"/>
      <c r="AD164"/>
      <c r="AE164"/>
      <c r="AF164"/>
      <c r="AG164"/>
      <c r="AH164"/>
      <c r="AI164"/>
      <c r="AJ164"/>
      <c r="AK164"/>
      <c r="AL164"/>
      <c r="AM164"/>
      <c r="AN164"/>
      <c r="AO164"/>
      <c r="AP164"/>
    </row>
    <row r="165" spans="2:42" ht="17.25" customHeight="1" x14ac:dyDescent="0.25">
      <c r="B165"/>
      <c r="C165"/>
      <c r="D165"/>
      <c r="E165"/>
      <c r="F165"/>
      <c r="G165"/>
      <c r="H165"/>
      <c r="I165"/>
      <c r="J165"/>
      <c r="K165"/>
      <c r="L165"/>
      <c r="M165"/>
      <c r="N165"/>
      <c r="O165"/>
      <c r="P165"/>
      <c r="Q165"/>
      <c r="R165"/>
      <c r="S165"/>
      <c r="T165"/>
      <c r="U165"/>
      <c r="V165"/>
      <c r="W165"/>
      <c r="X165"/>
      <c r="Y165"/>
      <c r="Z165"/>
      <c r="AA165"/>
      <c r="AB165"/>
      <c r="AC165"/>
      <c r="AD165"/>
      <c r="AE165"/>
      <c r="AF165"/>
      <c r="AG165"/>
      <c r="AH165"/>
      <c r="AI165"/>
      <c r="AJ165"/>
      <c r="AK165"/>
      <c r="AL165"/>
      <c r="AM165"/>
      <c r="AN165"/>
      <c r="AO165"/>
      <c r="AP165"/>
    </row>
    <row r="166" spans="2:42" ht="17.25" customHeight="1" x14ac:dyDescent="0.25">
      <c r="B166"/>
      <c r="C166"/>
      <c r="D166"/>
      <c r="E166"/>
      <c r="F166"/>
      <c r="G166"/>
      <c r="H166"/>
      <c r="I166"/>
      <c r="J166"/>
      <c r="K166"/>
      <c r="L166"/>
      <c r="M166"/>
      <c r="N166"/>
      <c r="O166"/>
      <c r="P166"/>
      <c r="Q166"/>
      <c r="R166"/>
      <c r="S166"/>
      <c r="T166"/>
      <c r="U166"/>
      <c r="V166"/>
      <c r="W166"/>
      <c r="X166"/>
      <c r="Y166"/>
      <c r="Z166"/>
      <c r="AA166"/>
      <c r="AB166"/>
      <c r="AC166"/>
      <c r="AD166"/>
      <c r="AE166"/>
      <c r="AF166"/>
      <c r="AG166"/>
      <c r="AH166"/>
      <c r="AI166"/>
      <c r="AJ166"/>
      <c r="AK166"/>
      <c r="AL166"/>
      <c r="AM166"/>
      <c r="AN166"/>
      <c r="AO166"/>
      <c r="AP166"/>
    </row>
    <row r="167" spans="2:42" ht="17.25" customHeight="1" x14ac:dyDescent="0.25">
      <c r="B167"/>
      <c r="C167"/>
      <c r="D167"/>
      <c r="E167"/>
      <c r="F167"/>
      <c r="G167"/>
      <c r="H167"/>
      <c r="I167"/>
      <c r="J167"/>
      <c r="K167"/>
      <c r="L167"/>
      <c r="M167"/>
      <c r="N167"/>
      <c r="O167"/>
      <c r="P167"/>
      <c r="Q167"/>
      <c r="R167"/>
      <c r="S167"/>
      <c r="T167"/>
      <c r="U167"/>
      <c r="V167"/>
      <c r="W167"/>
      <c r="X167"/>
      <c r="Y167"/>
      <c r="Z167"/>
      <c r="AA167"/>
      <c r="AB167"/>
      <c r="AC167"/>
      <c r="AD167"/>
      <c r="AE167"/>
      <c r="AF167"/>
      <c r="AG167"/>
      <c r="AH167"/>
      <c r="AI167"/>
      <c r="AJ167"/>
      <c r="AK167"/>
      <c r="AL167"/>
      <c r="AM167"/>
      <c r="AN167"/>
      <c r="AO167"/>
      <c r="AP167"/>
    </row>
    <row r="168" spans="2:42" ht="17.25" customHeight="1" x14ac:dyDescent="0.25">
      <c r="B168"/>
      <c r="C168"/>
      <c r="D168"/>
      <c r="E168"/>
      <c r="F168"/>
      <c r="G168"/>
      <c r="H168"/>
      <c r="I168"/>
      <c r="J168"/>
      <c r="K168"/>
      <c r="L168"/>
      <c r="M168"/>
      <c r="N168"/>
      <c r="O168"/>
      <c r="P168"/>
      <c r="Q168"/>
      <c r="R168"/>
      <c r="S168"/>
      <c r="T168"/>
      <c r="U168"/>
      <c r="V168"/>
      <c r="W168"/>
      <c r="X168"/>
      <c r="Y168"/>
      <c r="Z168"/>
      <c r="AA168"/>
      <c r="AB168"/>
      <c r="AC168"/>
      <c r="AD168"/>
      <c r="AE168"/>
      <c r="AF168"/>
      <c r="AG168"/>
      <c r="AH168"/>
      <c r="AI168"/>
      <c r="AJ168"/>
      <c r="AK168"/>
      <c r="AL168"/>
      <c r="AM168"/>
      <c r="AN168"/>
      <c r="AO168"/>
      <c r="AP168"/>
    </row>
    <row r="169" spans="2:42" ht="17.25" customHeight="1" x14ac:dyDescent="0.25">
      <c r="B169"/>
      <c r="C169"/>
      <c r="D169"/>
      <c r="E169"/>
      <c r="F169"/>
      <c r="G169"/>
      <c r="H169"/>
      <c r="I169"/>
      <c r="J169"/>
      <c r="K169"/>
      <c r="L169"/>
      <c r="M169"/>
      <c r="N169"/>
      <c r="O169"/>
      <c r="P169"/>
      <c r="Q169"/>
      <c r="R169"/>
      <c r="S169"/>
      <c r="T169"/>
      <c r="U169"/>
      <c r="V169"/>
      <c r="W169"/>
      <c r="X169"/>
      <c r="Y169"/>
      <c r="Z169"/>
      <c r="AA169"/>
      <c r="AB169"/>
      <c r="AC169"/>
      <c r="AD169"/>
      <c r="AE169"/>
      <c r="AF169"/>
      <c r="AG169"/>
      <c r="AH169"/>
      <c r="AI169"/>
      <c r="AJ169"/>
      <c r="AK169"/>
      <c r="AL169"/>
      <c r="AM169"/>
      <c r="AN169"/>
      <c r="AO169"/>
      <c r="AP169"/>
    </row>
    <row r="170" spans="2:42" ht="17.25" customHeight="1" x14ac:dyDescent="0.25">
      <c r="B170"/>
      <c r="C170"/>
      <c r="D170"/>
      <c r="E170"/>
      <c r="F170"/>
      <c r="G170"/>
      <c r="H170"/>
      <c r="I170"/>
      <c r="J170"/>
      <c r="K170"/>
      <c r="L170"/>
      <c r="M170"/>
      <c r="N170"/>
      <c r="O170"/>
      <c r="P170"/>
      <c r="Q170"/>
      <c r="R170"/>
      <c r="S170"/>
      <c r="T170"/>
      <c r="U170"/>
      <c r="V170"/>
      <c r="W170"/>
      <c r="X170"/>
      <c r="Y170"/>
      <c r="Z170"/>
      <c r="AA170"/>
      <c r="AB170"/>
      <c r="AC170"/>
      <c r="AD170"/>
      <c r="AE170"/>
      <c r="AF170"/>
      <c r="AG170"/>
      <c r="AH170"/>
      <c r="AI170"/>
      <c r="AJ170"/>
      <c r="AK170"/>
      <c r="AL170"/>
      <c r="AM170"/>
      <c r="AN170"/>
      <c r="AO170"/>
      <c r="AP170"/>
    </row>
    <row r="171" spans="2:42" ht="17.25" customHeight="1" x14ac:dyDescent="0.25">
      <c r="B171"/>
      <c r="C171"/>
      <c r="D171"/>
      <c r="E171"/>
      <c r="F171"/>
      <c r="G171"/>
      <c r="H171"/>
      <c r="I171"/>
      <c r="J171"/>
      <c r="K171"/>
      <c r="L171"/>
      <c r="M171"/>
      <c r="N171"/>
      <c r="O171"/>
      <c r="P171"/>
      <c r="Q171"/>
      <c r="R171"/>
      <c r="S171"/>
      <c r="T171"/>
      <c r="U171"/>
      <c r="V171"/>
      <c r="W171"/>
      <c r="X171"/>
      <c r="Y171"/>
      <c r="Z171"/>
      <c r="AA171"/>
      <c r="AB171"/>
      <c r="AC171"/>
      <c r="AD171"/>
      <c r="AE171"/>
      <c r="AF171"/>
      <c r="AG171"/>
      <c r="AH171"/>
      <c r="AI171"/>
      <c r="AJ171"/>
      <c r="AK171"/>
      <c r="AL171"/>
      <c r="AM171"/>
      <c r="AN171"/>
      <c r="AO171"/>
      <c r="AP171"/>
    </row>
    <row r="172" spans="2:42" ht="17.25" customHeight="1" x14ac:dyDescent="0.25">
      <c r="B172"/>
      <c r="C172"/>
      <c r="D172"/>
      <c r="E172"/>
      <c r="F172"/>
      <c r="G172"/>
      <c r="H172"/>
      <c r="I172"/>
      <c r="J172"/>
      <c r="K172"/>
      <c r="L172"/>
      <c r="M172"/>
      <c r="N172"/>
      <c r="O172"/>
      <c r="P172"/>
      <c r="Q172"/>
      <c r="R172"/>
      <c r="S172"/>
      <c r="T172"/>
      <c r="U172"/>
      <c r="V172"/>
      <c r="W172"/>
      <c r="X172"/>
      <c r="Y172"/>
      <c r="Z172"/>
      <c r="AA172"/>
      <c r="AB172"/>
      <c r="AC172"/>
      <c r="AD172"/>
      <c r="AE172"/>
      <c r="AF172"/>
      <c r="AG172"/>
      <c r="AH172"/>
      <c r="AI172"/>
      <c r="AJ172"/>
      <c r="AK172"/>
      <c r="AL172"/>
      <c r="AM172"/>
      <c r="AN172"/>
      <c r="AO172"/>
      <c r="AP172"/>
    </row>
    <row r="173" spans="2:42" ht="17.25" customHeight="1" x14ac:dyDescent="0.25">
      <c r="B173"/>
      <c r="C173"/>
      <c r="D173"/>
      <c r="E173"/>
      <c r="F173"/>
      <c r="G173"/>
      <c r="H173"/>
      <c r="I173"/>
      <c r="J173"/>
      <c r="K173"/>
      <c r="L173"/>
      <c r="M173"/>
      <c r="N173"/>
      <c r="O173"/>
      <c r="P173"/>
      <c r="Q173"/>
      <c r="R173"/>
      <c r="S173"/>
      <c r="T173"/>
      <c r="U173"/>
      <c r="V173"/>
      <c r="W173"/>
      <c r="X173"/>
      <c r="Y173"/>
      <c r="Z173"/>
      <c r="AA173"/>
      <c r="AB173"/>
      <c r="AC173"/>
      <c r="AD173"/>
      <c r="AE173"/>
      <c r="AF173"/>
      <c r="AG173"/>
      <c r="AH173"/>
      <c r="AI173"/>
      <c r="AJ173"/>
      <c r="AK173"/>
      <c r="AL173"/>
      <c r="AM173"/>
      <c r="AN173"/>
      <c r="AO173"/>
      <c r="AP173"/>
    </row>
    <row r="174" spans="2:42" ht="17.25" customHeight="1" x14ac:dyDescent="0.25">
      <c r="B174"/>
      <c r="C174"/>
      <c r="D174"/>
      <c r="E174"/>
      <c r="F174"/>
      <c r="G174"/>
      <c r="H174"/>
      <c r="I174"/>
      <c r="J174"/>
      <c r="K174"/>
      <c r="L174"/>
      <c r="M174"/>
      <c r="N174"/>
      <c r="O174"/>
      <c r="P174"/>
      <c r="Q174"/>
      <c r="R174"/>
      <c r="S174"/>
      <c r="T174"/>
      <c r="U174"/>
      <c r="V174"/>
      <c r="W174"/>
      <c r="X174"/>
      <c r="Y174"/>
      <c r="Z174"/>
      <c r="AA174"/>
      <c r="AB174"/>
      <c r="AC174"/>
      <c r="AD174"/>
      <c r="AE174"/>
      <c r="AF174"/>
      <c r="AG174"/>
      <c r="AH174"/>
      <c r="AI174"/>
      <c r="AJ174"/>
      <c r="AK174"/>
      <c r="AL174"/>
      <c r="AM174"/>
      <c r="AN174"/>
      <c r="AO174"/>
      <c r="AP174"/>
    </row>
    <row r="175" spans="2:42" ht="17.25" customHeight="1" x14ac:dyDescent="0.25"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  <c r="Q175"/>
      <c r="R175"/>
      <c r="S175"/>
      <c r="T175"/>
      <c r="U175"/>
      <c r="V175"/>
      <c r="W175"/>
      <c r="X175"/>
      <c r="Y175"/>
      <c r="Z175"/>
      <c r="AA175"/>
      <c r="AB175"/>
      <c r="AC175"/>
      <c r="AD175"/>
      <c r="AE175"/>
      <c r="AF175"/>
      <c r="AG175"/>
      <c r="AH175"/>
      <c r="AI175"/>
      <c r="AJ175"/>
      <c r="AK175"/>
      <c r="AL175"/>
      <c r="AM175"/>
      <c r="AN175"/>
      <c r="AO175"/>
      <c r="AP175"/>
    </row>
    <row r="176" spans="2:42" ht="17.25" customHeight="1" x14ac:dyDescent="0.25">
      <c r="B176"/>
      <c r="C176"/>
      <c r="D176"/>
      <c r="E176"/>
      <c r="F176"/>
      <c r="G176"/>
      <c r="H176"/>
      <c r="I176"/>
      <c r="J176"/>
      <c r="K176"/>
      <c r="L176"/>
      <c r="M176"/>
      <c r="N176"/>
      <c r="O176"/>
      <c r="P176"/>
      <c r="Q176"/>
      <c r="R176"/>
      <c r="S176"/>
      <c r="T176"/>
      <c r="U176"/>
      <c r="V176"/>
      <c r="W176"/>
      <c r="X176"/>
      <c r="Y176"/>
      <c r="Z176"/>
      <c r="AA176"/>
      <c r="AB176"/>
      <c r="AC176"/>
      <c r="AD176"/>
      <c r="AE176"/>
      <c r="AF176"/>
      <c r="AG176"/>
      <c r="AH176"/>
      <c r="AI176"/>
      <c r="AJ176"/>
      <c r="AK176"/>
      <c r="AL176"/>
      <c r="AM176"/>
      <c r="AN176"/>
      <c r="AO176"/>
      <c r="AP176"/>
    </row>
    <row r="177" spans="2:42" ht="17.25" customHeight="1" x14ac:dyDescent="0.25">
      <c r="B177"/>
      <c r="C177"/>
      <c r="D177"/>
      <c r="E177"/>
      <c r="F177"/>
      <c r="G177"/>
      <c r="H177"/>
      <c r="I177"/>
      <c r="J177"/>
      <c r="K177"/>
      <c r="L177"/>
      <c r="M177"/>
      <c r="N177"/>
      <c r="O177"/>
      <c r="P177"/>
      <c r="Q177"/>
      <c r="R177"/>
      <c r="S177"/>
      <c r="T177"/>
      <c r="U177"/>
      <c r="V177"/>
      <c r="W177"/>
      <c r="X177"/>
      <c r="Y177"/>
      <c r="Z177"/>
      <c r="AA177"/>
      <c r="AB177"/>
      <c r="AC177"/>
      <c r="AD177"/>
      <c r="AE177"/>
      <c r="AF177"/>
      <c r="AG177"/>
      <c r="AH177"/>
      <c r="AI177"/>
      <c r="AJ177"/>
      <c r="AK177"/>
      <c r="AL177"/>
      <c r="AM177"/>
      <c r="AN177"/>
      <c r="AO177"/>
      <c r="AP177"/>
    </row>
    <row r="178" spans="2:42" ht="17.25" customHeight="1" x14ac:dyDescent="0.25">
      <c r="B178"/>
      <c r="C178"/>
      <c r="D178"/>
      <c r="E178"/>
      <c r="F178"/>
      <c r="G178"/>
      <c r="H178"/>
      <c r="I178"/>
      <c r="J178"/>
      <c r="K178"/>
      <c r="L178"/>
      <c r="M178"/>
      <c r="N178"/>
      <c r="O178"/>
      <c r="P178"/>
      <c r="Q178"/>
      <c r="R178"/>
      <c r="S178"/>
      <c r="T178"/>
      <c r="U178"/>
      <c r="V178"/>
      <c r="W178"/>
      <c r="X178"/>
      <c r="Y178"/>
      <c r="Z178"/>
      <c r="AA178"/>
      <c r="AB178"/>
      <c r="AC178"/>
      <c r="AD178"/>
      <c r="AE178"/>
      <c r="AF178"/>
      <c r="AG178"/>
      <c r="AH178"/>
      <c r="AI178"/>
      <c r="AJ178"/>
      <c r="AK178"/>
      <c r="AL178"/>
      <c r="AM178"/>
      <c r="AN178"/>
      <c r="AO178"/>
      <c r="AP178"/>
    </row>
    <row r="179" spans="2:42" ht="17.25" customHeight="1" x14ac:dyDescent="0.25">
      <c r="B179"/>
      <c r="C179"/>
      <c r="D179"/>
      <c r="E179"/>
      <c r="F179"/>
      <c r="G179"/>
      <c r="H179"/>
      <c r="I179"/>
      <c r="J179"/>
      <c r="K179"/>
      <c r="L179"/>
      <c r="M179"/>
      <c r="N179"/>
      <c r="O179"/>
      <c r="P179"/>
      <c r="Q179"/>
      <c r="R179"/>
      <c r="S179"/>
      <c r="T179"/>
      <c r="U179"/>
      <c r="V179"/>
      <c r="W179"/>
      <c r="X179"/>
      <c r="Y179"/>
      <c r="Z179"/>
      <c r="AA179"/>
      <c r="AB179"/>
      <c r="AC179"/>
      <c r="AD179"/>
      <c r="AE179"/>
      <c r="AF179"/>
      <c r="AG179"/>
      <c r="AH179"/>
      <c r="AI179"/>
      <c r="AJ179"/>
      <c r="AK179"/>
      <c r="AL179"/>
      <c r="AM179"/>
      <c r="AN179"/>
      <c r="AO179"/>
      <c r="AP179"/>
    </row>
    <row r="180" spans="2:42" ht="17.25" customHeight="1" x14ac:dyDescent="0.25">
      <c r="B180"/>
      <c r="C180"/>
      <c r="D180"/>
      <c r="E180"/>
      <c r="F180"/>
      <c r="G180"/>
      <c r="H180"/>
      <c r="I180"/>
      <c r="J180"/>
      <c r="K180"/>
      <c r="L180"/>
      <c r="M180"/>
      <c r="N180"/>
      <c r="O180"/>
      <c r="P180"/>
      <c r="Q180"/>
      <c r="R180"/>
      <c r="S180"/>
      <c r="T180"/>
      <c r="U180"/>
      <c r="V180"/>
      <c r="W180"/>
      <c r="X180"/>
      <c r="Y180"/>
      <c r="Z180"/>
      <c r="AA180"/>
      <c r="AB180"/>
      <c r="AC180"/>
      <c r="AD180"/>
      <c r="AE180"/>
      <c r="AF180"/>
      <c r="AG180"/>
      <c r="AH180"/>
      <c r="AI180"/>
      <c r="AJ180"/>
      <c r="AK180"/>
      <c r="AL180"/>
      <c r="AM180"/>
      <c r="AN180"/>
      <c r="AO180"/>
      <c r="AP180"/>
    </row>
    <row r="181" spans="2:42" ht="17.25" customHeight="1" x14ac:dyDescent="0.25">
      <c r="B181"/>
      <c r="C181"/>
      <c r="D181"/>
      <c r="E181"/>
      <c r="F181"/>
      <c r="G181"/>
      <c r="H181"/>
      <c r="I181"/>
      <c r="J181"/>
      <c r="K181"/>
      <c r="L181"/>
      <c r="M181"/>
      <c r="N181"/>
      <c r="O181"/>
      <c r="P181"/>
      <c r="Q181"/>
      <c r="R181"/>
      <c r="S181"/>
      <c r="T181"/>
      <c r="U181"/>
      <c r="V181"/>
      <c r="W181"/>
      <c r="X181"/>
      <c r="Y181"/>
      <c r="Z181"/>
      <c r="AA181"/>
      <c r="AB181"/>
      <c r="AC181"/>
      <c r="AD181"/>
      <c r="AE181"/>
      <c r="AF181"/>
      <c r="AG181"/>
      <c r="AH181"/>
      <c r="AI181"/>
      <c r="AJ181"/>
      <c r="AK181"/>
      <c r="AL181"/>
      <c r="AM181"/>
      <c r="AN181"/>
      <c r="AO181"/>
      <c r="AP181"/>
    </row>
    <row r="182" spans="2:42" ht="17.25" customHeight="1" x14ac:dyDescent="0.25">
      <c r="B182"/>
      <c r="C182"/>
      <c r="D182"/>
      <c r="E182"/>
      <c r="F182"/>
      <c r="G182"/>
      <c r="H182"/>
      <c r="I182"/>
      <c r="J182"/>
      <c r="K182"/>
      <c r="L182"/>
      <c r="M182"/>
      <c r="N182"/>
      <c r="O182"/>
      <c r="P182"/>
      <c r="Q182"/>
      <c r="R182"/>
      <c r="S182"/>
      <c r="T182"/>
      <c r="U182"/>
      <c r="V182"/>
      <c r="W182"/>
      <c r="X182"/>
      <c r="Y182"/>
      <c r="Z182"/>
      <c r="AA182"/>
      <c r="AB182"/>
      <c r="AC182"/>
      <c r="AD182"/>
      <c r="AE182"/>
      <c r="AF182"/>
      <c r="AG182"/>
      <c r="AH182"/>
      <c r="AI182"/>
      <c r="AJ182"/>
      <c r="AK182"/>
      <c r="AL182"/>
      <c r="AM182"/>
      <c r="AN182"/>
      <c r="AO182"/>
      <c r="AP182"/>
    </row>
    <row r="183" spans="2:42" ht="17.25" customHeight="1" x14ac:dyDescent="0.25">
      <c r="B183"/>
      <c r="C183"/>
      <c r="D183"/>
      <c r="E183"/>
      <c r="F183"/>
      <c r="G183"/>
      <c r="H183"/>
      <c r="I183"/>
      <c r="J183"/>
      <c r="K183"/>
      <c r="L183"/>
      <c r="M183"/>
      <c r="N183"/>
      <c r="O183"/>
      <c r="P183"/>
      <c r="Q183"/>
      <c r="R183"/>
      <c r="S183"/>
      <c r="T183"/>
      <c r="U183"/>
      <c r="V183"/>
      <c r="W183"/>
      <c r="X183"/>
      <c r="Y183"/>
      <c r="Z183"/>
      <c r="AA183"/>
      <c r="AB183"/>
      <c r="AC183"/>
      <c r="AD183"/>
      <c r="AE183"/>
      <c r="AF183"/>
      <c r="AG183"/>
      <c r="AH183"/>
      <c r="AI183"/>
      <c r="AJ183"/>
      <c r="AK183"/>
      <c r="AL183"/>
      <c r="AM183"/>
      <c r="AN183"/>
      <c r="AO183"/>
      <c r="AP183"/>
    </row>
    <row r="184" spans="2:42" ht="17.25" customHeight="1" x14ac:dyDescent="0.25">
      <c r="B184"/>
      <c r="C184"/>
      <c r="D184"/>
      <c r="E184"/>
      <c r="F184"/>
      <c r="G184"/>
      <c r="H184"/>
      <c r="I184"/>
      <c r="J184"/>
      <c r="K184"/>
      <c r="L184"/>
      <c r="M184"/>
      <c r="N184"/>
      <c r="O184"/>
      <c r="P184"/>
      <c r="Q184"/>
      <c r="R184"/>
      <c r="S184"/>
      <c r="T184"/>
      <c r="U184"/>
      <c r="V184"/>
      <c r="W184"/>
      <c r="X184"/>
      <c r="Y184"/>
      <c r="Z184"/>
      <c r="AA184"/>
      <c r="AB184"/>
      <c r="AC184"/>
      <c r="AD184"/>
      <c r="AE184"/>
      <c r="AF184"/>
      <c r="AG184"/>
      <c r="AH184"/>
      <c r="AI184"/>
      <c r="AJ184"/>
      <c r="AK184"/>
      <c r="AL184"/>
      <c r="AM184"/>
      <c r="AN184"/>
      <c r="AO184"/>
      <c r="AP184"/>
    </row>
    <row r="185" spans="2:42" ht="17.25" customHeight="1" x14ac:dyDescent="0.25">
      <c r="B185"/>
      <c r="C185"/>
      <c r="D185"/>
      <c r="E185"/>
      <c r="F185"/>
      <c r="G185"/>
      <c r="H185"/>
      <c r="I185"/>
      <c r="J185"/>
      <c r="K185"/>
      <c r="L185"/>
      <c r="M185"/>
      <c r="N185"/>
      <c r="O185"/>
      <c r="P185"/>
      <c r="Q185"/>
      <c r="R185"/>
      <c r="S185"/>
      <c r="T185"/>
      <c r="U185"/>
      <c r="V185"/>
      <c r="W185"/>
      <c r="X185"/>
      <c r="Y185"/>
      <c r="Z185"/>
      <c r="AA185"/>
      <c r="AB185"/>
      <c r="AC185"/>
      <c r="AD185"/>
      <c r="AE185"/>
      <c r="AF185"/>
      <c r="AG185"/>
      <c r="AH185"/>
      <c r="AI185"/>
      <c r="AJ185"/>
      <c r="AK185"/>
      <c r="AL185"/>
      <c r="AM185"/>
      <c r="AN185"/>
      <c r="AO185"/>
      <c r="AP185"/>
    </row>
    <row r="186" spans="2:42" ht="17.25" customHeight="1" x14ac:dyDescent="0.25">
      <c r="B186"/>
      <c r="C186"/>
      <c r="D186"/>
      <c r="E186"/>
      <c r="F186"/>
      <c r="G186"/>
      <c r="H186"/>
      <c r="I186"/>
      <c r="J186"/>
      <c r="K186"/>
      <c r="L186"/>
      <c r="M186"/>
      <c r="N186"/>
      <c r="O186"/>
      <c r="P186"/>
      <c r="Q186"/>
      <c r="R186"/>
      <c r="S186"/>
      <c r="T186"/>
      <c r="U186"/>
      <c r="V186"/>
      <c r="W186"/>
      <c r="X186"/>
      <c r="Y186"/>
      <c r="Z186"/>
      <c r="AA186"/>
      <c r="AB186"/>
      <c r="AC186"/>
      <c r="AD186"/>
      <c r="AE186"/>
      <c r="AF186"/>
      <c r="AG186"/>
      <c r="AH186"/>
      <c r="AI186"/>
      <c r="AJ186"/>
      <c r="AK186"/>
      <c r="AL186"/>
      <c r="AM186"/>
      <c r="AN186"/>
      <c r="AO186"/>
      <c r="AP186"/>
    </row>
    <row r="187" spans="2:42" ht="17.25" customHeight="1" x14ac:dyDescent="0.25">
      <c r="B187"/>
      <c r="C187"/>
      <c r="D187"/>
      <c r="E187"/>
      <c r="F187"/>
      <c r="G187"/>
      <c r="H187"/>
      <c r="I187"/>
      <c r="J187"/>
      <c r="K187"/>
      <c r="L187"/>
      <c r="M187"/>
      <c r="N187"/>
      <c r="O187"/>
      <c r="P187"/>
      <c r="Q187"/>
      <c r="R187"/>
      <c r="S187"/>
      <c r="T187"/>
      <c r="U187"/>
      <c r="V187"/>
      <c r="W187"/>
      <c r="X187"/>
      <c r="Y187"/>
      <c r="Z187"/>
      <c r="AA187"/>
      <c r="AB187"/>
      <c r="AC187"/>
      <c r="AD187"/>
      <c r="AE187"/>
      <c r="AF187"/>
      <c r="AG187"/>
      <c r="AH187"/>
      <c r="AI187"/>
      <c r="AJ187"/>
      <c r="AK187"/>
      <c r="AL187"/>
      <c r="AM187"/>
      <c r="AN187"/>
      <c r="AO187"/>
      <c r="AP187"/>
    </row>
    <row r="188" spans="2:42" ht="17.25" customHeight="1" x14ac:dyDescent="0.25">
      <c r="B188"/>
      <c r="C188"/>
      <c r="D188"/>
      <c r="E188"/>
      <c r="F188"/>
      <c r="G188"/>
      <c r="H188"/>
      <c r="I188"/>
      <c r="J188"/>
      <c r="K188"/>
      <c r="L188"/>
      <c r="M188"/>
      <c r="N188"/>
      <c r="O188"/>
      <c r="P188"/>
      <c r="Q188"/>
      <c r="R188"/>
      <c r="S188"/>
      <c r="T188"/>
      <c r="U188"/>
      <c r="V188"/>
      <c r="W188"/>
      <c r="X188"/>
      <c r="Y188"/>
      <c r="Z188"/>
      <c r="AA188"/>
      <c r="AB188"/>
      <c r="AC188"/>
      <c r="AD188"/>
      <c r="AE188"/>
      <c r="AF188"/>
      <c r="AG188"/>
      <c r="AH188"/>
      <c r="AI188"/>
      <c r="AJ188"/>
      <c r="AK188"/>
      <c r="AL188"/>
      <c r="AM188"/>
      <c r="AN188"/>
      <c r="AO188"/>
      <c r="AP188"/>
    </row>
    <row r="189" spans="2:42" ht="17.25" customHeight="1" x14ac:dyDescent="0.25">
      <c r="B189"/>
      <c r="C189"/>
      <c r="D189"/>
      <c r="E189"/>
      <c r="F189"/>
      <c r="G189"/>
      <c r="H189"/>
      <c r="I189"/>
      <c r="J189"/>
      <c r="K189"/>
      <c r="L189"/>
      <c r="M189"/>
      <c r="N189"/>
      <c r="O189"/>
      <c r="P189"/>
      <c r="Q189"/>
      <c r="R189"/>
      <c r="S189"/>
      <c r="T189"/>
      <c r="U189"/>
      <c r="V189"/>
      <c r="W189"/>
      <c r="X189"/>
      <c r="Y189"/>
      <c r="Z189"/>
      <c r="AA189"/>
      <c r="AB189"/>
      <c r="AC189"/>
      <c r="AD189"/>
      <c r="AE189"/>
      <c r="AF189"/>
      <c r="AG189"/>
      <c r="AH189"/>
      <c r="AI189"/>
      <c r="AJ189"/>
      <c r="AK189"/>
      <c r="AL189"/>
      <c r="AM189"/>
      <c r="AN189"/>
      <c r="AO189"/>
      <c r="AP189"/>
    </row>
    <row r="190" spans="2:42" ht="17.25" customHeight="1" x14ac:dyDescent="0.25">
      <c r="B190"/>
      <c r="C190"/>
      <c r="D190"/>
      <c r="E190"/>
      <c r="F190"/>
      <c r="G190"/>
      <c r="H190"/>
      <c r="I190"/>
      <c r="J190"/>
      <c r="K190"/>
      <c r="L190"/>
      <c r="M190"/>
      <c r="N190"/>
      <c r="O190"/>
      <c r="P190"/>
      <c r="Q190"/>
      <c r="R190"/>
      <c r="S190"/>
      <c r="T190"/>
      <c r="U190"/>
      <c r="V190"/>
      <c r="W190"/>
      <c r="X190"/>
      <c r="Y190"/>
      <c r="Z190"/>
      <c r="AA190"/>
      <c r="AB190"/>
      <c r="AC190"/>
      <c r="AD190"/>
      <c r="AE190"/>
      <c r="AF190"/>
      <c r="AG190"/>
      <c r="AH190"/>
      <c r="AI190"/>
      <c r="AJ190"/>
      <c r="AK190"/>
      <c r="AL190"/>
      <c r="AM190"/>
      <c r="AN190"/>
      <c r="AO190"/>
      <c r="AP190"/>
    </row>
    <row r="191" spans="2:42" ht="17.25" customHeight="1" x14ac:dyDescent="0.25">
      <c r="B191"/>
      <c r="C191"/>
      <c r="D191"/>
      <c r="E191"/>
      <c r="F191"/>
      <c r="G191"/>
      <c r="H191"/>
      <c r="I191"/>
      <c r="J191"/>
      <c r="K191"/>
      <c r="L191"/>
      <c r="M191"/>
      <c r="N191"/>
      <c r="O191"/>
      <c r="P191"/>
      <c r="Q191"/>
      <c r="R191"/>
      <c r="S191"/>
      <c r="T191"/>
      <c r="U191"/>
      <c r="V191"/>
      <c r="W191"/>
      <c r="X191"/>
      <c r="Y191"/>
      <c r="Z191"/>
      <c r="AA191"/>
      <c r="AB191"/>
      <c r="AC191"/>
      <c r="AD191"/>
      <c r="AE191"/>
      <c r="AF191"/>
      <c r="AG191"/>
      <c r="AH191"/>
      <c r="AI191"/>
      <c r="AJ191"/>
      <c r="AK191"/>
      <c r="AL191"/>
      <c r="AM191"/>
      <c r="AN191"/>
      <c r="AO191"/>
      <c r="AP191"/>
    </row>
    <row r="192" spans="2:42" ht="17.25" customHeight="1" x14ac:dyDescent="0.25">
      <c r="B192"/>
      <c r="C192"/>
      <c r="D192"/>
      <c r="E192"/>
      <c r="F192"/>
      <c r="G192"/>
      <c r="H192"/>
      <c r="I192"/>
      <c r="J192"/>
      <c r="K192"/>
      <c r="L192"/>
      <c r="M192"/>
      <c r="N192"/>
      <c r="O192"/>
      <c r="P192"/>
      <c r="Q192"/>
      <c r="R192"/>
      <c r="S192"/>
      <c r="T192"/>
      <c r="U192"/>
      <c r="V192"/>
      <c r="W192"/>
      <c r="X192"/>
      <c r="Y192"/>
      <c r="Z192"/>
      <c r="AA192"/>
      <c r="AB192"/>
      <c r="AC192"/>
      <c r="AD192"/>
      <c r="AE192"/>
      <c r="AF192"/>
      <c r="AG192"/>
      <c r="AH192"/>
      <c r="AI192"/>
      <c r="AJ192"/>
      <c r="AK192"/>
      <c r="AL192"/>
      <c r="AM192"/>
      <c r="AN192"/>
      <c r="AO192"/>
      <c r="AP192"/>
    </row>
    <row r="193" spans="2:42" ht="17.25" customHeight="1" x14ac:dyDescent="0.25">
      <c r="B193"/>
      <c r="C193"/>
      <c r="D193"/>
      <c r="E193"/>
      <c r="F193"/>
      <c r="G193"/>
      <c r="H193"/>
      <c r="I193"/>
      <c r="J193"/>
      <c r="K193"/>
      <c r="L193"/>
      <c r="M193"/>
      <c r="N193"/>
      <c r="O193"/>
      <c r="P193"/>
      <c r="Q193"/>
      <c r="R193"/>
      <c r="S193"/>
      <c r="T193"/>
      <c r="U193"/>
      <c r="V193"/>
      <c r="W193"/>
      <c r="X193"/>
      <c r="Y193"/>
      <c r="Z193"/>
      <c r="AA193"/>
      <c r="AB193"/>
      <c r="AC193"/>
      <c r="AD193"/>
      <c r="AE193"/>
      <c r="AF193"/>
      <c r="AG193"/>
      <c r="AH193"/>
      <c r="AI193"/>
      <c r="AJ193"/>
      <c r="AK193"/>
      <c r="AL193"/>
      <c r="AM193"/>
      <c r="AN193"/>
      <c r="AO193"/>
      <c r="AP193"/>
    </row>
    <row r="194" spans="2:42" ht="17.25" customHeight="1" x14ac:dyDescent="0.25">
      <c r="B194"/>
      <c r="C194"/>
      <c r="D194"/>
      <c r="E194"/>
      <c r="F194"/>
      <c r="G194"/>
      <c r="H194"/>
      <c r="I194"/>
      <c r="J194"/>
      <c r="K194"/>
      <c r="L194"/>
      <c r="M194"/>
      <c r="N194"/>
      <c r="O194"/>
      <c r="P194"/>
      <c r="Q194"/>
      <c r="R194"/>
      <c r="S194"/>
      <c r="T194"/>
      <c r="U194"/>
      <c r="V194"/>
      <c r="W194"/>
      <c r="X194"/>
      <c r="Y194"/>
      <c r="Z194"/>
      <c r="AA194"/>
      <c r="AB194"/>
      <c r="AC194"/>
      <c r="AD194"/>
      <c r="AE194"/>
      <c r="AF194"/>
      <c r="AG194"/>
      <c r="AH194"/>
      <c r="AI194"/>
      <c r="AJ194"/>
      <c r="AK194"/>
      <c r="AL194"/>
      <c r="AM194"/>
      <c r="AN194"/>
      <c r="AO194"/>
      <c r="AP194"/>
    </row>
    <row r="195" spans="2:42" ht="17.25" customHeight="1" x14ac:dyDescent="0.25">
      <c r="B195"/>
      <c r="C195"/>
      <c r="D195"/>
      <c r="E195"/>
      <c r="F195"/>
      <c r="G195"/>
      <c r="H195"/>
      <c r="I195"/>
      <c r="J195"/>
      <c r="K195"/>
      <c r="L195"/>
      <c r="M195"/>
      <c r="N195"/>
      <c r="O195"/>
      <c r="P195"/>
      <c r="Q195"/>
      <c r="R195"/>
      <c r="S195"/>
      <c r="T195"/>
      <c r="U195"/>
      <c r="V195"/>
      <c r="W195"/>
      <c r="X195"/>
      <c r="Y195"/>
      <c r="Z195"/>
      <c r="AA195"/>
      <c r="AB195"/>
      <c r="AC195"/>
      <c r="AD195"/>
      <c r="AE195"/>
      <c r="AF195"/>
      <c r="AG195"/>
      <c r="AH195"/>
      <c r="AI195"/>
      <c r="AJ195"/>
      <c r="AK195"/>
      <c r="AL195"/>
      <c r="AM195"/>
      <c r="AN195"/>
      <c r="AO195"/>
      <c r="AP195"/>
    </row>
    <row r="196" spans="2:42" ht="17.25" customHeight="1" x14ac:dyDescent="0.25">
      <c r="B196"/>
      <c r="C196"/>
      <c r="D196"/>
      <c r="E196"/>
      <c r="F196"/>
      <c r="G196"/>
      <c r="H196"/>
      <c r="I196"/>
      <c r="J196"/>
      <c r="K196"/>
      <c r="L196"/>
      <c r="M196"/>
      <c r="N196"/>
      <c r="O196"/>
      <c r="P196"/>
      <c r="Q196"/>
      <c r="R196"/>
      <c r="S196"/>
      <c r="T196"/>
      <c r="U196"/>
      <c r="V196"/>
      <c r="W196"/>
      <c r="X196"/>
      <c r="Y196"/>
      <c r="Z196"/>
      <c r="AA196"/>
      <c r="AB196"/>
      <c r="AC196"/>
      <c r="AD196"/>
      <c r="AE196"/>
      <c r="AF196"/>
      <c r="AG196"/>
      <c r="AH196"/>
      <c r="AI196"/>
      <c r="AJ196"/>
      <c r="AK196"/>
      <c r="AL196"/>
      <c r="AM196"/>
      <c r="AN196"/>
      <c r="AO196"/>
      <c r="AP196"/>
    </row>
    <row r="197" spans="2:42" ht="17.25" customHeight="1" x14ac:dyDescent="0.25">
      <c r="B197"/>
      <c r="C197"/>
      <c r="D197"/>
      <c r="E197"/>
      <c r="F197"/>
      <c r="G197"/>
      <c r="H197"/>
      <c r="I197"/>
      <c r="J197"/>
      <c r="K197"/>
      <c r="L197"/>
      <c r="M197"/>
      <c r="N197"/>
      <c r="O197"/>
      <c r="P197"/>
      <c r="Q197"/>
      <c r="R197"/>
      <c r="S197"/>
      <c r="T197"/>
      <c r="U197"/>
      <c r="V197"/>
      <c r="W197"/>
      <c r="X197"/>
      <c r="Y197"/>
      <c r="Z197"/>
      <c r="AA197"/>
      <c r="AB197"/>
      <c r="AC197"/>
      <c r="AD197"/>
      <c r="AE197"/>
      <c r="AF197"/>
      <c r="AG197"/>
      <c r="AH197"/>
      <c r="AI197"/>
      <c r="AJ197"/>
      <c r="AK197"/>
      <c r="AL197"/>
      <c r="AM197"/>
      <c r="AN197"/>
      <c r="AO197"/>
      <c r="AP197"/>
    </row>
    <row r="198" spans="2:42" ht="17.25" customHeight="1" x14ac:dyDescent="0.25">
      <c r="B198"/>
      <c r="C198"/>
      <c r="D198"/>
      <c r="E198"/>
      <c r="F198"/>
      <c r="G198"/>
      <c r="H198"/>
      <c r="I198"/>
      <c r="J198"/>
      <c r="K198"/>
      <c r="L198"/>
      <c r="M198"/>
      <c r="N198"/>
      <c r="O198"/>
      <c r="P198"/>
      <c r="Q198"/>
      <c r="R198"/>
      <c r="S198"/>
      <c r="T198"/>
      <c r="U198"/>
      <c r="V198"/>
      <c r="W198"/>
      <c r="X198"/>
      <c r="Y198"/>
      <c r="Z198"/>
      <c r="AA198"/>
      <c r="AB198"/>
      <c r="AC198"/>
      <c r="AD198"/>
      <c r="AE198"/>
      <c r="AF198"/>
      <c r="AG198"/>
      <c r="AH198"/>
      <c r="AI198"/>
      <c r="AJ198"/>
      <c r="AK198"/>
      <c r="AL198"/>
      <c r="AM198"/>
      <c r="AN198"/>
      <c r="AO198"/>
      <c r="AP198"/>
    </row>
    <row r="199" spans="2:42" ht="17.25" customHeight="1" x14ac:dyDescent="0.25">
      <c r="B199"/>
      <c r="C199"/>
      <c r="D199"/>
      <c r="E199"/>
      <c r="F199"/>
      <c r="G199"/>
      <c r="H199"/>
      <c r="I199"/>
      <c r="J199"/>
      <c r="K199"/>
      <c r="L199"/>
      <c r="M199"/>
      <c r="N199"/>
      <c r="O199"/>
      <c r="P199"/>
      <c r="Q199"/>
      <c r="R199"/>
      <c r="S199"/>
      <c r="T199"/>
      <c r="U199"/>
      <c r="V199"/>
      <c r="W199"/>
      <c r="X199"/>
      <c r="Y199"/>
      <c r="Z199"/>
      <c r="AA199"/>
      <c r="AB199"/>
      <c r="AC199"/>
      <c r="AD199"/>
      <c r="AE199"/>
      <c r="AF199"/>
      <c r="AG199"/>
      <c r="AH199"/>
      <c r="AI199"/>
      <c r="AJ199"/>
      <c r="AK199"/>
      <c r="AL199"/>
      <c r="AM199"/>
      <c r="AN199"/>
      <c r="AO199"/>
      <c r="AP199"/>
    </row>
    <row r="200" spans="2:42" ht="17.25" customHeight="1" x14ac:dyDescent="0.25">
      <c r="B200"/>
      <c r="C200"/>
      <c r="D200"/>
      <c r="E200"/>
      <c r="F200"/>
      <c r="G200"/>
      <c r="H200"/>
      <c r="I200"/>
      <c r="J200"/>
      <c r="K200"/>
      <c r="L200"/>
      <c r="M200"/>
      <c r="N200"/>
      <c r="O200"/>
      <c r="P200"/>
      <c r="Q200"/>
      <c r="R200"/>
      <c r="S200"/>
      <c r="T200"/>
      <c r="U200"/>
      <c r="V200"/>
      <c r="W200"/>
      <c r="X200"/>
      <c r="Y200"/>
      <c r="Z200"/>
      <c r="AA200"/>
      <c r="AB200"/>
      <c r="AC200"/>
      <c r="AD200"/>
      <c r="AE200"/>
      <c r="AF200"/>
      <c r="AG200"/>
      <c r="AH200"/>
      <c r="AI200"/>
      <c r="AJ200"/>
      <c r="AK200"/>
      <c r="AL200"/>
      <c r="AM200"/>
      <c r="AN200"/>
      <c r="AO200"/>
      <c r="AP200"/>
    </row>
  </sheetData>
  <mergeCells count="2">
    <mergeCell ref="B2:C2"/>
    <mergeCell ref="X2:Y2"/>
  </mergeCells>
  <phoneticPr fontId="17" type="noConversion"/>
  <conditionalFormatting sqref="D4:V22">
    <cfRule type="colorScale" priority="65">
      <colorScale>
        <cfvo type="num" val="0"/>
        <cfvo type="percent" val="50"/>
        <cfvo type="max"/>
        <color theme="0"/>
        <color rgb="FFFFEB84"/>
        <color rgb="FFF8696B"/>
      </colorScale>
    </cfRule>
    <cfRule type="cellIs" dxfId="4" priority="66" operator="equal">
      <formula>0</formula>
    </cfRule>
  </conditionalFormatting>
  <conditionalFormatting sqref="Z4:AR22">
    <cfRule type="colorScale" priority="1">
      <colorScale>
        <cfvo type="min"/>
        <cfvo type="max"/>
        <color rgb="FFF8696B"/>
        <color rgb="FFFCFCFF"/>
      </colorScale>
    </cfRule>
    <cfRule type="cellIs" dxfId="3" priority="3" operator="equal">
      <formula>9999</formula>
    </cfRule>
  </conditionalFormatting>
  <pageMargins left="0.75" right="0.75" top="1" bottom="1" header="0.5" footer="0.5"/>
  <pageSetup paperSize="9" orientation="portrait" r:id="rId1"/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A4EEA-52FE-448D-8876-6BCBB816DC62}">
  <dimension ref="B2:AP200"/>
  <sheetViews>
    <sheetView showGridLines="0" zoomScaleNormal="100" workbookViewId="0">
      <selection activeCell="L16" sqref="L16"/>
    </sheetView>
  </sheetViews>
  <sheetFormatPr baseColWidth="10" defaultColWidth="9.140625" defaultRowHeight="17.25" customHeight="1" x14ac:dyDescent="0.25"/>
  <cols>
    <col min="1" max="1" width="9.140625" style="3" customWidth="1"/>
    <col min="2" max="2" width="30.42578125" style="3" bestFit="1" customWidth="1"/>
    <col min="3" max="3" width="5.85546875" style="3" bestFit="1" customWidth="1"/>
    <col min="4" max="6" width="16.7109375" style="3" bestFit="1" customWidth="1"/>
    <col min="7" max="7" width="19.140625" style="3" customWidth="1"/>
    <col min="8" max="8" width="16.140625" style="3" customWidth="1"/>
    <col min="9" max="22" width="5.140625" style="3" customWidth="1"/>
    <col min="23" max="24" width="9.140625" style="3" customWidth="1"/>
    <col min="25" max="16384" width="9.140625" style="3"/>
  </cols>
  <sheetData>
    <row r="2" spans="2:42" s="14" customFormat="1" ht="21" customHeight="1" x14ac:dyDescent="0.25">
      <c r="B2" s="75" t="s">
        <v>109</v>
      </c>
      <c r="C2" s="91"/>
      <c r="D2" s="91"/>
      <c r="E2" s="91"/>
      <c r="F2" s="91"/>
      <c r="G2" s="91"/>
      <c r="H2" s="76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/>
      <c r="X2"/>
      <c r="Y2"/>
      <c r="Z2"/>
      <c r="AA2"/>
      <c r="AB2"/>
      <c r="AC2"/>
      <c r="AD2"/>
      <c r="AE2"/>
      <c r="AF2"/>
      <c r="AG2"/>
      <c r="AH2"/>
      <c r="AI2"/>
      <c r="AJ2"/>
      <c r="AK2"/>
      <c r="AL2"/>
      <c r="AM2"/>
      <c r="AN2"/>
      <c r="AO2"/>
      <c r="AP2"/>
    </row>
    <row r="3" spans="2:42" ht="36.75" customHeight="1" x14ac:dyDescent="0.25">
      <c r="B3" s="7" t="s">
        <v>82</v>
      </c>
      <c r="C3" s="7" t="s">
        <v>102</v>
      </c>
      <c r="D3" s="8" t="s">
        <v>103</v>
      </c>
      <c r="E3" s="8" t="s">
        <v>104</v>
      </c>
      <c r="F3" s="8" t="s">
        <v>105</v>
      </c>
      <c r="G3" s="49" t="s">
        <v>106</v>
      </c>
      <c r="H3" s="49" t="s">
        <v>107</v>
      </c>
      <c r="I3"/>
      <c r="J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</row>
    <row r="4" spans="2:42" ht="15" x14ac:dyDescent="0.25">
      <c r="B4" s="13" t="str">
        <f>VLOOKUP(tblMatrizDeAdyacencia[[#This Row],[NodoOrigen \ NodoDestino]],tblNodos[],2,FALSE)</f>
        <v>Extorsión local</v>
      </c>
      <c r="C4" s="5" t="s">
        <v>22</v>
      </c>
      <c r="D4" s="43">
        <f>_xlfn.LET(_xlpm.n,tblGradoPonderado[[#This Row],[Nodo]],_xlpm.col,_xlfn.XLOOKUP(_xlpm.n,tblMatrizTradeOff[#Headers],tblMatrizTradeOff[#Data]),SUM(_xlpm.col))</f>
        <v>0</v>
      </c>
      <c r="E4" s="43">
        <f>_xlfn.LET(_xlpm.n,tblGradoPonderado[[#This Row],[Nodo]],_xlpm.row,_xlfn.XLOOKUP(_xlpm.n,tblMatrizTradeOff[NodoOrigen \ NodoDestino],tblMatrizTradeOff[[O1]:[D]]),SUM(_xlpm.row))</f>
        <v>3.2</v>
      </c>
      <c r="F4" s="43">
        <f>tblGradoPonderado[[#This Row],[Grado Ponderado de Entrada]]+tblGradoPonderado[[#This Row],[Grado Ponderado de Salida]]</f>
        <v>3.2</v>
      </c>
      <c r="G4" s="48">
        <f>tblGradoPonderado[[#This Row],[Grado Ponderado de Salida]]-tblGradoPonderado[[#This Row],[Grado Ponderado de Entrada]]</f>
        <v>3.2</v>
      </c>
      <c r="H4" s="48">
        <f>tblGradoPonderado[[#This Row],[Grado Ponderado Total]]/tblGradoPonderado[[#Totals],[Grado Ponderado Total]]</f>
        <v>0.16326530612244897</v>
      </c>
      <c r="I4" s="47"/>
      <c r="J4" s="47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</row>
    <row r="5" spans="2:42" ht="15" x14ac:dyDescent="0.25">
      <c r="B5" s="13" t="str">
        <f>VLOOKUP(tblMatrizDeAdyacencia[[#This Row],[NodoOrigen \ NodoDestino]],tblNodos[],2,FALSE)</f>
        <v>Tráfico ilícito</v>
      </c>
      <c r="C5" s="5" t="s">
        <v>30</v>
      </c>
      <c r="D5" s="43">
        <f>_xlfn.LET(_xlpm.n,tblGradoPonderado[[#This Row],[Nodo]],_xlpm.col,_xlfn.XLOOKUP(_xlpm.n,tblMatrizTradeOff[#Headers],tblMatrizTradeOff[#Data]),SUM(_xlpm.col))</f>
        <v>0</v>
      </c>
      <c r="E5" s="43">
        <f>_xlfn.LET(_xlpm.n,tblGradoPonderado[[#This Row],[Nodo]],_xlpm.row,_xlfn.XLOOKUP(_xlpm.n,tblMatrizTradeOff[NodoOrigen \ NodoDestino],tblMatrizTradeOff[[O1]:[D]]),SUM(_xlpm.row))</f>
        <v>3.2</v>
      </c>
      <c r="F5" s="43">
        <f>tblGradoPonderado[[#This Row],[Grado Ponderado de Entrada]]+tblGradoPonderado[[#This Row],[Grado Ponderado de Salida]]</f>
        <v>3.2</v>
      </c>
      <c r="G5" s="43">
        <f>tblGradoPonderado[[#This Row],[Grado Ponderado de Salida]]-tblGradoPonderado[[#This Row],[Grado Ponderado de Entrada]]</f>
        <v>3.2</v>
      </c>
      <c r="H5" s="43">
        <f>tblGradoPonderado[[#This Row],[Grado Ponderado Total]]/tblGradoPonderado[[#Totals],[Grado Ponderado Total]]</f>
        <v>0.16326530612244897</v>
      </c>
      <c r="I5" s="47"/>
      <c r="J5" s="47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</row>
    <row r="6" spans="2:42" ht="15" x14ac:dyDescent="0.25">
      <c r="B6" s="13" t="str">
        <f>VLOOKUP(tblMatrizDeAdyacencia[[#This Row],[NodoOrigen \ NodoDestino]],tblNodos[],2,FALSE)</f>
        <v>Donaciones externas</v>
      </c>
      <c r="C6" s="5" t="s">
        <v>34</v>
      </c>
      <c r="D6" s="43">
        <f>_xlfn.LET(_xlpm.n,tblGradoPonderado[[#This Row],[Nodo]],_xlpm.col,_xlfn.XLOOKUP(_xlpm.n,tblMatrizTradeOff[#Headers],tblMatrizTradeOff[#Data]),SUM(_xlpm.col))</f>
        <v>0</v>
      </c>
      <c r="E6" s="43">
        <f>_xlfn.LET(_xlpm.n,tblGradoPonderado[[#This Row],[Nodo]],_xlpm.row,_xlfn.XLOOKUP(_xlpm.n,tblMatrizTradeOff[NodoOrigen \ NodoDestino],tblMatrizTradeOff[[O1]:[D]]),SUM(_xlpm.row))</f>
        <v>4.666666666666667</v>
      </c>
      <c r="F6" s="43">
        <f>tblGradoPonderado[[#This Row],[Grado Ponderado de Entrada]]+tblGradoPonderado[[#This Row],[Grado Ponderado de Salida]]</f>
        <v>4.666666666666667</v>
      </c>
      <c r="G6" s="43">
        <f>tblGradoPonderado[[#This Row],[Grado Ponderado de Salida]]-tblGradoPonderado[[#This Row],[Grado Ponderado de Entrada]]</f>
        <v>4.666666666666667</v>
      </c>
      <c r="H6" s="43">
        <f>tblGradoPonderado[[#This Row],[Grado Ponderado Total]]/tblGradoPonderado[[#Totals],[Grado Ponderado Total]]</f>
        <v>0.23809523809523808</v>
      </c>
      <c r="I6" s="47"/>
      <c r="J6" s="47"/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</row>
    <row r="7" spans="2:42" ht="15" x14ac:dyDescent="0.25">
      <c r="B7" s="13" t="str">
        <f>VLOOKUP(tblMatrizDeAdyacencia[[#This Row],[NodoOrigen \ NodoDestino]],tblNodos[],2,FALSE)</f>
        <v>Actividad comercial</v>
      </c>
      <c r="C7" s="5" t="s">
        <v>39</v>
      </c>
      <c r="D7" s="43">
        <f>_xlfn.LET(_xlpm.n,tblGradoPonderado[[#This Row],[Nodo]],_xlpm.col,_xlfn.XLOOKUP(_xlpm.n,tblMatrizTradeOff[#Headers],tblMatrizTradeOff[#Data]),SUM(_xlpm.col))</f>
        <v>0</v>
      </c>
      <c r="E7" s="43">
        <f>_xlfn.LET(_xlpm.n,tblGradoPonderado[[#This Row],[Nodo]],_xlpm.row,_xlfn.XLOOKUP(_xlpm.n,tblMatrizTradeOff[NodoOrigen \ NodoDestino],tblMatrizTradeOff[[O1]:[D]]),SUM(_xlpm.row))</f>
        <v>2.6</v>
      </c>
      <c r="F7" s="43">
        <f>tblGradoPonderado[[#This Row],[Grado Ponderado de Entrada]]+tblGradoPonderado[[#This Row],[Grado Ponderado de Salida]]</f>
        <v>2.6</v>
      </c>
      <c r="G7" s="43">
        <f>tblGradoPonderado[[#This Row],[Grado Ponderado de Salida]]-tblGradoPonderado[[#This Row],[Grado Ponderado de Entrada]]</f>
        <v>2.6</v>
      </c>
      <c r="H7" s="43">
        <f>tblGradoPonderado[[#This Row],[Grado Ponderado Total]]/tblGradoPonderado[[#Totals],[Grado Ponderado Total]]</f>
        <v>0.1326530612244898</v>
      </c>
      <c r="I7" s="47"/>
      <c r="J7" s="4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</row>
    <row r="8" spans="2:42" ht="15" x14ac:dyDescent="0.25">
      <c r="B8" s="13" t="str">
        <f>VLOOKUP(tblMatrizDeAdyacencia[[#This Row],[NodoOrigen \ NodoDestino]],tblNodos[],2,FALSE)</f>
        <v>Criminalidad menor</v>
      </c>
      <c r="C8" s="5" t="s">
        <v>43</v>
      </c>
      <c r="D8" s="43">
        <f>_xlfn.LET(_xlpm.n,tblGradoPonderado[[#This Row],[Nodo]],_xlpm.col,_xlfn.XLOOKUP(_xlpm.n,tblMatrizTradeOff[#Headers],tblMatrizTradeOff[#Data]),SUM(_xlpm.col))</f>
        <v>0</v>
      </c>
      <c r="E8" s="43">
        <f>_xlfn.LET(_xlpm.n,tblGradoPonderado[[#This Row],[Nodo]],_xlpm.row,_xlfn.XLOOKUP(_xlpm.n,tblMatrizTradeOff[NodoOrigen \ NodoDestino],tblMatrizTradeOff[[O1]:[D]]),SUM(_xlpm.row))</f>
        <v>3.2</v>
      </c>
      <c r="F8" s="43">
        <f>tblGradoPonderado[[#This Row],[Grado Ponderado de Entrada]]+tblGradoPonderado[[#This Row],[Grado Ponderado de Salida]]</f>
        <v>3.2</v>
      </c>
      <c r="G8" s="43">
        <f>tblGradoPonderado[[#This Row],[Grado Ponderado de Salida]]-tblGradoPonderado[[#This Row],[Grado Ponderado de Entrada]]</f>
        <v>3.2</v>
      </c>
      <c r="H8" s="43">
        <f>tblGradoPonderado[[#This Row],[Grado Ponderado Total]]/tblGradoPonderado[[#Totals],[Grado Ponderado Total]]</f>
        <v>0.16326530612244897</v>
      </c>
      <c r="I8" s="47"/>
      <c r="J8" s="47"/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</row>
    <row r="9" spans="2:42" ht="15" x14ac:dyDescent="0.25">
      <c r="B9" s="13" t="str">
        <f>VLOOKUP(tblMatrizDeAdyacencia[[#This Row],[NodoOrigen \ NodoDestino]],tblNodos[],2,FALSE)</f>
        <v>Aportaciones individuales</v>
      </c>
      <c r="C9" s="5" t="s">
        <v>46</v>
      </c>
      <c r="D9" s="43">
        <f>_xlfn.LET(_xlpm.n,tblGradoPonderado[[#This Row],[Nodo]],_xlpm.col,_xlfn.XLOOKUP(_xlpm.n,tblMatrizTradeOff[#Headers],tblMatrizTradeOff[#Data]),SUM(_xlpm.col))</f>
        <v>0</v>
      </c>
      <c r="E9" s="43">
        <f>_xlfn.LET(_xlpm.n,tblGradoPonderado[[#This Row],[Nodo]],_xlpm.row,_xlfn.XLOOKUP(_xlpm.n,tblMatrizTradeOff[NodoOrigen \ NodoDestino],tblMatrizTradeOff[[O1]:[D]]),SUM(_xlpm.row))</f>
        <v>2.8</v>
      </c>
      <c r="F9" s="43">
        <f>tblGradoPonderado[[#This Row],[Grado Ponderado de Entrada]]+tblGradoPonderado[[#This Row],[Grado Ponderado de Salida]]</f>
        <v>2.8</v>
      </c>
      <c r="G9" s="43">
        <f>tblGradoPonderado[[#This Row],[Grado Ponderado de Salida]]-tblGradoPonderado[[#This Row],[Grado Ponderado de Entrada]]</f>
        <v>2.8</v>
      </c>
      <c r="H9" s="43">
        <f>tblGradoPonderado[[#This Row],[Grado Ponderado Total]]/tblGradoPonderado[[#Totals],[Grado Ponderado Total]]</f>
        <v>0.14285714285714285</v>
      </c>
      <c r="I9" s="47"/>
      <c r="J9" s="47"/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</row>
    <row r="10" spans="2:42" ht="15" x14ac:dyDescent="0.25">
      <c r="B10" s="13" t="str">
        <f>VLOOKUP(tblMatrizDeAdyacencia[[#This Row],[NodoOrigen \ NodoDestino]],tblNodos[],2,FALSE)</f>
        <v>Colector local principal</v>
      </c>
      <c r="C10" s="5" t="s">
        <v>24</v>
      </c>
      <c r="D10" s="43">
        <f>_xlfn.LET(_xlpm.n,tblGradoPonderado[[#This Row],[Nodo]],_xlpm.col,_xlfn.XLOOKUP(_xlpm.n,tblMatrizTradeOff[#Headers],tblMatrizTradeOff[#Data]),SUM(_xlpm.col))</f>
        <v>6.4</v>
      </c>
      <c r="E10" s="43">
        <f>_xlfn.LET(_xlpm.n,tblGradoPonderado[[#This Row],[Nodo]],_xlpm.row,_xlfn.XLOOKUP(_xlpm.n,tblMatrizTradeOff[NodoOrigen \ NodoDestino],tblMatrizTradeOff[[O1]:[D]]),SUM(_xlpm.row))</f>
        <v>7.2666666666666666</v>
      </c>
      <c r="F10" s="43">
        <f>tblGradoPonderado[[#This Row],[Grado Ponderado de Entrada]]+tblGradoPonderado[[#This Row],[Grado Ponderado de Salida]]</f>
        <v>13.666666666666668</v>
      </c>
      <c r="G10" s="43">
        <f>tblGradoPonderado[[#This Row],[Grado Ponderado de Salida]]-tblGradoPonderado[[#This Row],[Grado Ponderado de Entrada]]</f>
        <v>0.86666666666666625</v>
      </c>
      <c r="H10" s="43">
        <f>tblGradoPonderado[[#This Row],[Grado Ponderado Total]]/tblGradoPonderado[[#Totals],[Grado Ponderado Total]]</f>
        <v>0.69727891156462585</v>
      </c>
      <c r="I10" s="47"/>
      <c r="J10" s="47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</row>
    <row r="11" spans="2:42" ht="15" x14ac:dyDescent="0.25">
      <c r="B11" s="13" t="str">
        <f>VLOOKUP(tblMatrizDeAdyacencia[[#This Row],[NodoOrigen \ NodoDestino]],tblNodos[],2,FALSE)</f>
        <v>Colector local secundario</v>
      </c>
      <c r="C11" s="5" t="s">
        <v>32</v>
      </c>
      <c r="D11" s="43">
        <f>_xlfn.LET(_xlpm.n,tblGradoPonderado[[#This Row],[Nodo]],_xlpm.col,_xlfn.XLOOKUP(_xlpm.n,tblMatrizTradeOff[#Headers],tblMatrizTradeOff[#Data]),SUM(_xlpm.col))</f>
        <v>7.2666666666666675</v>
      </c>
      <c r="E11" s="43">
        <f>_xlfn.LET(_xlpm.n,tblGradoPonderado[[#This Row],[Nodo]],_xlpm.row,_xlfn.XLOOKUP(_xlpm.n,tblMatrizTradeOff[NodoOrigen \ NodoDestino],tblMatrizTradeOff[[O1]:[D]]),SUM(_xlpm.row))</f>
        <v>10.333333333333334</v>
      </c>
      <c r="F11" s="43">
        <f>tblGradoPonderado[[#This Row],[Grado Ponderado de Entrada]]+tblGradoPonderado[[#This Row],[Grado Ponderado de Salida]]</f>
        <v>17.600000000000001</v>
      </c>
      <c r="G11" s="43">
        <f>tblGradoPonderado[[#This Row],[Grado Ponderado de Salida]]-tblGradoPonderado[[#This Row],[Grado Ponderado de Entrada]]</f>
        <v>3.0666666666666664</v>
      </c>
      <c r="H11" s="43">
        <f>tblGradoPonderado[[#This Row],[Grado Ponderado Total]]/tblGradoPonderado[[#Totals],[Grado Ponderado Total]]</f>
        <v>0.89795918367346939</v>
      </c>
      <c r="I11" s="47"/>
      <c r="J11" s="47"/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</row>
    <row r="12" spans="2:42" ht="15" x14ac:dyDescent="0.25">
      <c r="B12" s="13" t="str">
        <f>VLOOKUP(tblMatrizDeAdyacencia[[#This Row],[NodoOrigen \ NodoDestino]],tblNodos[],2,FALSE)</f>
        <v>Colector regional</v>
      </c>
      <c r="C12" s="5" t="s">
        <v>36</v>
      </c>
      <c r="D12" s="43">
        <f>_xlfn.LET(_xlpm.n,tblGradoPonderado[[#This Row],[Nodo]],_xlpm.col,_xlfn.XLOOKUP(_xlpm.n,tblMatrizTradeOff[#Headers],tblMatrizTradeOff[#Data]),SUM(_xlpm.col))</f>
        <v>6</v>
      </c>
      <c r="E12" s="43">
        <f>_xlfn.LET(_xlpm.n,tblGradoPonderado[[#This Row],[Nodo]],_xlpm.row,_xlfn.XLOOKUP(_xlpm.n,tblMatrizTradeOff[NodoOrigen \ NodoDestino],tblMatrizTradeOff[[O1]:[D]]),SUM(_xlpm.row))</f>
        <v>6.4</v>
      </c>
      <c r="F12" s="43">
        <f>tblGradoPonderado[[#This Row],[Grado Ponderado de Entrada]]+tblGradoPonderado[[#This Row],[Grado Ponderado de Salida]]</f>
        <v>12.4</v>
      </c>
      <c r="G12" s="43">
        <f>tblGradoPonderado[[#This Row],[Grado Ponderado de Salida]]-tblGradoPonderado[[#This Row],[Grado Ponderado de Entrada]]</f>
        <v>0.40000000000000036</v>
      </c>
      <c r="H12" s="43">
        <f>tblGradoPonderado[[#This Row],[Grado Ponderado Total]]/tblGradoPonderado[[#Totals],[Grado Ponderado Total]]</f>
        <v>0.63265306122448972</v>
      </c>
      <c r="I12" s="47"/>
      <c r="J12" s="47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</row>
    <row r="13" spans="2:42" ht="15" x14ac:dyDescent="0.25">
      <c r="B13" s="13" t="str">
        <f>VLOOKUP(tblMatrizDeAdyacencia[[#This Row],[NodoOrigen \ NodoDestino]],tblNodos[],2,FALSE)</f>
        <v>Redistribuidor zona tránsito 1</v>
      </c>
      <c r="C13" s="5" t="s">
        <v>41</v>
      </c>
      <c r="D13" s="43">
        <f>_xlfn.LET(_xlpm.n,tblGradoPonderado[[#This Row],[Nodo]],_xlpm.col,_xlfn.XLOOKUP(_xlpm.n,tblMatrizTradeOff[#Headers],tblMatrizTradeOff[#Data]),SUM(_xlpm.col))</f>
        <v>9.2666666666666675</v>
      </c>
      <c r="E13" s="43">
        <f>_xlfn.LET(_xlpm.n,tblGradoPonderado[[#This Row],[Nodo]],_xlpm.row,_xlfn.XLOOKUP(_xlpm.n,tblMatrizTradeOff[NodoOrigen \ NodoDestino],tblMatrizTradeOff[[O1]:[D]]),SUM(_xlpm.row))</f>
        <v>5.4</v>
      </c>
      <c r="F13" s="43">
        <f>tblGradoPonderado[[#This Row],[Grado Ponderado de Entrada]]+tblGradoPonderado[[#This Row],[Grado Ponderado de Salida]]</f>
        <v>14.666666666666668</v>
      </c>
      <c r="G13" s="43">
        <f>tblGradoPonderado[[#This Row],[Grado Ponderado de Salida]]-tblGradoPonderado[[#This Row],[Grado Ponderado de Entrada]]</f>
        <v>-3.8666666666666671</v>
      </c>
      <c r="H13" s="43">
        <f>tblGradoPonderado[[#This Row],[Grado Ponderado Total]]/tblGradoPonderado[[#Totals],[Grado Ponderado Total]]</f>
        <v>0.74829931972789121</v>
      </c>
      <c r="I13" s="47"/>
      <c r="J13" s="47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</row>
    <row r="14" spans="2:42" ht="15" x14ac:dyDescent="0.25">
      <c r="B14" s="13" t="str">
        <f>VLOOKUP(tblMatrizDeAdyacencia[[#This Row],[NodoOrigen \ NodoDestino]],tblNodos[],2,FALSE)</f>
        <v>Redistribuidor zona tránsito 2</v>
      </c>
      <c r="C14" s="5" t="s">
        <v>55</v>
      </c>
      <c r="D14" s="43">
        <f>_xlfn.LET(_xlpm.n,tblGradoPonderado[[#This Row],[Nodo]],_xlpm.col,_xlfn.XLOOKUP(_xlpm.n,tblMatrizTradeOff[#Headers],tblMatrizTradeOff[#Data]),SUM(_xlpm.col))</f>
        <v>7.2666666666666666</v>
      </c>
      <c r="E14" s="43">
        <f>_xlfn.LET(_xlpm.n,tblGradoPonderado[[#This Row],[Nodo]],_xlpm.row,_xlfn.XLOOKUP(_xlpm.n,tblMatrizTradeOff[NodoOrigen \ NodoDestino],tblMatrizTradeOff[[O1]:[D]]),SUM(_xlpm.row))</f>
        <v>9.3333333333333339</v>
      </c>
      <c r="F14" s="43">
        <f>tblGradoPonderado[[#This Row],[Grado Ponderado de Entrada]]+tblGradoPonderado[[#This Row],[Grado Ponderado de Salida]]</f>
        <v>16.600000000000001</v>
      </c>
      <c r="G14" s="43">
        <f>tblGradoPonderado[[#This Row],[Grado Ponderado de Salida]]-tblGradoPonderado[[#This Row],[Grado Ponderado de Entrada]]</f>
        <v>2.0666666666666673</v>
      </c>
      <c r="H14" s="43">
        <f>tblGradoPonderado[[#This Row],[Grado Ponderado Total]]/tblGradoPonderado[[#Totals],[Grado Ponderado Total]]</f>
        <v>0.84693877551020413</v>
      </c>
      <c r="I14" s="47"/>
      <c r="J14" s="47"/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</row>
    <row r="15" spans="2:42" ht="15" x14ac:dyDescent="0.25">
      <c r="B15" s="13" t="str">
        <f>VLOOKUP(tblMatrizDeAdyacencia[[#This Row],[NodoOrigen \ NodoDestino]],tblNodos[],2,FALSE)</f>
        <v>Redistribuidor principal</v>
      </c>
      <c r="C15" s="5" t="s">
        <v>57</v>
      </c>
      <c r="D15" s="43">
        <f>_xlfn.LET(_xlpm.n,tblGradoPonderado[[#This Row],[Nodo]],_xlpm.col,_xlfn.XLOOKUP(_xlpm.n,tblMatrizTradeOff[#Headers],tblMatrizTradeOff[#Data]),SUM(_xlpm.col))</f>
        <v>13.133333333333333</v>
      </c>
      <c r="E15" s="43">
        <f>_xlfn.LET(_xlpm.n,tblGradoPonderado[[#This Row],[Nodo]],_xlpm.row,_xlfn.XLOOKUP(_xlpm.n,tblMatrizTradeOff[NodoOrigen \ NodoDestino],tblMatrizTradeOff[[O1]:[D]]),SUM(_xlpm.row))</f>
        <v>3.6</v>
      </c>
      <c r="F15" s="43">
        <f>tblGradoPonderado[[#This Row],[Grado Ponderado de Entrada]]+tblGradoPonderado[[#This Row],[Grado Ponderado de Salida]]</f>
        <v>16.733333333333334</v>
      </c>
      <c r="G15" s="43">
        <f>tblGradoPonderado[[#This Row],[Grado Ponderado de Salida]]-tblGradoPonderado[[#This Row],[Grado Ponderado de Entrada]]</f>
        <v>-9.5333333333333332</v>
      </c>
      <c r="H15" s="43">
        <f>tblGradoPonderado[[#This Row],[Grado Ponderado Total]]/tblGradoPonderado[[#Totals],[Grado Ponderado Total]]</f>
        <v>0.8537414965986394</v>
      </c>
      <c r="I15" s="47"/>
      <c r="J15" s="47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</row>
    <row r="16" spans="2:42" ht="15" x14ac:dyDescent="0.25">
      <c r="B16" s="13" t="str">
        <f>VLOOKUP(tblMatrizDeAdyacencia[[#This Row],[NodoOrigen \ NodoDestino]],tblNodos[],2,FALSE)</f>
        <v>Redistribuidor secundario 1</v>
      </c>
      <c r="C16" s="5" t="s">
        <v>59</v>
      </c>
      <c r="D16" s="43">
        <f>_xlfn.LET(_xlpm.n,tblGradoPonderado[[#This Row],[Nodo]],_xlpm.col,_xlfn.XLOOKUP(_xlpm.n,tblMatrizTradeOff[#Headers],tblMatrizTradeOff[#Data]),SUM(_xlpm.col))</f>
        <v>5.4</v>
      </c>
      <c r="E16" s="43">
        <f>_xlfn.LET(_xlpm.n,tblGradoPonderado[[#This Row],[Nodo]],_xlpm.row,_xlfn.XLOOKUP(_xlpm.n,tblMatrizTradeOff[NodoOrigen \ NodoDestino],tblMatrizTradeOff[[O1]:[D]]),SUM(_xlpm.row))</f>
        <v>2.8</v>
      </c>
      <c r="F16" s="43">
        <f>tblGradoPonderado[[#This Row],[Grado Ponderado de Entrada]]+tblGradoPonderado[[#This Row],[Grado Ponderado de Salida]]</f>
        <v>8.1999999999999993</v>
      </c>
      <c r="G16" s="43">
        <f>tblGradoPonderado[[#This Row],[Grado Ponderado de Salida]]-tblGradoPonderado[[#This Row],[Grado Ponderado de Entrada]]</f>
        <v>-2.6000000000000005</v>
      </c>
      <c r="H16" s="43">
        <f>tblGradoPonderado[[#This Row],[Grado Ponderado Total]]/tblGradoPonderado[[#Totals],[Grado Ponderado Total]]</f>
        <v>0.41836734693877542</v>
      </c>
      <c r="I16" s="47"/>
      <c r="J16" s="47"/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</row>
    <row r="17" spans="2:42" ht="15" x14ac:dyDescent="0.25">
      <c r="B17" s="13" t="str">
        <f>VLOOKUP(tblMatrizDeAdyacencia[[#This Row],[NodoOrigen \ NodoDestino]],tblNodos[],2,FALSE)</f>
        <v>Redistribuidor secundario 2</v>
      </c>
      <c r="C17" s="5" t="s">
        <v>61</v>
      </c>
      <c r="D17" s="43">
        <f>_xlfn.LET(_xlpm.n,tblGradoPonderado[[#This Row],[Nodo]],_xlpm.col,_xlfn.XLOOKUP(_xlpm.n,tblMatrizTradeOff[#Headers],tblMatrizTradeOff[#Data]),SUM(_xlpm.col))</f>
        <v>3.6666666666666665</v>
      </c>
      <c r="E17" s="43">
        <f>_xlfn.LET(_xlpm.n,tblGradoPonderado[[#This Row],[Nodo]],_xlpm.row,_xlfn.XLOOKUP(_xlpm.n,tblMatrizTradeOff[NodoOrigen \ NodoDestino],tblMatrizTradeOff[[O1]:[D]]),SUM(_xlpm.row))</f>
        <v>2.6</v>
      </c>
      <c r="F17" s="43">
        <f>tblGradoPonderado[[#This Row],[Grado Ponderado de Entrada]]+tblGradoPonderado[[#This Row],[Grado Ponderado de Salida]]</f>
        <v>6.2666666666666666</v>
      </c>
      <c r="G17" s="43">
        <f>tblGradoPonderado[[#This Row],[Grado Ponderado de Salida]]-tblGradoPonderado[[#This Row],[Grado Ponderado de Entrada]]</f>
        <v>-1.0666666666666664</v>
      </c>
      <c r="H17" s="43">
        <f>tblGradoPonderado[[#This Row],[Grado Ponderado Total]]/tblGradoPonderado[[#Totals],[Grado Ponderado Total]]</f>
        <v>0.31972789115646255</v>
      </c>
      <c r="I17" s="47"/>
      <c r="J17" s="47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</row>
    <row r="18" spans="2:42" ht="15" x14ac:dyDescent="0.25">
      <c r="B18" s="13" t="str">
        <f>VLOOKUP(tblMatrizDeAdyacencia[[#This Row],[NodoOrigen \ NodoDestino]],tblNodos[],2,FALSE)</f>
        <v>Redistribuidor intermedio</v>
      </c>
      <c r="C18" s="5" t="s">
        <v>45</v>
      </c>
      <c r="D18" s="43">
        <f>_xlfn.LET(_xlpm.n,tblGradoPonderado[[#This Row],[Nodo]],_xlpm.col,_xlfn.XLOOKUP(_xlpm.n,tblMatrizTradeOff[#Headers],tblMatrizTradeOff[#Data]),SUM(_xlpm.col))</f>
        <v>6.4</v>
      </c>
      <c r="E18" s="43">
        <f>_xlfn.LET(_xlpm.n,tblGradoPonderado[[#This Row],[Nodo]],_xlpm.row,_xlfn.XLOOKUP(_xlpm.n,tblMatrizTradeOff[NodoOrigen \ NodoDestino],tblMatrizTradeOff[[O1]:[D]]),SUM(_xlpm.row))</f>
        <v>9.2666666666666675</v>
      </c>
      <c r="F18" s="43">
        <f>tblGradoPonderado[[#This Row],[Grado Ponderado de Entrada]]+tblGradoPonderado[[#This Row],[Grado Ponderado de Salida]]</f>
        <v>15.666666666666668</v>
      </c>
      <c r="G18" s="43">
        <f>tblGradoPonderado[[#This Row],[Grado Ponderado de Salida]]-tblGradoPonderado[[#This Row],[Grado Ponderado de Entrada]]</f>
        <v>2.8666666666666671</v>
      </c>
      <c r="H18" s="43">
        <f>tblGradoPonderado[[#This Row],[Grado Ponderado Total]]/tblGradoPonderado[[#Totals],[Grado Ponderado Total]]</f>
        <v>0.79931972789115646</v>
      </c>
      <c r="I18" s="47"/>
      <c r="J18" s="47"/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</row>
    <row r="19" spans="2:42" ht="15" x14ac:dyDescent="0.25">
      <c r="B19" s="13" t="str">
        <f>VLOOKUP(tblMatrizDeAdyacencia[[#This Row],[NodoOrigen \ NodoDestino]],tblNodos[],2,FALSE)</f>
        <v>Redistribuidor logístico</v>
      </c>
      <c r="C19" s="5" t="s">
        <v>65</v>
      </c>
      <c r="D19" s="43">
        <f>_xlfn.LET(_xlpm.n,tblGradoPonderado[[#This Row],[Nodo]],_xlpm.col,_xlfn.XLOOKUP(_xlpm.n,tblMatrizTradeOff[#Headers],tblMatrizTradeOff[#Data]),SUM(_xlpm.col))</f>
        <v>2.6</v>
      </c>
      <c r="E19" s="43">
        <f>_xlfn.LET(_xlpm.n,tblGradoPonderado[[#This Row],[Nodo]],_xlpm.row,_xlfn.XLOOKUP(_xlpm.n,tblMatrizTradeOff[NodoOrigen \ NodoDestino],tblMatrizTradeOff[[O1]:[D]]),SUM(_xlpm.row))</f>
        <v>7.4666666666666668</v>
      </c>
      <c r="F19" s="43">
        <f>tblGradoPonderado[[#This Row],[Grado Ponderado de Entrada]]+tblGradoPonderado[[#This Row],[Grado Ponderado de Salida]]</f>
        <v>10.066666666666666</v>
      </c>
      <c r="G19" s="43">
        <f>tblGradoPonderado[[#This Row],[Grado Ponderado de Salida]]-tblGradoPonderado[[#This Row],[Grado Ponderado de Entrada]]</f>
        <v>4.8666666666666671</v>
      </c>
      <c r="H19" s="43">
        <f>tblGradoPonderado[[#This Row],[Grado Ponderado Total]]/tblGradoPonderado[[#Totals],[Grado Ponderado Total]]</f>
        <v>0.51360544217687065</v>
      </c>
      <c r="I19" s="47"/>
      <c r="J19" s="47"/>
      <c r="K1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</row>
    <row r="20" spans="2:42" ht="15" x14ac:dyDescent="0.25">
      <c r="B20" s="13" t="str">
        <f>VLOOKUP(tblMatrizDeAdyacencia[[#This Row],[NodoOrigen \ NodoDestino]],tblNodos[],2,FALSE)</f>
        <v>Redistribuidor financiero</v>
      </c>
      <c r="C20" s="5" t="s">
        <v>67</v>
      </c>
      <c r="D20" s="43">
        <f>_xlfn.LET(_xlpm.n,tblGradoPonderado[[#This Row],[Nodo]],_xlpm.col,_xlfn.XLOOKUP(_xlpm.n,tblMatrizTradeOff[#Headers],tblMatrizTradeOff[#Data]),SUM(_xlpm.col))</f>
        <v>10.333333333333334</v>
      </c>
      <c r="E20" s="43">
        <f>_xlfn.LET(_xlpm.n,tblGradoPonderado[[#This Row],[Nodo]],_xlpm.row,_xlfn.XLOOKUP(_xlpm.n,tblMatrizTradeOff[NodoOrigen \ NodoDestino],tblMatrizTradeOff[[O1]:[D]]),SUM(_xlpm.row))</f>
        <v>9.2666666666666675</v>
      </c>
      <c r="F20" s="43">
        <f>tblGradoPonderado[[#This Row],[Grado Ponderado de Entrada]]+tblGradoPonderado[[#This Row],[Grado Ponderado de Salida]]</f>
        <v>19.600000000000001</v>
      </c>
      <c r="G20" s="43">
        <f>tblGradoPonderado[[#This Row],[Grado Ponderado de Salida]]-tblGradoPonderado[[#This Row],[Grado Ponderado de Entrada]]</f>
        <v>-1.0666666666666664</v>
      </c>
      <c r="H20" s="43">
        <f>tblGradoPonderado[[#This Row],[Grado Ponderado Total]]/tblGradoPonderado[[#Totals],[Grado Ponderado Total]]</f>
        <v>1</v>
      </c>
      <c r="I20" s="47"/>
      <c r="J20" s="47"/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</row>
    <row r="21" spans="2:42" ht="15" x14ac:dyDescent="0.25">
      <c r="B21" s="13" t="str">
        <f>VLOOKUP(tblMatrizDeAdyacencia[[#This Row],[NodoOrigen \ NodoDestino]],tblNodos[],2,FALSE)</f>
        <v>Redistribuidor final</v>
      </c>
      <c r="C21" s="5" t="s">
        <v>69</v>
      </c>
      <c r="D21" s="43">
        <f>_xlfn.LET(_xlpm.n,tblGradoPonderado[[#This Row],[Nodo]],_xlpm.col,_xlfn.XLOOKUP(_xlpm.n,tblMatrizTradeOff[#Headers],tblMatrizTradeOff[#Data]),SUM(_xlpm.col))</f>
        <v>3.6</v>
      </c>
      <c r="E21" s="43">
        <f>_xlfn.LET(_xlpm.n,tblGradoPonderado[[#This Row],[Nodo]],_xlpm.row,_xlfn.XLOOKUP(_xlpm.n,tblMatrizTradeOff[NodoOrigen \ NodoDestino],tblMatrizTradeOff[[O1]:[D]]),SUM(_xlpm.row))</f>
        <v>3.2</v>
      </c>
      <c r="F21" s="43">
        <f>tblGradoPonderado[[#This Row],[Grado Ponderado de Entrada]]+tblGradoPonderado[[#This Row],[Grado Ponderado de Salida]]</f>
        <v>6.8000000000000007</v>
      </c>
      <c r="G21" s="43">
        <f>tblGradoPonderado[[#This Row],[Grado Ponderado de Salida]]-tblGradoPonderado[[#This Row],[Grado Ponderado de Entrada]]</f>
        <v>-0.39999999999999991</v>
      </c>
      <c r="H21" s="43">
        <f>tblGradoPonderado[[#This Row],[Grado Ponderado Total]]/tblGradoPonderado[[#Totals],[Grado Ponderado Total]]</f>
        <v>0.34693877551020408</v>
      </c>
      <c r="I21" s="47"/>
      <c r="J21" s="47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</row>
    <row r="22" spans="2:42" ht="15" x14ac:dyDescent="0.25">
      <c r="B22" s="13" t="str">
        <f>VLOOKUP(tblMatrizDeAdyacencia[[#This Row],[NodoOrigen \ NodoDestino]],tblNodos[],2,FALSE)</f>
        <v>Destino operativo final</v>
      </c>
      <c r="C22" s="10" t="s">
        <v>37</v>
      </c>
      <c r="D22" s="45">
        <f>_xlfn.LET(_xlpm.n,tblGradoPonderado[[#This Row],[Nodo]],_xlpm.col,_xlfn.XLOOKUP(_xlpm.n,tblMatrizTradeOff[#Headers],tblMatrizTradeOff[#Data]),SUM(_xlpm.col))</f>
        <v>15.266666666666666</v>
      </c>
      <c r="E22" s="45">
        <f>_xlfn.LET(_xlpm.n,tblGradoPonderado[[#This Row],[Nodo]],_xlpm.row,_xlfn.XLOOKUP(_xlpm.n,tblMatrizTradeOff[NodoOrigen \ NodoDestino],tblMatrizTradeOff[[O1]:[D]]),SUM(_xlpm.row))</f>
        <v>0</v>
      </c>
      <c r="F22" s="45">
        <f>tblGradoPonderado[[#This Row],[Grado Ponderado de Entrada]]+tblGradoPonderado[[#This Row],[Grado Ponderado de Salida]]</f>
        <v>15.266666666666666</v>
      </c>
      <c r="G22" s="45">
        <f>tblGradoPonderado[[#This Row],[Grado Ponderado de Salida]]-tblGradoPonderado[[#This Row],[Grado Ponderado de Entrada]]</f>
        <v>-15.266666666666666</v>
      </c>
      <c r="H22" s="45">
        <f>tblGradoPonderado[[#This Row],[Grado Ponderado Total]]/tblGradoPonderado[[#Totals],[Grado Ponderado Total]]</f>
        <v>0.77891156462585021</v>
      </c>
      <c r="I22" s="47"/>
      <c r="J22" s="47"/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</row>
    <row r="23" spans="2:42" ht="17.25" customHeight="1" x14ac:dyDescent="0.25">
      <c r="B23" s="72" t="s">
        <v>108</v>
      </c>
      <c r="C23" s="50"/>
      <c r="D23" s="51"/>
      <c r="E23" s="51"/>
      <c r="F23" s="52">
        <f>SUBTOTAL(104,tblGradoPonderado[Grado Ponderado Total])</f>
        <v>19.600000000000001</v>
      </c>
      <c r="G23" s="51"/>
      <c r="H23" s="51"/>
      <c r="I23" s="47"/>
      <c r="J23" s="47"/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</row>
    <row r="24" spans="2:42" ht="124.5" customHeight="1" x14ac:dyDescent="0.25">
      <c r="B24"/>
      <c r="C24"/>
      <c r="D24" s="53" t="s">
        <v>110</v>
      </c>
      <c r="E24" s="53" t="s">
        <v>111</v>
      </c>
      <c r="F24" s="53" t="s">
        <v>114</v>
      </c>
      <c r="G24" s="53" t="s">
        <v>113</v>
      </c>
      <c r="H24" s="53" t="s">
        <v>112</v>
      </c>
      <c r="I24" s="47"/>
      <c r="J24" s="47"/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</row>
    <row r="25" spans="2:42" ht="17.25" customHeight="1" x14ac:dyDescent="0.25">
      <c r="B25"/>
      <c r="C25"/>
      <c r="D25" s="47"/>
      <c r="E25" s="47"/>
      <c r="F25" s="47"/>
      <c r="G25" s="47"/>
      <c r="H25" s="47"/>
      <c r="I25" s="47"/>
      <c r="J25" s="47"/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</row>
    <row r="26" spans="2:42" ht="17.25" customHeight="1" x14ac:dyDescent="0.25">
      <c r="B26"/>
      <c r="C26"/>
      <c r="D26" s="47"/>
      <c r="E26" s="47"/>
      <c r="F26" s="47"/>
      <c r="G26" s="47"/>
      <c r="H26" s="47"/>
      <c r="I26" s="47"/>
      <c r="J26" s="47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</row>
    <row r="27" spans="2:42" ht="17.25" customHeight="1" x14ac:dyDescent="0.25">
      <c r="B27"/>
      <c r="C27"/>
      <c r="D27" s="47"/>
      <c r="E27" s="47"/>
      <c r="F27" s="47"/>
      <c r="G27" s="47"/>
      <c r="H27" s="47"/>
      <c r="I27" s="47"/>
      <c r="J27" s="4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</row>
    <row r="28" spans="2:42" ht="17.25" customHeight="1" x14ac:dyDescent="0.25">
      <c r="B28"/>
      <c r="C28"/>
      <c r="D28" s="47"/>
      <c r="E28" s="47"/>
      <c r="F28" s="47"/>
      <c r="G28" s="47"/>
      <c r="H28" s="47"/>
      <c r="I28" s="47"/>
      <c r="J28" s="47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</row>
    <row r="29" spans="2:42" ht="17.25" customHeight="1" x14ac:dyDescent="0.25">
      <c r="B29"/>
      <c r="C29"/>
      <c r="D29" s="47"/>
      <c r="E29" s="47"/>
      <c r="F29" s="47"/>
      <c r="G29" s="47"/>
      <c r="H29" s="47"/>
      <c r="I29" s="47"/>
      <c r="J29" s="47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</row>
    <row r="30" spans="2:42" ht="17.25" customHeight="1" x14ac:dyDescent="0.25">
      <c r="B30"/>
      <c r="C30"/>
      <c r="D30" s="47"/>
      <c r="E30" s="47"/>
      <c r="F30" s="47"/>
      <c r="G30" s="47"/>
      <c r="H30" s="47"/>
      <c r="I30" s="47"/>
      <c r="J30" s="47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</row>
    <row r="31" spans="2:42" ht="17.25" customHeight="1" x14ac:dyDescent="0.25">
      <c r="B31"/>
      <c r="C31"/>
      <c r="D31" s="47"/>
      <c r="E31" s="47"/>
      <c r="F31" s="47"/>
      <c r="G31" s="47"/>
      <c r="H31" s="47"/>
      <c r="I31" s="47"/>
      <c r="J31" s="47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</row>
    <row r="32" spans="2:42" ht="17.25" customHeight="1" x14ac:dyDescent="0.25">
      <c r="B32"/>
      <c r="C32"/>
      <c r="D32" s="47"/>
      <c r="E32" s="47"/>
      <c r="F32" s="47"/>
      <c r="G32" s="47"/>
      <c r="H32" s="47"/>
      <c r="I32" s="47"/>
      <c r="J32" s="47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</row>
    <row r="33" spans="2:42" ht="17.25" customHeight="1" x14ac:dyDescent="0.25">
      <c r="B33"/>
      <c r="C33"/>
      <c r="D33" s="47"/>
      <c r="E33" s="47"/>
      <c r="F33" s="47"/>
      <c r="G33" s="47"/>
      <c r="H33" s="47"/>
      <c r="I33" s="47"/>
      <c r="J33" s="47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</row>
    <row r="34" spans="2:42" ht="17.25" customHeight="1" x14ac:dyDescent="0.25">
      <c r="B34"/>
      <c r="C34"/>
      <c r="D34" s="47"/>
      <c r="E34" s="47"/>
      <c r="F34" s="47"/>
      <c r="G34" s="47"/>
      <c r="H34" s="47"/>
      <c r="I34" s="47"/>
      <c r="J34" s="47"/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</row>
    <row r="35" spans="2:42" ht="17.25" customHeight="1" x14ac:dyDescent="0.25">
      <c r="B35"/>
      <c r="C35"/>
      <c r="D35" s="47"/>
      <c r="E35" s="47"/>
      <c r="F35" s="47"/>
      <c r="G35" s="47"/>
      <c r="H35" s="47"/>
      <c r="I35" s="47"/>
      <c r="J35" s="47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</row>
    <row r="36" spans="2:42" ht="17.25" customHeight="1" x14ac:dyDescent="0.25">
      <c r="B36"/>
      <c r="C36"/>
      <c r="D36" s="47"/>
      <c r="E36" s="47"/>
      <c r="F36" s="47"/>
      <c r="G36" s="47"/>
      <c r="H36" s="47"/>
      <c r="I36" s="47"/>
      <c r="J36" s="47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</row>
    <row r="37" spans="2:42" ht="17.25" customHeight="1" x14ac:dyDescent="0.25">
      <c r="B37"/>
      <c r="C37"/>
      <c r="D37" s="47"/>
      <c r="E37" s="47"/>
      <c r="F37" s="47"/>
      <c r="G37" s="47"/>
      <c r="H37" s="47"/>
      <c r="I37" s="47"/>
      <c r="J37" s="4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</row>
    <row r="38" spans="2:42" ht="17.25" customHeight="1" x14ac:dyDescent="0.25">
      <c r="B38"/>
      <c r="C38"/>
      <c r="D38" s="47"/>
      <c r="E38" s="47"/>
      <c r="F38" s="47"/>
      <c r="G38" s="47"/>
      <c r="H38" s="47"/>
      <c r="I38" s="47"/>
      <c r="J38" s="47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</row>
    <row r="39" spans="2:42" ht="17.25" customHeight="1" x14ac:dyDescent="0.25">
      <c r="B39"/>
      <c r="C39"/>
      <c r="D39" s="47"/>
      <c r="E39" s="47"/>
      <c r="F39" s="47"/>
      <c r="G39" s="47"/>
      <c r="H39" s="47"/>
      <c r="I39" s="47"/>
      <c r="J39" s="47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</row>
    <row r="40" spans="2:42" ht="17.25" customHeight="1" x14ac:dyDescent="0.25">
      <c r="B40"/>
      <c r="C40"/>
      <c r="D40" s="47"/>
      <c r="E40" s="47"/>
      <c r="F40" s="47"/>
      <c r="G40" s="47"/>
      <c r="H40" s="47"/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</row>
    <row r="41" spans="2:42" ht="17.25" customHeight="1" x14ac:dyDescent="0.25"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</row>
    <row r="42" spans="2:42" ht="17.25" customHeight="1" x14ac:dyDescent="0.25"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</row>
    <row r="43" spans="2:42" ht="17.25" customHeight="1" x14ac:dyDescent="0.25"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</row>
    <row r="44" spans="2:42" ht="17.25" customHeight="1" x14ac:dyDescent="0.25"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</row>
    <row r="45" spans="2:42" ht="17.25" customHeight="1" x14ac:dyDescent="0.25"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</row>
    <row r="46" spans="2:42" ht="17.25" customHeight="1" x14ac:dyDescent="0.25"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</row>
    <row r="47" spans="2:42" ht="17.25" customHeight="1" x14ac:dyDescent="0.25"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</row>
    <row r="48" spans="2:42" ht="17.25" customHeight="1" x14ac:dyDescent="0.25"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</row>
    <row r="49" spans="2:42" ht="17.25" customHeight="1" x14ac:dyDescent="0.25"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</row>
    <row r="50" spans="2:42" ht="17.25" customHeight="1" x14ac:dyDescent="0.25"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</row>
    <row r="51" spans="2:42" ht="17.25" customHeight="1" x14ac:dyDescent="0.25"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</row>
    <row r="52" spans="2:42" ht="17.25" customHeight="1" x14ac:dyDescent="0.25"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</row>
    <row r="53" spans="2:42" ht="17.25" customHeight="1" x14ac:dyDescent="0.25"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</row>
    <row r="54" spans="2:42" ht="17.25" customHeight="1" x14ac:dyDescent="0.25"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</row>
    <row r="55" spans="2:42" ht="17.25" customHeight="1" x14ac:dyDescent="0.25"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</row>
    <row r="56" spans="2:42" ht="17.25" customHeight="1" x14ac:dyDescent="0.25"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</row>
    <row r="57" spans="2:42" ht="17.25" customHeight="1" x14ac:dyDescent="0.25"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</row>
    <row r="58" spans="2:42" ht="17.25" customHeight="1" x14ac:dyDescent="0.25"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</row>
    <row r="59" spans="2:42" ht="17.25" customHeight="1" x14ac:dyDescent="0.25"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</row>
    <row r="60" spans="2:42" ht="17.25" customHeight="1" x14ac:dyDescent="0.25"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</row>
    <row r="61" spans="2:42" ht="17.25" customHeight="1" x14ac:dyDescent="0.25"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</row>
    <row r="62" spans="2:42" ht="17.25" customHeight="1" x14ac:dyDescent="0.25"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</row>
    <row r="63" spans="2:42" ht="17.25" customHeight="1" x14ac:dyDescent="0.25"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</row>
    <row r="64" spans="2:42" ht="17.25" customHeight="1" x14ac:dyDescent="0.25"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</row>
    <row r="65" spans="2:42" ht="17.25" customHeight="1" x14ac:dyDescent="0.25"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</row>
    <row r="66" spans="2:42" ht="17.25" customHeight="1" x14ac:dyDescent="0.25"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</row>
    <row r="67" spans="2:42" ht="17.25" customHeight="1" x14ac:dyDescent="0.25"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</row>
    <row r="68" spans="2:42" ht="17.25" customHeight="1" x14ac:dyDescent="0.25">
      <c r="B68"/>
      <c r="C68"/>
      <c r="D68"/>
      <c r="E68"/>
      <c r="F68"/>
      <c r="G68"/>
      <c r="H68"/>
      <c r="I68"/>
      <c r="J68"/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</row>
    <row r="69" spans="2:42" ht="17.25" customHeight="1" x14ac:dyDescent="0.25">
      <c r="B69"/>
      <c r="C69"/>
      <c r="D69"/>
      <c r="E69"/>
      <c r="F69"/>
      <c r="G69"/>
      <c r="H69"/>
      <c r="I69"/>
      <c r="J69"/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/>
    </row>
    <row r="70" spans="2:42" ht="17.25" customHeight="1" x14ac:dyDescent="0.25">
      <c r="B70"/>
      <c r="C70"/>
      <c r="D70"/>
      <c r="E70"/>
      <c r="F70"/>
      <c r="G70"/>
      <c r="H70"/>
      <c r="I70"/>
      <c r="J70"/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  <c r="AN70"/>
      <c r="AO70"/>
      <c r="AP70"/>
    </row>
    <row r="71" spans="2:42" ht="17.25" customHeight="1" x14ac:dyDescent="0.25">
      <c r="B71"/>
      <c r="C71"/>
      <c r="D71"/>
      <c r="E71"/>
      <c r="F71"/>
      <c r="G71"/>
      <c r="H71"/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  <c r="AN71"/>
      <c r="AO71"/>
      <c r="AP71"/>
    </row>
    <row r="72" spans="2:42" ht="17.25" customHeight="1" x14ac:dyDescent="0.25"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  <c r="AN72"/>
      <c r="AO72"/>
      <c r="AP72"/>
    </row>
    <row r="73" spans="2:42" ht="17.25" customHeight="1" x14ac:dyDescent="0.25">
      <c r="B73"/>
      <c r="C73"/>
      <c r="D73"/>
      <c r="E73"/>
      <c r="F73"/>
      <c r="G73"/>
      <c r="H73"/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  <c r="AN73"/>
      <c r="AO73"/>
      <c r="AP73"/>
    </row>
    <row r="74" spans="2:42" ht="17.25" customHeight="1" x14ac:dyDescent="0.25">
      <c r="B74"/>
      <c r="C74"/>
      <c r="D74"/>
      <c r="E74"/>
      <c r="F74"/>
      <c r="G74"/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</row>
    <row r="75" spans="2:42" ht="17.25" customHeight="1" x14ac:dyDescent="0.25">
      <c r="B75"/>
      <c r="C75"/>
      <c r="D75"/>
      <c r="E75"/>
      <c r="F75"/>
      <c r="G75"/>
      <c r="H75"/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N75"/>
      <c r="AO75"/>
      <c r="AP75"/>
    </row>
    <row r="76" spans="2:42" ht="17.25" customHeight="1" x14ac:dyDescent="0.25">
      <c r="B76"/>
      <c r="C76"/>
      <c r="D76"/>
      <c r="E76"/>
      <c r="F76"/>
      <c r="G76"/>
      <c r="H76"/>
      <c r="I76"/>
      <c r="J76"/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  <c r="AJ76"/>
      <c r="AK76"/>
      <c r="AL76"/>
      <c r="AM76"/>
      <c r="AN76"/>
      <c r="AO76"/>
      <c r="AP76"/>
    </row>
    <row r="77" spans="2:42" ht="17.25" customHeight="1" x14ac:dyDescent="0.25">
      <c r="B77"/>
      <c r="C77"/>
      <c r="D77"/>
      <c r="E77"/>
      <c r="F77"/>
      <c r="G77"/>
      <c r="H77"/>
      <c r="I77"/>
      <c r="J77"/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  <c r="AN77"/>
      <c r="AO77"/>
      <c r="AP77"/>
    </row>
    <row r="78" spans="2:42" ht="17.25" customHeight="1" x14ac:dyDescent="0.25"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  <c r="AJ78"/>
      <c r="AK78"/>
      <c r="AL78"/>
      <c r="AM78"/>
      <c r="AN78"/>
      <c r="AO78"/>
      <c r="AP78"/>
    </row>
    <row r="79" spans="2:42" ht="17.25" customHeight="1" x14ac:dyDescent="0.25">
      <c r="B79"/>
      <c r="C79"/>
      <c r="D79"/>
      <c r="E79"/>
      <c r="F79"/>
      <c r="G79"/>
      <c r="H79"/>
      <c r="I79"/>
      <c r="J79"/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  <c r="AJ79"/>
      <c r="AK79"/>
      <c r="AL79"/>
      <c r="AM79"/>
      <c r="AN79"/>
      <c r="AO79"/>
      <c r="AP79"/>
    </row>
    <row r="80" spans="2:42" ht="17.25" customHeight="1" x14ac:dyDescent="0.25">
      <c r="B80"/>
      <c r="C80"/>
      <c r="D80"/>
      <c r="E80"/>
      <c r="F80"/>
      <c r="G80"/>
      <c r="H80"/>
      <c r="I80"/>
      <c r="J80"/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  <c r="AJ80"/>
      <c r="AK80"/>
      <c r="AL80"/>
      <c r="AM80"/>
      <c r="AN80"/>
      <c r="AO80"/>
      <c r="AP80"/>
    </row>
    <row r="81" spans="2:42" ht="17.25" customHeight="1" x14ac:dyDescent="0.25">
      <c r="B81"/>
      <c r="C81"/>
      <c r="D81"/>
      <c r="E81"/>
      <c r="F81"/>
      <c r="G81"/>
      <c r="H81"/>
      <c r="I8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  <c r="AJ81"/>
      <c r="AK81"/>
      <c r="AL81"/>
      <c r="AM81"/>
      <c r="AN81"/>
      <c r="AO81"/>
      <c r="AP81"/>
    </row>
    <row r="82" spans="2:42" ht="17.25" customHeight="1" x14ac:dyDescent="0.25"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  <c r="AL82"/>
      <c r="AM82"/>
      <c r="AN82"/>
      <c r="AO82"/>
      <c r="AP82"/>
    </row>
    <row r="83" spans="2:42" ht="17.25" customHeight="1" x14ac:dyDescent="0.25">
      <c r="B83"/>
      <c r="C83"/>
      <c r="D83"/>
      <c r="E83"/>
      <c r="F83"/>
      <c r="G83"/>
      <c r="H83"/>
      <c r="I83"/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  <c r="AJ83"/>
      <c r="AK83"/>
      <c r="AL83"/>
      <c r="AM83"/>
      <c r="AN83"/>
      <c r="AO83"/>
      <c r="AP83"/>
    </row>
    <row r="84" spans="2:42" ht="17.25" customHeight="1" x14ac:dyDescent="0.25">
      <c r="B84"/>
      <c r="C84"/>
      <c r="D84"/>
      <c r="E84"/>
      <c r="F84"/>
      <c r="G84"/>
      <c r="H84"/>
      <c r="I84"/>
      <c r="J84"/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  <c r="AJ84"/>
      <c r="AK84"/>
      <c r="AL84"/>
      <c r="AM84"/>
      <c r="AN84"/>
      <c r="AO84"/>
      <c r="AP84"/>
    </row>
    <row r="85" spans="2:42" ht="17.25" customHeight="1" x14ac:dyDescent="0.25">
      <c r="B85"/>
      <c r="C85"/>
      <c r="D85"/>
      <c r="E85"/>
      <c r="F85"/>
      <c r="G85"/>
      <c r="H85"/>
      <c r="I85"/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  <c r="AJ85"/>
      <c r="AK85"/>
      <c r="AL85"/>
      <c r="AM85"/>
      <c r="AN85"/>
      <c r="AO85"/>
      <c r="AP85"/>
    </row>
    <row r="86" spans="2:42" ht="17.25" customHeight="1" x14ac:dyDescent="0.25">
      <c r="B86"/>
      <c r="C86"/>
      <c r="D86"/>
      <c r="E86"/>
      <c r="F86"/>
      <c r="G86"/>
      <c r="H86"/>
      <c r="I86"/>
      <c r="J86"/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  <c r="AJ86"/>
      <c r="AK86"/>
      <c r="AL86"/>
      <c r="AM86"/>
      <c r="AN86"/>
      <c r="AO86"/>
      <c r="AP86"/>
    </row>
    <row r="87" spans="2:42" ht="17.25" customHeight="1" x14ac:dyDescent="0.25">
      <c r="B87"/>
      <c r="C87"/>
      <c r="D87"/>
      <c r="E87"/>
      <c r="F87"/>
      <c r="G87"/>
      <c r="H87"/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  <c r="AJ87"/>
      <c r="AK87"/>
      <c r="AL87"/>
      <c r="AM87"/>
      <c r="AN87"/>
      <c r="AO87"/>
      <c r="AP87"/>
    </row>
    <row r="88" spans="2:42" ht="17.25" customHeight="1" x14ac:dyDescent="0.25">
      <c r="B88"/>
      <c r="C88"/>
      <c r="D88"/>
      <c r="E88"/>
      <c r="F88"/>
      <c r="G88"/>
      <c r="H88"/>
      <c r="I88"/>
      <c r="J88"/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  <c r="AJ88"/>
      <c r="AK88"/>
      <c r="AL88"/>
      <c r="AM88"/>
      <c r="AN88"/>
      <c r="AO88"/>
      <c r="AP88"/>
    </row>
    <row r="89" spans="2:42" ht="17.25" customHeight="1" x14ac:dyDescent="0.25">
      <c r="B89"/>
      <c r="C89"/>
      <c r="D89"/>
      <c r="E89"/>
      <c r="F89"/>
      <c r="G89"/>
      <c r="H89"/>
      <c r="I89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  <c r="AJ89"/>
      <c r="AK89"/>
      <c r="AL89"/>
      <c r="AM89"/>
      <c r="AN89"/>
      <c r="AO89"/>
      <c r="AP89"/>
    </row>
    <row r="90" spans="2:42" ht="17.25" customHeight="1" x14ac:dyDescent="0.25"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  <c r="AJ90"/>
      <c r="AK90"/>
      <c r="AL90"/>
      <c r="AM90"/>
      <c r="AN90"/>
      <c r="AO90"/>
      <c r="AP90"/>
    </row>
    <row r="91" spans="2:42" ht="17.25" customHeight="1" x14ac:dyDescent="0.25">
      <c r="B91"/>
      <c r="C91"/>
      <c r="D91"/>
      <c r="E91"/>
      <c r="F91"/>
      <c r="G91"/>
      <c r="H91"/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  <c r="AJ91"/>
      <c r="AK91"/>
      <c r="AL91"/>
      <c r="AM91"/>
      <c r="AN91"/>
      <c r="AO91"/>
      <c r="AP91"/>
    </row>
    <row r="92" spans="2:42" ht="17.25" customHeight="1" x14ac:dyDescent="0.25"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  <c r="AJ92"/>
      <c r="AK92"/>
      <c r="AL92"/>
      <c r="AM92"/>
      <c r="AN92"/>
      <c r="AO92"/>
      <c r="AP92"/>
    </row>
    <row r="93" spans="2:42" ht="17.25" customHeight="1" x14ac:dyDescent="0.25">
      <c r="B93"/>
      <c r="C93"/>
      <c r="D93"/>
      <c r="E93"/>
      <c r="F93"/>
      <c r="G93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  <c r="AJ93"/>
      <c r="AK93"/>
      <c r="AL93"/>
      <c r="AM93"/>
      <c r="AN93"/>
      <c r="AO93"/>
      <c r="AP93"/>
    </row>
    <row r="94" spans="2:42" ht="17.25" customHeight="1" x14ac:dyDescent="0.25">
      <c r="B94"/>
      <c r="C94"/>
      <c r="D94"/>
      <c r="E94"/>
      <c r="F94"/>
      <c r="G94"/>
      <c r="H94"/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  <c r="AJ94"/>
      <c r="AK94"/>
      <c r="AL94"/>
      <c r="AM94"/>
      <c r="AN94"/>
      <c r="AO94"/>
      <c r="AP94"/>
    </row>
    <row r="95" spans="2:42" ht="17.25" customHeight="1" x14ac:dyDescent="0.25">
      <c r="B95"/>
      <c r="C95"/>
      <c r="D95"/>
      <c r="E95"/>
      <c r="F95"/>
      <c r="G95"/>
      <c r="H95"/>
      <c r="I95"/>
      <c r="J95"/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  <c r="AJ95"/>
      <c r="AK95"/>
      <c r="AL95"/>
      <c r="AM95"/>
      <c r="AN95"/>
      <c r="AO95"/>
      <c r="AP95"/>
    </row>
    <row r="96" spans="2:42" ht="17.25" customHeight="1" x14ac:dyDescent="0.25">
      <c r="B96"/>
      <c r="C96"/>
      <c r="D96"/>
      <c r="E96"/>
      <c r="F96"/>
      <c r="G96"/>
      <c r="H96"/>
      <c r="I96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  <c r="AJ96"/>
      <c r="AK96"/>
      <c r="AL96"/>
      <c r="AM96"/>
      <c r="AN96"/>
      <c r="AO96"/>
      <c r="AP96"/>
    </row>
    <row r="97" spans="2:42" ht="17.25" customHeight="1" x14ac:dyDescent="0.25">
      <c r="B97"/>
      <c r="C97"/>
      <c r="D97"/>
      <c r="E97"/>
      <c r="F97"/>
      <c r="G97"/>
      <c r="H97"/>
      <c r="I97"/>
      <c r="J97"/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  <c r="AN97"/>
      <c r="AO97"/>
      <c r="AP97"/>
    </row>
    <row r="98" spans="2:42" ht="17.25" customHeight="1" x14ac:dyDescent="0.25">
      <c r="B98"/>
      <c r="C98"/>
      <c r="D98"/>
      <c r="E98"/>
      <c r="F98"/>
      <c r="G98"/>
      <c r="H98"/>
      <c r="I98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  <c r="AJ98"/>
      <c r="AK98"/>
      <c r="AL98"/>
      <c r="AM98"/>
      <c r="AN98"/>
      <c r="AO98"/>
      <c r="AP98"/>
    </row>
    <row r="99" spans="2:42" ht="17.25" customHeight="1" x14ac:dyDescent="0.25">
      <c r="B99"/>
      <c r="C99"/>
      <c r="D99"/>
      <c r="E99"/>
      <c r="F99"/>
      <c r="G99"/>
      <c r="H99"/>
      <c r="I99"/>
      <c r="J99"/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  <c r="AJ99"/>
      <c r="AK99"/>
      <c r="AL99"/>
      <c r="AM99"/>
      <c r="AN99"/>
      <c r="AO99"/>
      <c r="AP99"/>
    </row>
    <row r="100" spans="2:42" ht="17.25" customHeight="1" x14ac:dyDescent="0.25">
      <c r="B100"/>
      <c r="C100"/>
      <c r="D100"/>
      <c r="E100"/>
      <c r="F100"/>
      <c r="G100"/>
      <c r="H100"/>
      <c r="I100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  <c r="AJ100"/>
      <c r="AK100"/>
      <c r="AL100"/>
      <c r="AM100"/>
      <c r="AN100"/>
      <c r="AO100"/>
      <c r="AP100"/>
    </row>
    <row r="101" spans="2:42" ht="17.25" customHeight="1" x14ac:dyDescent="0.25">
      <c r="B101"/>
      <c r="C101"/>
      <c r="D101"/>
      <c r="E101"/>
      <c r="F101"/>
      <c r="G101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  <c r="AJ101"/>
      <c r="AK101"/>
      <c r="AL101"/>
      <c r="AM101"/>
      <c r="AN101"/>
      <c r="AO101"/>
      <c r="AP101"/>
    </row>
    <row r="102" spans="2:42" ht="17.25" customHeight="1" x14ac:dyDescent="0.25"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  <c r="AJ102"/>
      <c r="AK102"/>
      <c r="AL102"/>
      <c r="AM102"/>
      <c r="AN102"/>
      <c r="AO102"/>
      <c r="AP102"/>
    </row>
    <row r="103" spans="2:42" ht="17.25" customHeight="1" x14ac:dyDescent="0.25">
      <c r="B103"/>
      <c r="C103"/>
      <c r="D103"/>
      <c r="E103"/>
      <c r="F103"/>
      <c r="G103"/>
      <c r="H103"/>
      <c r="I103"/>
      <c r="J103"/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  <c r="AJ103"/>
      <c r="AK103"/>
      <c r="AL103"/>
      <c r="AM103"/>
      <c r="AN103"/>
      <c r="AO103"/>
      <c r="AP103"/>
    </row>
    <row r="104" spans="2:42" ht="17.25" customHeight="1" x14ac:dyDescent="0.25">
      <c r="B104"/>
      <c r="C104"/>
      <c r="D104"/>
      <c r="E104"/>
      <c r="F104"/>
      <c r="G104"/>
      <c r="H104"/>
      <c r="I104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  <c r="AJ104"/>
      <c r="AK104"/>
      <c r="AL104"/>
      <c r="AM104"/>
      <c r="AN104"/>
      <c r="AO104"/>
      <c r="AP104"/>
    </row>
    <row r="105" spans="2:42" ht="17.25" customHeight="1" x14ac:dyDescent="0.25">
      <c r="B105"/>
      <c r="C105"/>
      <c r="D105"/>
      <c r="E105"/>
      <c r="F105"/>
      <c r="G105"/>
      <c r="H105"/>
      <c r="I105"/>
      <c r="J105"/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  <c r="AJ105"/>
      <c r="AK105"/>
      <c r="AL105"/>
      <c r="AM105"/>
      <c r="AN105"/>
      <c r="AO105"/>
      <c r="AP105"/>
    </row>
    <row r="106" spans="2:42" ht="17.25" customHeight="1" x14ac:dyDescent="0.25">
      <c r="B106"/>
      <c r="C106"/>
      <c r="D106"/>
      <c r="E106"/>
      <c r="F106"/>
      <c r="G106"/>
      <c r="H106"/>
      <c r="I106"/>
      <c r="J106"/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  <c r="AJ106"/>
      <c r="AK106"/>
      <c r="AL106"/>
      <c r="AM106"/>
      <c r="AN106"/>
      <c r="AO106"/>
      <c r="AP106"/>
    </row>
    <row r="107" spans="2:42" ht="17.25" customHeight="1" x14ac:dyDescent="0.25">
      <c r="B107"/>
      <c r="C107"/>
      <c r="D107"/>
      <c r="E107"/>
      <c r="F107"/>
      <c r="G107"/>
      <c r="H107"/>
      <c r="I107"/>
      <c r="J107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  <c r="AJ107"/>
      <c r="AK107"/>
      <c r="AL107"/>
      <c r="AM107"/>
      <c r="AN107"/>
      <c r="AO107"/>
      <c r="AP107"/>
    </row>
    <row r="108" spans="2:42" ht="17.25" customHeight="1" x14ac:dyDescent="0.25">
      <c r="B108"/>
      <c r="C108"/>
      <c r="D108"/>
      <c r="E108"/>
      <c r="F108"/>
      <c r="G108"/>
      <c r="H108"/>
      <c r="I108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  <c r="AJ108"/>
      <c r="AK108"/>
      <c r="AL108"/>
      <c r="AM108"/>
      <c r="AN108"/>
      <c r="AO108"/>
      <c r="AP108"/>
    </row>
    <row r="109" spans="2:42" ht="17.25" customHeight="1" x14ac:dyDescent="0.25">
      <c r="B109"/>
      <c r="C109"/>
      <c r="D109"/>
      <c r="E109"/>
      <c r="F109"/>
      <c r="G109"/>
      <c r="H109"/>
      <c r="I109"/>
      <c r="J109"/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  <c r="AJ109"/>
      <c r="AK109"/>
      <c r="AL109"/>
      <c r="AM109"/>
      <c r="AN109"/>
      <c r="AO109"/>
      <c r="AP109"/>
    </row>
    <row r="110" spans="2:42" ht="17.25" customHeight="1" x14ac:dyDescent="0.25">
      <c r="B110"/>
      <c r="C110"/>
      <c r="D110"/>
      <c r="E110"/>
      <c r="F110"/>
      <c r="G110"/>
      <c r="H110"/>
      <c r="I110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  <c r="AJ110"/>
      <c r="AK110"/>
      <c r="AL110"/>
      <c r="AM110"/>
      <c r="AN110"/>
      <c r="AO110"/>
      <c r="AP110"/>
    </row>
    <row r="111" spans="2:42" ht="17.25" customHeight="1" x14ac:dyDescent="0.25"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  <c r="AJ111"/>
      <c r="AK111"/>
      <c r="AL111"/>
      <c r="AM111"/>
      <c r="AN111"/>
      <c r="AO111"/>
      <c r="AP111"/>
    </row>
    <row r="112" spans="2:42" ht="17.25" customHeight="1" x14ac:dyDescent="0.25">
      <c r="B112"/>
      <c r="C112"/>
      <c r="D112"/>
      <c r="E112"/>
      <c r="F112"/>
      <c r="G112"/>
      <c r="H112"/>
      <c r="I112"/>
      <c r="J112"/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  <c r="AJ112"/>
      <c r="AK112"/>
      <c r="AL112"/>
      <c r="AM112"/>
      <c r="AN112"/>
      <c r="AO112"/>
      <c r="AP112"/>
    </row>
    <row r="113" spans="2:42" ht="17.25" customHeight="1" x14ac:dyDescent="0.25">
      <c r="B113"/>
      <c r="C113"/>
      <c r="D113"/>
      <c r="E113"/>
      <c r="F113"/>
      <c r="G113"/>
      <c r="H113"/>
      <c r="I113"/>
      <c r="J113"/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  <c r="AJ113"/>
      <c r="AK113"/>
      <c r="AL113"/>
      <c r="AM113"/>
      <c r="AN113"/>
      <c r="AO113"/>
      <c r="AP113"/>
    </row>
    <row r="114" spans="2:42" ht="17.25" customHeight="1" x14ac:dyDescent="0.25"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  <c r="AJ114"/>
      <c r="AK114"/>
      <c r="AL114"/>
      <c r="AM114"/>
      <c r="AN114"/>
      <c r="AO114"/>
      <c r="AP114"/>
    </row>
    <row r="115" spans="2:42" ht="17.25" customHeight="1" x14ac:dyDescent="0.25">
      <c r="B115"/>
      <c r="C115"/>
      <c r="D115"/>
      <c r="E115"/>
      <c r="F115"/>
      <c r="G115"/>
      <c r="H115"/>
      <c r="I115"/>
      <c r="J115"/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  <c r="AJ115"/>
      <c r="AK115"/>
      <c r="AL115"/>
      <c r="AM115"/>
      <c r="AN115"/>
      <c r="AO115"/>
      <c r="AP115"/>
    </row>
    <row r="116" spans="2:42" ht="17.25" customHeight="1" x14ac:dyDescent="0.25">
      <c r="B116"/>
      <c r="C116"/>
      <c r="D116"/>
      <c r="E116"/>
      <c r="F116"/>
      <c r="G116"/>
      <c r="H116"/>
      <c r="I116"/>
      <c r="J116"/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  <c r="AJ116"/>
      <c r="AK116"/>
      <c r="AL116"/>
      <c r="AM116"/>
      <c r="AN116"/>
      <c r="AO116"/>
      <c r="AP116"/>
    </row>
    <row r="117" spans="2:42" ht="17.25" customHeight="1" x14ac:dyDescent="0.25">
      <c r="B117"/>
      <c r="C117"/>
      <c r="D117"/>
      <c r="E117"/>
      <c r="F117"/>
      <c r="G117"/>
      <c r="H117"/>
      <c r="I117"/>
      <c r="J117"/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  <c r="AJ117"/>
      <c r="AK117"/>
      <c r="AL117"/>
      <c r="AM117"/>
      <c r="AN117"/>
      <c r="AO117"/>
      <c r="AP117"/>
    </row>
    <row r="118" spans="2:42" ht="17.25" customHeight="1" x14ac:dyDescent="0.25">
      <c r="B118"/>
      <c r="C118"/>
      <c r="D118"/>
      <c r="E118"/>
      <c r="F118"/>
      <c r="G118"/>
      <c r="H118"/>
      <c r="I118"/>
      <c r="J118"/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  <c r="AJ118"/>
      <c r="AK118"/>
      <c r="AL118"/>
      <c r="AM118"/>
      <c r="AN118"/>
      <c r="AO118"/>
      <c r="AP118"/>
    </row>
    <row r="119" spans="2:42" ht="17.25" customHeight="1" x14ac:dyDescent="0.25">
      <c r="B119"/>
      <c r="C119"/>
      <c r="D119"/>
      <c r="E119"/>
      <c r="F119"/>
      <c r="G119"/>
      <c r="H119"/>
      <c r="I119"/>
      <c r="J119"/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  <c r="AJ119"/>
      <c r="AK119"/>
      <c r="AL119"/>
      <c r="AM119"/>
      <c r="AN119"/>
      <c r="AO119"/>
      <c r="AP119"/>
    </row>
    <row r="120" spans="2:42" ht="17.25" customHeight="1" x14ac:dyDescent="0.25">
      <c r="B120"/>
      <c r="C120"/>
      <c r="D120"/>
      <c r="E120"/>
      <c r="F120"/>
      <c r="G120"/>
      <c r="H120"/>
      <c r="I120"/>
      <c r="J120"/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  <c r="AJ120"/>
      <c r="AK120"/>
      <c r="AL120"/>
      <c r="AM120"/>
      <c r="AN120"/>
      <c r="AO120"/>
      <c r="AP120"/>
    </row>
    <row r="121" spans="2:42" ht="17.25" customHeight="1" x14ac:dyDescent="0.25">
      <c r="B121"/>
      <c r="C121"/>
      <c r="D121"/>
      <c r="E121"/>
      <c r="F121"/>
      <c r="G121"/>
      <c r="H121"/>
      <c r="I121"/>
      <c r="J121"/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  <c r="AJ121"/>
      <c r="AK121"/>
      <c r="AL121"/>
      <c r="AM121"/>
      <c r="AN121"/>
      <c r="AO121"/>
      <c r="AP121"/>
    </row>
    <row r="122" spans="2:42" ht="17.25" customHeight="1" x14ac:dyDescent="0.25">
      <c r="B122"/>
      <c r="C122"/>
      <c r="D122"/>
      <c r="E122"/>
      <c r="F122"/>
      <c r="G122"/>
      <c r="H122"/>
      <c r="I122"/>
      <c r="J122"/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  <c r="AJ122"/>
      <c r="AK122"/>
      <c r="AL122"/>
      <c r="AM122"/>
      <c r="AN122"/>
      <c r="AO122"/>
      <c r="AP122"/>
    </row>
    <row r="123" spans="2:42" ht="17.25" customHeight="1" x14ac:dyDescent="0.25"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  <c r="AJ123"/>
      <c r="AK123"/>
      <c r="AL123"/>
      <c r="AM123"/>
      <c r="AN123"/>
      <c r="AO123"/>
      <c r="AP123"/>
    </row>
    <row r="124" spans="2:42" ht="17.25" customHeight="1" x14ac:dyDescent="0.25">
      <c r="B124"/>
      <c r="C124"/>
      <c r="D124"/>
      <c r="E124"/>
      <c r="F124"/>
      <c r="G124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  <c r="AJ124"/>
      <c r="AK124"/>
      <c r="AL124"/>
      <c r="AM124"/>
      <c r="AN124"/>
      <c r="AO124"/>
      <c r="AP124"/>
    </row>
    <row r="125" spans="2:42" ht="17.25" customHeight="1" x14ac:dyDescent="0.25">
      <c r="B125"/>
      <c r="C125"/>
      <c r="D125"/>
      <c r="E125"/>
      <c r="F125"/>
      <c r="G125"/>
      <c r="H125"/>
      <c r="I125"/>
      <c r="J125"/>
      <c r="K125"/>
      <c r="L125"/>
      <c r="M125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  <c r="AJ125"/>
      <c r="AK125"/>
      <c r="AL125"/>
      <c r="AM125"/>
      <c r="AN125"/>
      <c r="AO125"/>
      <c r="AP125"/>
    </row>
    <row r="126" spans="2:42" ht="17.25" customHeight="1" x14ac:dyDescent="0.25">
      <c r="B126"/>
      <c r="C126"/>
      <c r="D126"/>
      <c r="E126"/>
      <c r="F126"/>
      <c r="G126"/>
      <c r="H126"/>
      <c r="I126"/>
      <c r="J126"/>
      <c r="K126"/>
      <c r="L126"/>
      <c r="M126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  <c r="AJ126"/>
      <c r="AK126"/>
      <c r="AL126"/>
      <c r="AM126"/>
      <c r="AN126"/>
      <c r="AO126"/>
      <c r="AP126"/>
    </row>
    <row r="127" spans="2:42" ht="17.25" customHeight="1" x14ac:dyDescent="0.25">
      <c r="B127"/>
      <c r="C127"/>
      <c r="D127"/>
      <c r="E127"/>
      <c r="F127"/>
      <c r="G127"/>
      <c r="H127"/>
      <c r="I127"/>
      <c r="J127"/>
      <c r="K127"/>
      <c r="L127"/>
      <c r="M127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  <c r="AJ127"/>
      <c r="AK127"/>
      <c r="AL127"/>
      <c r="AM127"/>
      <c r="AN127"/>
      <c r="AO127"/>
      <c r="AP127"/>
    </row>
    <row r="128" spans="2:42" ht="17.25" customHeight="1" x14ac:dyDescent="0.25">
      <c r="B128"/>
      <c r="C128"/>
      <c r="D128"/>
      <c r="E128"/>
      <c r="F128"/>
      <c r="G128"/>
      <c r="H128"/>
      <c r="I128"/>
      <c r="J128"/>
      <c r="K128"/>
      <c r="L128"/>
      <c r="M128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  <c r="AJ128"/>
      <c r="AK128"/>
      <c r="AL128"/>
      <c r="AM128"/>
      <c r="AN128"/>
      <c r="AO128"/>
      <c r="AP128"/>
    </row>
    <row r="129" spans="2:42" ht="17.25" customHeight="1" x14ac:dyDescent="0.25">
      <c r="B129"/>
      <c r="C129"/>
      <c r="D129"/>
      <c r="E129"/>
      <c r="F129"/>
      <c r="G129"/>
      <c r="H129"/>
      <c r="I129"/>
      <c r="J129"/>
      <c r="K129"/>
      <c r="L129"/>
      <c r="M129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  <c r="AJ129"/>
      <c r="AK129"/>
      <c r="AL129"/>
      <c r="AM129"/>
      <c r="AN129"/>
      <c r="AO129"/>
      <c r="AP129"/>
    </row>
    <row r="130" spans="2:42" ht="17.25" customHeight="1" x14ac:dyDescent="0.25">
      <c r="B130"/>
      <c r="C130"/>
      <c r="D130"/>
      <c r="E130"/>
      <c r="F130"/>
      <c r="G130"/>
      <c r="H130"/>
      <c r="I130"/>
      <c r="J130"/>
      <c r="K130"/>
      <c r="L130"/>
      <c r="M130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  <c r="AC130"/>
      <c r="AD130"/>
      <c r="AE130"/>
      <c r="AF130"/>
      <c r="AG130"/>
      <c r="AH130"/>
      <c r="AI130"/>
      <c r="AJ130"/>
      <c r="AK130"/>
      <c r="AL130"/>
      <c r="AM130"/>
      <c r="AN130"/>
      <c r="AO130"/>
      <c r="AP130"/>
    </row>
    <row r="131" spans="2:42" ht="17.25" customHeight="1" x14ac:dyDescent="0.25">
      <c r="B131"/>
      <c r="C131"/>
      <c r="D131"/>
      <c r="E131"/>
      <c r="F131"/>
      <c r="G131"/>
      <c r="H131"/>
      <c r="I131"/>
      <c r="J131"/>
      <c r="K131"/>
      <c r="L131"/>
      <c r="M131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  <c r="AJ131"/>
      <c r="AK131"/>
      <c r="AL131"/>
      <c r="AM131"/>
      <c r="AN131"/>
      <c r="AO131"/>
      <c r="AP131"/>
    </row>
    <row r="132" spans="2:42" ht="17.25" customHeight="1" x14ac:dyDescent="0.25">
      <c r="B132"/>
      <c r="C132"/>
      <c r="D132"/>
      <c r="E132"/>
      <c r="F132"/>
      <c r="G132"/>
      <c r="H132"/>
      <c r="I132"/>
      <c r="J132"/>
      <c r="K132"/>
      <c r="L132"/>
      <c r="M132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/>
      <c r="AH132"/>
      <c r="AI132"/>
      <c r="AJ132"/>
      <c r="AK132"/>
      <c r="AL132"/>
      <c r="AM132"/>
      <c r="AN132"/>
      <c r="AO132"/>
      <c r="AP132"/>
    </row>
    <row r="133" spans="2:42" ht="17.25" customHeight="1" x14ac:dyDescent="0.25">
      <c r="B133"/>
      <c r="C133"/>
      <c r="D133"/>
      <c r="E133"/>
      <c r="F133"/>
      <c r="G133"/>
      <c r="H133"/>
      <c r="I133"/>
      <c r="J133"/>
      <c r="K133"/>
      <c r="L133"/>
      <c r="M133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  <c r="AC133"/>
      <c r="AD133"/>
      <c r="AE133"/>
      <c r="AF133"/>
      <c r="AG133"/>
      <c r="AH133"/>
      <c r="AI133"/>
      <c r="AJ133"/>
      <c r="AK133"/>
      <c r="AL133"/>
      <c r="AM133"/>
      <c r="AN133"/>
      <c r="AO133"/>
      <c r="AP133"/>
    </row>
    <row r="134" spans="2:42" ht="17.25" customHeight="1" x14ac:dyDescent="0.25">
      <c r="B134"/>
      <c r="C134"/>
      <c r="D134"/>
      <c r="E134"/>
      <c r="F134"/>
      <c r="G134"/>
      <c r="H134"/>
      <c r="I134"/>
      <c r="J134"/>
      <c r="K134"/>
      <c r="L134"/>
      <c r="M134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  <c r="AJ134"/>
      <c r="AK134"/>
      <c r="AL134"/>
      <c r="AM134"/>
      <c r="AN134"/>
      <c r="AO134"/>
      <c r="AP134"/>
    </row>
    <row r="135" spans="2:42" ht="17.25" customHeight="1" x14ac:dyDescent="0.25">
      <c r="B135"/>
      <c r="C135"/>
      <c r="D135"/>
      <c r="E135"/>
      <c r="F135"/>
      <c r="G135"/>
      <c r="H135"/>
      <c r="I135"/>
      <c r="J135"/>
      <c r="K135"/>
      <c r="L135"/>
      <c r="M135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  <c r="AJ135"/>
      <c r="AK135"/>
      <c r="AL135"/>
      <c r="AM135"/>
      <c r="AN135"/>
      <c r="AO135"/>
      <c r="AP135"/>
    </row>
    <row r="136" spans="2:42" ht="17.25" customHeight="1" x14ac:dyDescent="0.25">
      <c r="B136"/>
      <c r="C136"/>
      <c r="D136"/>
      <c r="E136"/>
      <c r="F136"/>
      <c r="G136"/>
      <c r="H136"/>
      <c r="I136"/>
      <c r="J136"/>
      <c r="K136"/>
      <c r="L136"/>
      <c r="M136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  <c r="AC136"/>
      <c r="AD136"/>
      <c r="AE136"/>
      <c r="AF136"/>
      <c r="AG136"/>
      <c r="AH136"/>
      <c r="AI136"/>
      <c r="AJ136"/>
      <c r="AK136"/>
      <c r="AL136"/>
      <c r="AM136"/>
      <c r="AN136"/>
      <c r="AO136"/>
      <c r="AP136"/>
    </row>
    <row r="137" spans="2:42" ht="17.25" customHeight="1" x14ac:dyDescent="0.25">
      <c r="B137"/>
      <c r="C137"/>
      <c r="D137"/>
      <c r="E137"/>
      <c r="F137"/>
      <c r="G137"/>
      <c r="H137"/>
      <c r="I137"/>
      <c r="J137"/>
      <c r="K137"/>
      <c r="L137"/>
      <c r="M13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/>
      <c r="AH137"/>
      <c r="AI137"/>
      <c r="AJ137"/>
      <c r="AK137"/>
      <c r="AL137"/>
      <c r="AM137"/>
      <c r="AN137"/>
      <c r="AO137"/>
      <c r="AP137"/>
    </row>
    <row r="138" spans="2:42" ht="17.25" customHeight="1" x14ac:dyDescent="0.25">
      <c r="B138"/>
      <c r="C138"/>
      <c r="D138"/>
      <c r="E138"/>
      <c r="F138"/>
      <c r="G138"/>
      <c r="H138"/>
      <c r="I138"/>
      <c r="J138"/>
      <c r="K138"/>
      <c r="L138"/>
      <c r="M138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  <c r="AB138"/>
      <c r="AC138"/>
      <c r="AD138"/>
      <c r="AE138"/>
      <c r="AF138"/>
      <c r="AG138"/>
      <c r="AH138"/>
      <c r="AI138"/>
      <c r="AJ138"/>
      <c r="AK138"/>
      <c r="AL138"/>
      <c r="AM138"/>
      <c r="AN138"/>
      <c r="AO138"/>
      <c r="AP138"/>
    </row>
    <row r="139" spans="2:42" ht="17.25" customHeight="1" x14ac:dyDescent="0.25">
      <c r="B139"/>
      <c r="C139"/>
      <c r="D139"/>
      <c r="E139"/>
      <c r="F139"/>
      <c r="G139"/>
      <c r="H139"/>
      <c r="I139"/>
      <c r="J139"/>
      <c r="K139"/>
      <c r="L139"/>
      <c r="M139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  <c r="AC139"/>
      <c r="AD139"/>
      <c r="AE139"/>
      <c r="AF139"/>
      <c r="AG139"/>
      <c r="AH139"/>
      <c r="AI139"/>
      <c r="AJ139"/>
      <c r="AK139"/>
      <c r="AL139"/>
      <c r="AM139"/>
      <c r="AN139"/>
      <c r="AO139"/>
      <c r="AP139"/>
    </row>
    <row r="140" spans="2:42" ht="17.25" customHeight="1" x14ac:dyDescent="0.25">
      <c r="B140"/>
      <c r="C140"/>
      <c r="D140"/>
      <c r="E140"/>
      <c r="F140"/>
      <c r="G140"/>
      <c r="H140"/>
      <c r="I140"/>
      <c r="J140"/>
      <c r="K140"/>
      <c r="L140"/>
      <c r="M140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  <c r="AJ140"/>
      <c r="AK140"/>
      <c r="AL140"/>
      <c r="AM140"/>
      <c r="AN140"/>
      <c r="AO140"/>
      <c r="AP140"/>
    </row>
    <row r="141" spans="2:42" ht="17.25" customHeight="1" x14ac:dyDescent="0.25">
      <c r="B141"/>
      <c r="C141"/>
      <c r="D141"/>
      <c r="E141"/>
      <c r="F141"/>
      <c r="G141"/>
      <c r="H141"/>
      <c r="I141"/>
      <c r="J141"/>
      <c r="K141"/>
      <c r="L141"/>
      <c r="M141"/>
      <c r="N141"/>
      <c r="O141"/>
      <c r="P141"/>
      <c r="Q141"/>
      <c r="R141"/>
      <c r="S141"/>
      <c r="T141"/>
      <c r="U141"/>
      <c r="V141"/>
      <c r="W141"/>
      <c r="X141"/>
      <c r="Y141"/>
      <c r="Z141"/>
      <c r="AA141"/>
      <c r="AB141"/>
      <c r="AC141"/>
      <c r="AD141"/>
      <c r="AE141"/>
      <c r="AF141"/>
      <c r="AG141"/>
      <c r="AH141"/>
      <c r="AI141"/>
      <c r="AJ141"/>
      <c r="AK141"/>
      <c r="AL141"/>
      <c r="AM141"/>
      <c r="AN141"/>
      <c r="AO141"/>
      <c r="AP141"/>
    </row>
    <row r="142" spans="2:42" ht="17.25" customHeight="1" x14ac:dyDescent="0.25">
      <c r="B142"/>
      <c r="C142"/>
      <c r="D142"/>
      <c r="E142"/>
      <c r="F142"/>
      <c r="G142"/>
      <c r="H142"/>
      <c r="I142"/>
      <c r="J142"/>
      <c r="K142"/>
      <c r="L142"/>
      <c r="M142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  <c r="AC142"/>
      <c r="AD142"/>
      <c r="AE142"/>
      <c r="AF142"/>
      <c r="AG142"/>
      <c r="AH142"/>
      <c r="AI142"/>
      <c r="AJ142"/>
      <c r="AK142"/>
      <c r="AL142"/>
      <c r="AM142"/>
      <c r="AN142"/>
      <c r="AO142"/>
      <c r="AP142"/>
    </row>
    <row r="143" spans="2:42" ht="17.25" customHeight="1" x14ac:dyDescent="0.25">
      <c r="B143"/>
      <c r="C143"/>
      <c r="D143"/>
      <c r="E143"/>
      <c r="F143"/>
      <c r="G143"/>
      <c r="H143"/>
      <c r="I143"/>
      <c r="J143"/>
      <c r="K143"/>
      <c r="L143"/>
      <c r="M143"/>
      <c r="N143"/>
      <c r="O143"/>
      <c r="P143"/>
      <c r="Q143"/>
      <c r="R143"/>
      <c r="S143"/>
      <c r="T143"/>
      <c r="U143"/>
      <c r="V143"/>
      <c r="W143"/>
      <c r="X143"/>
      <c r="Y143"/>
      <c r="Z143"/>
      <c r="AA143"/>
      <c r="AB143"/>
      <c r="AC143"/>
      <c r="AD143"/>
      <c r="AE143"/>
      <c r="AF143"/>
      <c r="AG143"/>
      <c r="AH143"/>
      <c r="AI143"/>
      <c r="AJ143"/>
      <c r="AK143"/>
      <c r="AL143"/>
      <c r="AM143"/>
      <c r="AN143"/>
      <c r="AO143"/>
      <c r="AP143"/>
    </row>
    <row r="144" spans="2:42" ht="17.25" customHeight="1" x14ac:dyDescent="0.25">
      <c r="B144"/>
      <c r="C144"/>
      <c r="D144"/>
      <c r="E144"/>
      <c r="F144"/>
      <c r="G144"/>
      <c r="H144"/>
      <c r="I144"/>
      <c r="J144"/>
      <c r="K144"/>
      <c r="L144"/>
      <c r="M144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  <c r="AC144"/>
      <c r="AD144"/>
      <c r="AE144"/>
      <c r="AF144"/>
      <c r="AG144"/>
      <c r="AH144"/>
      <c r="AI144"/>
      <c r="AJ144"/>
      <c r="AK144"/>
      <c r="AL144"/>
      <c r="AM144"/>
      <c r="AN144"/>
      <c r="AO144"/>
      <c r="AP144"/>
    </row>
    <row r="145" spans="2:42" ht="17.25" customHeight="1" x14ac:dyDescent="0.25">
      <c r="B145"/>
      <c r="C145"/>
      <c r="D145"/>
      <c r="E145"/>
      <c r="F145"/>
      <c r="G145"/>
      <c r="H145"/>
      <c r="I145"/>
      <c r="J145"/>
      <c r="K145"/>
      <c r="L145"/>
      <c r="M145"/>
      <c r="N145"/>
      <c r="O145"/>
      <c r="P145"/>
      <c r="Q145"/>
      <c r="R145"/>
      <c r="S145"/>
      <c r="T145"/>
      <c r="U145"/>
      <c r="V145"/>
      <c r="W145"/>
      <c r="X145"/>
      <c r="Y145"/>
      <c r="Z145"/>
      <c r="AA145"/>
      <c r="AB145"/>
      <c r="AC145"/>
      <c r="AD145"/>
      <c r="AE145"/>
      <c r="AF145"/>
      <c r="AG145"/>
      <c r="AH145"/>
      <c r="AI145"/>
      <c r="AJ145"/>
      <c r="AK145"/>
      <c r="AL145"/>
      <c r="AM145"/>
      <c r="AN145"/>
      <c r="AO145"/>
      <c r="AP145"/>
    </row>
    <row r="146" spans="2:42" ht="17.25" customHeight="1" x14ac:dyDescent="0.25">
      <c r="B146"/>
      <c r="C146"/>
      <c r="D146"/>
      <c r="E146"/>
      <c r="F146"/>
      <c r="G146"/>
      <c r="H146"/>
      <c r="I146"/>
      <c r="J146"/>
      <c r="K146"/>
      <c r="L146"/>
      <c r="M146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/>
      <c r="AB146"/>
      <c r="AC146"/>
      <c r="AD146"/>
      <c r="AE146"/>
      <c r="AF146"/>
      <c r="AG146"/>
      <c r="AH146"/>
      <c r="AI146"/>
      <c r="AJ146"/>
      <c r="AK146"/>
      <c r="AL146"/>
      <c r="AM146"/>
      <c r="AN146"/>
      <c r="AO146"/>
      <c r="AP146"/>
    </row>
    <row r="147" spans="2:42" ht="17.25" customHeight="1" x14ac:dyDescent="0.25">
      <c r="B147"/>
      <c r="C147"/>
      <c r="D147"/>
      <c r="E147"/>
      <c r="F147"/>
      <c r="G147"/>
      <c r="H147"/>
      <c r="I147"/>
      <c r="J147"/>
      <c r="K147"/>
      <c r="L147"/>
      <c r="M147"/>
      <c r="N147"/>
      <c r="O147"/>
      <c r="P147"/>
      <c r="Q147"/>
      <c r="R147"/>
      <c r="S147"/>
      <c r="T147"/>
      <c r="U147"/>
      <c r="V147"/>
      <c r="W147"/>
      <c r="X147"/>
      <c r="Y147"/>
      <c r="Z147"/>
      <c r="AA147"/>
      <c r="AB147"/>
      <c r="AC147"/>
      <c r="AD147"/>
      <c r="AE147"/>
      <c r="AF147"/>
      <c r="AG147"/>
      <c r="AH147"/>
      <c r="AI147"/>
      <c r="AJ147"/>
      <c r="AK147"/>
      <c r="AL147"/>
      <c r="AM147"/>
      <c r="AN147"/>
      <c r="AO147"/>
      <c r="AP147"/>
    </row>
    <row r="148" spans="2:42" ht="17.25" customHeight="1" x14ac:dyDescent="0.25">
      <c r="B148"/>
      <c r="C148"/>
      <c r="D148"/>
      <c r="E148"/>
      <c r="F148"/>
      <c r="G148"/>
      <c r="H148"/>
      <c r="I148"/>
      <c r="J148"/>
      <c r="K148"/>
      <c r="L148"/>
      <c r="M148"/>
      <c r="N148"/>
      <c r="O148"/>
      <c r="P148"/>
      <c r="Q148"/>
      <c r="R148"/>
      <c r="S148"/>
      <c r="T148"/>
      <c r="U148"/>
      <c r="V148"/>
      <c r="W148"/>
      <c r="X148"/>
      <c r="Y148"/>
      <c r="Z148"/>
      <c r="AA148"/>
      <c r="AB148"/>
      <c r="AC148"/>
      <c r="AD148"/>
      <c r="AE148"/>
      <c r="AF148"/>
      <c r="AG148"/>
      <c r="AH148"/>
      <c r="AI148"/>
      <c r="AJ148"/>
      <c r="AK148"/>
      <c r="AL148"/>
      <c r="AM148"/>
      <c r="AN148"/>
      <c r="AO148"/>
      <c r="AP148"/>
    </row>
    <row r="149" spans="2:42" ht="17.25" customHeight="1" x14ac:dyDescent="0.25">
      <c r="B149"/>
      <c r="C149"/>
      <c r="D149"/>
      <c r="E149"/>
      <c r="F149"/>
      <c r="G149"/>
      <c r="H149"/>
      <c r="I149"/>
      <c r="J149"/>
      <c r="K149"/>
      <c r="L149"/>
      <c r="M149"/>
      <c r="N149"/>
      <c r="O149"/>
      <c r="P149"/>
      <c r="Q149"/>
      <c r="R149"/>
      <c r="S149"/>
      <c r="T149"/>
      <c r="U149"/>
      <c r="V149"/>
      <c r="W149"/>
      <c r="X149"/>
      <c r="Y149"/>
      <c r="Z149"/>
      <c r="AA149"/>
      <c r="AB149"/>
      <c r="AC149"/>
      <c r="AD149"/>
      <c r="AE149"/>
      <c r="AF149"/>
      <c r="AG149"/>
      <c r="AH149"/>
      <c r="AI149"/>
      <c r="AJ149"/>
      <c r="AK149"/>
      <c r="AL149"/>
      <c r="AM149"/>
      <c r="AN149"/>
      <c r="AO149"/>
      <c r="AP149"/>
    </row>
    <row r="150" spans="2:42" ht="17.25" customHeight="1" x14ac:dyDescent="0.25">
      <c r="B150"/>
      <c r="C150"/>
      <c r="D150"/>
      <c r="E150"/>
      <c r="F150"/>
      <c r="G150"/>
      <c r="H150"/>
      <c r="I150"/>
      <c r="J150"/>
      <c r="K150"/>
      <c r="L150"/>
      <c r="M150"/>
      <c r="N150"/>
      <c r="O150"/>
      <c r="P150"/>
      <c r="Q150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E150"/>
      <c r="AF150"/>
      <c r="AG150"/>
      <c r="AH150"/>
      <c r="AI150"/>
      <c r="AJ150"/>
      <c r="AK150"/>
      <c r="AL150"/>
      <c r="AM150"/>
      <c r="AN150"/>
      <c r="AO150"/>
      <c r="AP150"/>
    </row>
    <row r="151" spans="2:42" ht="17.25" customHeight="1" x14ac:dyDescent="0.25">
      <c r="B151"/>
      <c r="C151"/>
      <c r="D151"/>
      <c r="E151"/>
      <c r="F151"/>
      <c r="G151"/>
      <c r="H151"/>
      <c r="I151"/>
      <c r="J151"/>
      <c r="K151"/>
      <c r="L151"/>
      <c r="M151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  <c r="AJ151"/>
      <c r="AK151"/>
      <c r="AL151"/>
      <c r="AM151"/>
      <c r="AN151"/>
      <c r="AO151"/>
      <c r="AP151"/>
    </row>
    <row r="152" spans="2:42" ht="17.25" customHeight="1" x14ac:dyDescent="0.25">
      <c r="B152"/>
      <c r="C152"/>
      <c r="D152"/>
      <c r="E152"/>
      <c r="F152"/>
      <c r="G152"/>
      <c r="H152"/>
      <c r="I152"/>
      <c r="J152"/>
      <c r="K152"/>
      <c r="L152"/>
      <c r="M152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  <c r="AJ152"/>
      <c r="AK152"/>
      <c r="AL152"/>
      <c r="AM152"/>
      <c r="AN152"/>
      <c r="AO152"/>
      <c r="AP152"/>
    </row>
    <row r="153" spans="2:42" ht="17.25" customHeight="1" x14ac:dyDescent="0.25">
      <c r="B153"/>
      <c r="C153"/>
      <c r="D153"/>
      <c r="E153"/>
      <c r="F153"/>
      <c r="G153"/>
      <c r="H153"/>
      <c r="I153"/>
      <c r="J153"/>
      <c r="K153"/>
      <c r="L153"/>
      <c r="M153"/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  <c r="AJ153"/>
      <c r="AK153"/>
      <c r="AL153"/>
      <c r="AM153"/>
      <c r="AN153"/>
      <c r="AO153"/>
      <c r="AP153"/>
    </row>
    <row r="154" spans="2:42" ht="17.25" customHeight="1" x14ac:dyDescent="0.25">
      <c r="B154"/>
      <c r="C154"/>
      <c r="D154"/>
      <c r="E154"/>
      <c r="F154"/>
      <c r="G154"/>
      <c r="H154"/>
      <c r="I154"/>
      <c r="J154"/>
      <c r="K154"/>
      <c r="L154"/>
      <c r="M154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  <c r="AJ154"/>
      <c r="AK154"/>
      <c r="AL154"/>
      <c r="AM154"/>
      <c r="AN154"/>
      <c r="AO154"/>
      <c r="AP154"/>
    </row>
    <row r="155" spans="2:42" ht="17.25" customHeight="1" x14ac:dyDescent="0.25">
      <c r="B155"/>
      <c r="C155"/>
      <c r="D155"/>
      <c r="E155"/>
      <c r="F155"/>
      <c r="G155"/>
      <c r="H155"/>
      <c r="I155"/>
      <c r="J155"/>
      <c r="K155"/>
      <c r="L155"/>
      <c r="M155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  <c r="AJ155"/>
      <c r="AK155"/>
      <c r="AL155"/>
      <c r="AM155"/>
      <c r="AN155"/>
      <c r="AO155"/>
      <c r="AP155"/>
    </row>
    <row r="156" spans="2:42" ht="17.25" customHeight="1" x14ac:dyDescent="0.25">
      <c r="B156"/>
      <c r="C156"/>
      <c r="D156"/>
      <c r="E156"/>
      <c r="F156"/>
      <c r="G156"/>
      <c r="H156"/>
      <c r="I156"/>
      <c r="J156"/>
      <c r="K156"/>
      <c r="L156"/>
      <c r="M156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  <c r="AJ156"/>
      <c r="AK156"/>
      <c r="AL156"/>
      <c r="AM156"/>
      <c r="AN156"/>
      <c r="AO156"/>
      <c r="AP156"/>
    </row>
    <row r="157" spans="2:42" ht="17.25" customHeight="1" x14ac:dyDescent="0.25">
      <c r="B157"/>
      <c r="C157"/>
      <c r="D157"/>
      <c r="E157"/>
      <c r="F157"/>
      <c r="G157"/>
      <c r="H157"/>
      <c r="I157"/>
      <c r="J157"/>
      <c r="K157"/>
      <c r="L157"/>
      <c r="M157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  <c r="AJ157"/>
      <c r="AK157"/>
      <c r="AL157"/>
      <c r="AM157"/>
      <c r="AN157"/>
      <c r="AO157"/>
      <c r="AP157"/>
    </row>
    <row r="158" spans="2:42" ht="17.25" customHeight="1" x14ac:dyDescent="0.25">
      <c r="B158"/>
      <c r="C158"/>
      <c r="D158"/>
      <c r="E158"/>
      <c r="F158"/>
      <c r="G158"/>
      <c r="H158"/>
      <c r="I158"/>
      <c r="J158"/>
      <c r="K158"/>
      <c r="L158"/>
      <c r="M158"/>
      <c r="N158"/>
      <c r="O158"/>
      <c r="P158"/>
      <c r="Q158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  <c r="AJ158"/>
      <c r="AK158"/>
      <c r="AL158"/>
      <c r="AM158"/>
      <c r="AN158"/>
      <c r="AO158"/>
      <c r="AP158"/>
    </row>
    <row r="159" spans="2:42" ht="17.25" customHeight="1" x14ac:dyDescent="0.25">
      <c r="B159"/>
      <c r="C159"/>
      <c r="D159"/>
      <c r="E159"/>
      <c r="F159"/>
      <c r="G159"/>
      <c r="H159"/>
      <c r="I159"/>
      <c r="J159"/>
      <c r="K159"/>
      <c r="L159"/>
      <c r="M159"/>
      <c r="N159"/>
      <c r="O159"/>
      <c r="P159"/>
      <c r="Q159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  <c r="AJ159"/>
      <c r="AK159"/>
      <c r="AL159"/>
      <c r="AM159"/>
      <c r="AN159"/>
      <c r="AO159"/>
      <c r="AP159"/>
    </row>
    <row r="160" spans="2:42" ht="17.25" customHeight="1" x14ac:dyDescent="0.25">
      <c r="B160"/>
      <c r="C160"/>
      <c r="D160"/>
      <c r="E160"/>
      <c r="F160"/>
      <c r="G160"/>
      <c r="H160"/>
      <c r="I160"/>
      <c r="J160"/>
      <c r="K160"/>
      <c r="L160"/>
      <c r="M160"/>
      <c r="N160"/>
      <c r="O160"/>
      <c r="P160"/>
      <c r="Q160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  <c r="AJ160"/>
      <c r="AK160"/>
      <c r="AL160"/>
      <c r="AM160"/>
      <c r="AN160"/>
      <c r="AO160"/>
      <c r="AP160"/>
    </row>
    <row r="161" spans="2:42" ht="17.25" customHeight="1" x14ac:dyDescent="0.25">
      <c r="B161"/>
      <c r="C161"/>
      <c r="D161"/>
      <c r="E161"/>
      <c r="F161"/>
      <c r="G161"/>
      <c r="H161"/>
      <c r="I161"/>
      <c r="J161"/>
      <c r="K161"/>
      <c r="L161"/>
      <c r="M161"/>
      <c r="N161"/>
      <c r="O161"/>
      <c r="P161"/>
      <c r="Q161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  <c r="AJ161"/>
      <c r="AK161"/>
      <c r="AL161"/>
      <c r="AM161"/>
      <c r="AN161"/>
      <c r="AO161"/>
      <c r="AP161"/>
    </row>
    <row r="162" spans="2:42" ht="17.25" customHeight="1" x14ac:dyDescent="0.25">
      <c r="B162"/>
      <c r="C162"/>
      <c r="D162"/>
      <c r="E162"/>
      <c r="F162"/>
      <c r="G162"/>
      <c r="H162"/>
      <c r="I162"/>
      <c r="J162"/>
      <c r="K162"/>
      <c r="L162"/>
      <c r="M162"/>
      <c r="N162"/>
      <c r="O162"/>
      <c r="P162"/>
      <c r="Q162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  <c r="AJ162"/>
      <c r="AK162"/>
      <c r="AL162"/>
      <c r="AM162"/>
      <c r="AN162"/>
      <c r="AO162"/>
      <c r="AP162"/>
    </row>
    <row r="163" spans="2:42" ht="17.25" customHeight="1" x14ac:dyDescent="0.25">
      <c r="B163"/>
      <c r="C163"/>
      <c r="D163"/>
      <c r="E163"/>
      <c r="F163"/>
      <c r="G163"/>
      <c r="H163"/>
      <c r="I163"/>
      <c r="J163"/>
      <c r="K163"/>
      <c r="L163"/>
      <c r="M163"/>
      <c r="N163"/>
      <c r="O163"/>
      <c r="P163"/>
      <c r="Q163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  <c r="AJ163"/>
      <c r="AK163"/>
      <c r="AL163"/>
      <c r="AM163"/>
      <c r="AN163"/>
      <c r="AO163"/>
      <c r="AP163"/>
    </row>
    <row r="164" spans="2:42" ht="17.25" customHeight="1" x14ac:dyDescent="0.25">
      <c r="B164"/>
      <c r="C164"/>
      <c r="D164"/>
      <c r="E164"/>
      <c r="F164"/>
      <c r="G164"/>
      <c r="H164"/>
      <c r="I164"/>
      <c r="J164"/>
      <c r="K164"/>
      <c r="L164"/>
      <c r="M164"/>
      <c r="N164"/>
      <c r="O164"/>
      <c r="P164"/>
      <c r="Q164"/>
      <c r="R164"/>
      <c r="S164"/>
      <c r="T164"/>
      <c r="U164"/>
      <c r="V164"/>
      <c r="W164"/>
      <c r="X164"/>
      <c r="Y164"/>
      <c r="Z164"/>
      <c r="AA164"/>
      <c r="AB164"/>
      <c r="AC164"/>
      <c r="AD164"/>
      <c r="AE164"/>
      <c r="AF164"/>
      <c r="AG164"/>
      <c r="AH164"/>
      <c r="AI164"/>
      <c r="AJ164"/>
      <c r="AK164"/>
      <c r="AL164"/>
      <c r="AM164"/>
      <c r="AN164"/>
      <c r="AO164"/>
      <c r="AP164"/>
    </row>
    <row r="165" spans="2:42" ht="17.25" customHeight="1" x14ac:dyDescent="0.25">
      <c r="B165"/>
      <c r="C165"/>
      <c r="D165"/>
      <c r="E165"/>
      <c r="F165"/>
      <c r="G165"/>
      <c r="H165"/>
      <c r="I165"/>
      <c r="J165"/>
      <c r="K165"/>
      <c r="L165"/>
      <c r="M165"/>
      <c r="N165"/>
      <c r="O165"/>
      <c r="P165"/>
      <c r="Q165"/>
      <c r="R165"/>
      <c r="S165"/>
      <c r="T165"/>
      <c r="U165"/>
      <c r="V165"/>
      <c r="W165"/>
      <c r="X165"/>
      <c r="Y165"/>
      <c r="Z165"/>
      <c r="AA165"/>
      <c r="AB165"/>
      <c r="AC165"/>
      <c r="AD165"/>
      <c r="AE165"/>
      <c r="AF165"/>
      <c r="AG165"/>
      <c r="AH165"/>
      <c r="AI165"/>
      <c r="AJ165"/>
      <c r="AK165"/>
      <c r="AL165"/>
      <c r="AM165"/>
      <c r="AN165"/>
      <c r="AO165"/>
      <c r="AP165"/>
    </row>
    <row r="166" spans="2:42" ht="17.25" customHeight="1" x14ac:dyDescent="0.25">
      <c r="B166"/>
      <c r="C166"/>
      <c r="D166"/>
      <c r="E166"/>
      <c r="F166"/>
      <c r="G166"/>
      <c r="H166"/>
      <c r="I166"/>
      <c r="J166"/>
      <c r="K166"/>
      <c r="L166"/>
      <c r="M166"/>
      <c r="N166"/>
      <c r="O166"/>
      <c r="P166"/>
      <c r="Q166"/>
      <c r="R166"/>
      <c r="S166"/>
      <c r="T166"/>
      <c r="U166"/>
      <c r="V166"/>
      <c r="W166"/>
      <c r="X166"/>
      <c r="Y166"/>
      <c r="Z166"/>
      <c r="AA166"/>
      <c r="AB166"/>
      <c r="AC166"/>
      <c r="AD166"/>
      <c r="AE166"/>
      <c r="AF166"/>
      <c r="AG166"/>
      <c r="AH166"/>
      <c r="AI166"/>
      <c r="AJ166"/>
      <c r="AK166"/>
      <c r="AL166"/>
      <c r="AM166"/>
      <c r="AN166"/>
      <c r="AO166"/>
      <c r="AP166"/>
    </row>
    <row r="167" spans="2:42" ht="17.25" customHeight="1" x14ac:dyDescent="0.25">
      <c r="B167"/>
      <c r="C167"/>
      <c r="D167"/>
      <c r="E167"/>
      <c r="F167"/>
      <c r="G167"/>
      <c r="H167"/>
      <c r="I167"/>
      <c r="J167"/>
      <c r="K167"/>
      <c r="L167"/>
      <c r="M167"/>
      <c r="N167"/>
      <c r="O167"/>
      <c r="P167"/>
      <c r="Q167"/>
      <c r="R167"/>
      <c r="S167"/>
      <c r="T167"/>
      <c r="U167"/>
      <c r="V167"/>
      <c r="W167"/>
      <c r="X167"/>
      <c r="Y167"/>
      <c r="Z167"/>
      <c r="AA167"/>
      <c r="AB167"/>
      <c r="AC167"/>
      <c r="AD167"/>
      <c r="AE167"/>
      <c r="AF167"/>
      <c r="AG167"/>
      <c r="AH167"/>
      <c r="AI167"/>
      <c r="AJ167"/>
      <c r="AK167"/>
      <c r="AL167"/>
      <c r="AM167"/>
      <c r="AN167"/>
      <c r="AO167"/>
      <c r="AP167"/>
    </row>
    <row r="168" spans="2:42" ht="17.25" customHeight="1" x14ac:dyDescent="0.25">
      <c r="B168"/>
      <c r="C168"/>
      <c r="D168"/>
      <c r="E168"/>
      <c r="F168"/>
      <c r="G168"/>
      <c r="H168"/>
      <c r="I168"/>
      <c r="J168"/>
      <c r="K168"/>
      <c r="L168"/>
      <c r="M168"/>
      <c r="N168"/>
      <c r="O168"/>
      <c r="P168"/>
      <c r="Q168"/>
      <c r="R168"/>
      <c r="S168"/>
      <c r="T168"/>
      <c r="U168"/>
      <c r="V168"/>
      <c r="W168"/>
      <c r="X168"/>
      <c r="Y168"/>
      <c r="Z168"/>
      <c r="AA168"/>
      <c r="AB168"/>
      <c r="AC168"/>
      <c r="AD168"/>
      <c r="AE168"/>
      <c r="AF168"/>
      <c r="AG168"/>
      <c r="AH168"/>
      <c r="AI168"/>
      <c r="AJ168"/>
      <c r="AK168"/>
      <c r="AL168"/>
      <c r="AM168"/>
      <c r="AN168"/>
      <c r="AO168"/>
      <c r="AP168"/>
    </row>
    <row r="169" spans="2:42" ht="17.25" customHeight="1" x14ac:dyDescent="0.25">
      <c r="B169"/>
      <c r="C169"/>
      <c r="D169"/>
      <c r="E169"/>
      <c r="F169"/>
      <c r="G169"/>
      <c r="H169"/>
      <c r="I169"/>
      <c r="J169"/>
      <c r="K169"/>
      <c r="L169"/>
      <c r="M169"/>
      <c r="N169"/>
      <c r="O169"/>
      <c r="P169"/>
      <c r="Q169"/>
      <c r="R169"/>
      <c r="S169"/>
      <c r="T169"/>
      <c r="U169"/>
      <c r="V169"/>
      <c r="W169"/>
      <c r="X169"/>
      <c r="Y169"/>
      <c r="Z169"/>
      <c r="AA169"/>
      <c r="AB169"/>
      <c r="AC169"/>
      <c r="AD169"/>
      <c r="AE169"/>
      <c r="AF169"/>
      <c r="AG169"/>
      <c r="AH169"/>
      <c r="AI169"/>
      <c r="AJ169"/>
      <c r="AK169"/>
      <c r="AL169"/>
      <c r="AM169"/>
      <c r="AN169"/>
      <c r="AO169"/>
      <c r="AP169"/>
    </row>
    <row r="170" spans="2:42" ht="17.25" customHeight="1" x14ac:dyDescent="0.25">
      <c r="B170"/>
      <c r="C170"/>
      <c r="D170"/>
      <c r="E170"/>
      <c r="F170"/>
      <c r="G170"/>
      <c r="H170"/>
      <c r="I170"/>
      <c r="J170"/>
      <c r="K170"/>
      <c r="L170"/>
      <c r="M170"/>
      <c r="N170"/>
      <c r="O170"/>
      <c r="P170"/>
      <c r="Q170"/>
      <c r="R170"/>
      <c r="S170"/>
      <c r="T170"/>
      <c r="U170"/>
      <c r="V170"/>
      <c r="W170"/>
      <c r="X170"/>
      <c r="Y170"/>
      <c r="Z170"/>
      <c r="AA170"/>
      <c r="AB170"/>
      <c r="AC170"/>
      <c r="AD170"/>
      <c r="AE170"/>
      <c r="AF170"/>
      <c r="AG170"/>
      <c r="AH170"/>
      <c r="AI170"/>
      <c r="AJ170"/>
      <c r="AK170"/>
      <c r="AL170"/>
      <c r="AM170"/>
      <c r="AN170"/>
      <c r="AO170"/>
      <c r="AP170"/>
    </row>
    <row r="171" spans="2:42" ht="17.25" customHeight="1" x14ac:dyDescent="0.25">
      <c r="B171"/>
      <c r="C171"/>
      <c r="D171"/>
      <c r="E171"/>
      <c r="F171"/>
      <c r="G171"/>
      <c r="H171"/>
      <c r="I171"/>
      <c r="J171"/>
      <c r="K171"/>
      <c r="L171"/>
      <c r="M171"/>
      <c r="N171"/>
      <c r="O171"/>
      <c r="P171"/>
      <c r="Q171"/>
      <c r="R171"/>
      <c r="S171"/>
      <c r="T171"/>
      <c r="U171"/>
      <c r="V171"/>
      <c r="W171"/>
      <c r="X171"/>
      <c r="Y171"/>
      <c r="Z171"/>
      <c r="AA171"/>
      <c r="AB171"/>
      <c r="AC171"/>
      <c r="AD171"/>
      <c r="AE171"/>
      <c r="AF171"/>
      <c r="AG171"/>
      <c r="AH171"/>
      <c r="AI171"/>
      <c r="AJ171"/>
      <c r="AK171"/>
      <c r="AL171"/>
      <c r="AM171"/>
      <c r="AN171"/>
      <c r="AO171"/>
      <c r="AP171"/>
    </row>
    <row r="172" spans="2:42" ht="17.25" customHeight="1" x14ac:dyDescent="0.25">
      <c r="B172"/>
      <c r="C172"/>
      <c r="D172"/>
      <c r="E172"/>
      <c r="F172"/>
      <c r="G172"/>
      <c r="H172"/>
      <c r="I172"/>
      <c r="J172"/>
      <c r="K172"/>
      <c r="L172"/>
      <c r="M172"/>
      <c r="N172"/>
      <c r="O172"/>
      <c r="P172"/>
      <c r="Q172"/>
      <c r="R172"/>
      <c r="S172"/>
      <c r="T172"/>
      <c r="U172"/>
      <c r="V172"/>
      <c r="W172"/>
      <c r="X172"/>
      <c r="Y172"/>
      <c r="Z172"/>
      <c r="AA172"/>
      <c r="AB172"/>
      <c r="AC172"/>
      <c r="AD172"/>
      <c r="AE172"/>
      <c r="AF172"/>
      <c r="AG172"/>
      <c r="AH172"/>
      <c r="AI172"/>
      <c r="AJ172"/>
      <c r="AK172"/>
      <c r="AL172"/>
      <c r="AM172"/>
      <c r="AN172"/>
      <c r="AO172"/>
      <c r="AP172"/>
    </row>
    <row r="173" spans="2:42" ht="17.25" customHeight="1" x14ac:dyDescent="0.25">
      <c r="B173"/>
      <c r="C173"/>
      <c r="D173"/>
      <c r="E173"/>
      <c r="F173"/>
      <c r="G173"/>
      <c r="H173"/>
      <c r="I173"/>
      <c r="J173"/>
      <c r="K173"/>
      <c r="L173"/>
      <c r="M173"/>
      <c r="N173"/>
      <c r="O173"/>
      <c r="P173"/>
      <c r="Q173"/>
      <c r="R173"/>
      <c r="S173"/>
      <c r="T173"/>
      <c r="U173"/>
      <c r="V173"/>
      <c r="W173"/>
      <c r="X173"/>
      <c r="Y173"/>
      <c r="Z173"/>
      <c r="AA173"/>
      <c r="AB173"/>
      <c r="AC173"/>
      <c r="AD173"/>
      <c r="AE173"/>
      <c r="AF173"/>
      <c r="AG173"/>
      <c r="AH173"/>
      <c r="AI173"/>
      <c r="AJ173"/>
      <c r="AK173"/>
      <c r="AL173"/>
      <c r="AM173"/>
      <c r="AN173"/>
      <c r="AO173"/>
      <c r="AP173"/>
    </row>
    <row r="174" spans="2:42" ht="17.25" customHeight="1" x14ac:dyDescent="0.25">
      <c r="B174"/>
      <c r="C174"/>
      <c r="D174"/>
      <c r="E174"/>
      <c r="F174"/>
      <c r="G174"/>
      <c r="H174"/>
      <c r="I174"/>
      <c r="J174"/>
      <c r="K174"/>
      <c r="L174"/>
      <c r="M174"/>
      <c r="N174"/>
      <c r="O174"/>
      <c r="P174"/>
      <c r="Q174"/>
      <c r="R174"/>
      <c r="S174"/>
      <c r="T174"/>
      <c r="U174"/>
      <c r="V174"/>
      <c r="W174"/>
      <c r="X174"/>
      <c r="Y174"/>
      <c r="Z174"/>
      <c r="AA174"/>
      <c r="AB174"/>
      <c r="AC174"/>
      <c r="AD174"/>
      <c r="AE174"/>
      <c r="AF174"/>
      <c r="AG174"/>
      <c r="AH174"/>
      <c r="AI174"/>
      <c r="AJ174"/>
      <c r="AK174"/>
      <c r="AL174"/>
      <c r="AM174"/>
      <c r="AN174"/>
      <c r="AO174"/>
      <c r="AP174"/>
    </row>
    <row r="175" spans="2:42" ht="17.25" customHeight="1" x14ac:dyDescent="0.25"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  <c r="Q175"/>
      <c r="R175"/>
      <c r="S175"/>
      <c r="T175"/>
      <c r="U175"/>
      <c r="V175"/>
      <c r="W175"/>
      <c r="X175"/>
      <c r="Y175"/>
      <c r="Z175"/>
      <c r="AA175"/>
      <c r="AB175"/>
      <c r="AC175"/>
      <c r="AD175"/>
      <c r="AE175"/>
      <c r="AF175"/>
      <c r="AG175"/>
      <c r="AH175"/>
      <c r="AI175"/>
      <c r="AJ175"/>
      <c r="AK175"/>
      <c r="AL175"/>
      <c r="AM175"/>
      <c r="AN175"/>
      <c r="AO175"/>
      <c r="AP175"/>
    </row>
    <row r="176" spans="2:42" ht="17.25" customHeight="1" x14ac:dyDescent="0.25">
      <c r="B176"/>
      <c r="C176"/>
      <c r="D176"/>
      <c r="E176"/>
      <c r="F176"/>
      <c r="G176"/>
      <c r="H176"/>
      <c r="I176"/>
      <c r="J176"/>
      <c r="K176"/>
      <c r="L176"/>
      <c r="M176"/>
      <c r="N176"/>
      <c r="O176"/>
      <c r="P176"/>
      <c r="Q176"/>
      <c r="R176"/>
      <c r="S176"/>
      <c r="T176"/>
      <c r="U176"/>
      <c r="V176"/>
      <c r="W176"/>
      <c r="X176"/>
      <c r="Y176"/>
      <c r="Z176"/>
      <c r="AA176"/>
      <c r="AB176"/>
      <c r="AC176"/>
      <c r="AD176"/>
      <c r="AE176"/>
      <c r="AF176"/>
      <c r="AG176"/>
      <c r="AH176"/>
      <c r="AI176"/>
      <c r="AJ176"/>
      <c r="AK176"/>
      <c r="AL176"/>
      <c r="AM176"/>
      <c r="AN176"/>
      <c r="AO176"/>
      <c r="AP176"/>
    </row>
    <row r="177" spans="2:42" ht="17.25" customHeight="1" x14ac:dyDescent="0.25">
      <c r="B177"/>
      <c r="C177"/>
      <c r="D177"/>
      <c r="E177"/>
      <c r="F177"/>
      <c r="G177"/>
      <c r="H177"/>
      <c r="I177"/>
      <c r="J177"/>
      <c r="K177"/>
      <c r="L177"/>
      <c r="M177"/>
      <c r="N177"/>
      <c r="O177"/>
      <c r="P177"/>
      <c r="Q177"/>
      <c r="R177"/>
      <c r="S177"/>
      <c r="T177"/>
      <c r="U177"/>
      <c r="V177"/>
      <c r="W177"/>
      <c r="X177"/>
      <c r="Y177"/>
      <c r="Z177"/>
      <c r="AA177"/>
      <c r="AB177"/>
      <c r="AC177"/>
      <c r="AD177"/>
      <c r="AE177"/>
      <c r="AF177"/>
      <c r="AG177"/>
      <c r="AH177"/>
      <c r="AI177"/>
      <c r="AJ177"/>
      <c r="AK177"/>
      <c r="AL177"/>
      <c r="AM177"/>
      <c r="AN177"/>
      <c r="AO177"/>
      <c r="AP177"/>
    </row>
    <row r="178" spans="2:42" ht="17.25" customHeight="1" x14ac:dyDescent="0.25">
      <c r="B178"/>
      <c r="C178"/>
      <c r="D178"/>
      <c r="E178"/>
      <c r="F178"/>
      <c r="G178"/>
      <c r="H178"/>
      <c r="I178"/>
      <c r="J178"/>
      <c r="K178"/>
      <c r="L178"/>
      <c r="M178"/>
      <c r="N178"/>
      <c r="O178"/>
      <c r="P178"/>
      <c r="Q178"/>
      <c r="R178"/>
      <c r="S178"/>
      <c r="T178"/>
      <c r="U178"/>
      <c r="V178"/>
      <c r="W178"/>
      <c r="X178"/>
      <c r="Y178"/>
      <c r="Z178"/>
      <c r="AA178"/>
      <c r="AB178"/>
      <c r="AC178"/>
      <c r="AD178"/>
      <c r="AE178"/>
      <c r="AF178"/>
      <c r="AG178"/>
      <c r="AH178"/>
      <c r="AI178"/>
      <c r="AJ178"/>
      <c r="AK178"/>
      <c r="AL178"/>
      <c r="AM178"/>
      <c r="AN178"/>
      <c r="AO178"/>
      <c r="AP178"/>
    </row>
    <row r="179" spans="2:42" ht="17.25" customHeight="1" x14ac:dyDescent="0.25">
      <c r="B179"/>
      <c r="C179"/>
      <c r="D179"/>
      <c r="E179"/>
      <c r="F179"/>
      <c r="G179"/>
      <c r="H179"/>
      <c r="I179"/>
      <c r="J179"/>
      <c r="K179"/>
      <c r="L179"/>
      <c r="M179"/>
      <c r="N179"/>
      <c r="O179"/>
      <c r="P179"/>
      <c r="Q179"/>
      <c r="R179"/>
      <c r="S179"/>
      <c r="T179"/>
      <c r="U179"/>
      <c r="V179"/>
      <c r="W179"/>
      <c r="X179"/>
      <c r="Y179"/>
      <c r="Z179"/>
      <c r="AA179"/>
      <c r="AB179"/>
      <c r="AC179"/>
      <c r="AD179"/>
      <c r="AE179"/>
      <c r="AF179"/>
      <c r="AG179"/>
      <c r="AH179"/>
      <c r="AI179"/>
      <c r="AJ179"/>
      <c r="AK179"/>
      <c r="AL179"/>
      <c r="AM179"/>
      <c r="AN179"/>
      <c r="AO179"/>
      <c r="AP179"/>
    </row>
    <row r="180" spans="2:42" ht="17.25" customHeight="1" x14ac:dyDescent="0.25">
      <c r="B180"/>
      <c r="C180"/>
      <c r="D180"/>
      <c r="E180"/>
      <c r="F180"/>
      <c r="G180"/>
      <c r="H180"/>
      <c r="I180"/>
      <c r="J180"/>
      <c r="K180"/>
      <c r="L180"/>
      <c r="M180"/>
      <c r="N180"/>
      <c r="O180"/>
      <c r="P180"/>
      <c r="Q180"/>
      <c r="R180"/>
      <c r="S180"/>
      <c r="T180"/>
      <c r="U180"/>
      <c r="V180"/>
      <c r="W180"/>
      <c r="X180"/>
      <c r="Y180"/>
      <c r="Z180"/>
      <c r="AA180"/>
      <c r="AB180"/>
      <c r="AC180"/>
      <c r="AD180"/>
      <c r="AE180"/>
      <c r="AF180"/>
      <c r="AG180"/>
      <c r="AH180"/>
      <c r="AI180"/>
      <c r="AJ180"/>
      <c r="AK180"/>
      <c r="AL180"/>
      <c r="AM180"/>
      <c r="AN180"/>
      <c r="AO180"/>
      <c r="AP180"/>
    </row>
    <row r="181" spans="2:42" ht="17.25" customHeight="1" x14ac:dyDescent="0.25">
      <c r="B181"/>
      <c r="C181"/>
      <c r="D181"/>
      <c r="E181"/>
      <c r="F181"/>
      <c r="G181"/>
      <c r="H181"/>
      <c r="I181"/>
      <c r="J181"/>
      <c r="K181"/>
      <c r="L181"/>
      <c r="M181"/>
      <c r="N181"/>
      <c r="O181"/>
      <c r="P181"/>
      <c r="Q181"/>
      <c r="R181"/>
      <c r="S181"/>
      <c r="T181"/>
      <c r="U181"/>
      <c r="V181"/>
      <c r="W181"/>
      <c r="X181"/>
      <c r="Y181"/>
      <c r="Z181"/>
      <c r="AA181"/>
      <c r="AB181"/>
      <c r="AC181"/>
      <c r="AD181"/>
      <c r="AE181"/>
      <c r="AF181"/>
      <c r="AG181"/>
      <c r="AH181"/>
      <c r="AI181"/>
      <c r="AJ181"/>
      <c r="AK181"/>
      <c r="AL181"/>
      <c r="AM181"/>
      <c r="AN181"/>
      <c r="AO181"/>
      <c r="AP181"/>
    </row>
    <row r="182" spans="2:42" ht="17.25" customHeight="1" x14ac:dyDescent="0.25">
      <c r="B182"/>
      <c r="C182"/>
      <c r="D182"/>
      <c r="E182"/>
      <c r="F182"/>
      <c r="G182"/>
      <c r="H182"/>
      <c r="I182"/>
      <c r="J182"/>
      <c r="K182"/>
      <c r="L182"/>
      <c r="M182"/>
      <c r="N182"/>
      <c r="O182"/>
      <c r="P182"/>
      <c r="Q182"/>
      <c r="R182"/>
      <c r="S182"/>
      <c r="T182"/>
      <c r="U182"/>
      <c r="V182"/>
      <c r="W182"/>
      <c r="X182"/>
      <c r="Y182"/>
      <c r="Z182"/>
      <c r="AA182"/>
      <c r="AB182"/>
      <c r="AC182"/>
      <c r="AD182"/>
      <c r="AE182"/>
      <c r="AF182"/>
      <c r="AG182"/>
      <c r="AH182"/>
      <c r="AI182"/>
      <c r="AJ182"/>
      <c r="AK182"/>
      <c r="AL182"/>
      <c r="AM182"/>
      <c r="AN182"/>
      <c r="AO182"/>
      <c r="AP182"/>
    </row>
    <row r="183" spans="2:42" ht="17.25" customHeight="1" x14ac:dyDescent="0.25">
      <c r="B183"/>
      <c r="C183"/>
      <c r="D183"/>
      <c r="E183"/>
      <c r="F183"/>
      <c r="G183"/>
      <c r="H183"/>
      <c r="I183"/>
      <c r="J183"/>
      <c r="K183"/>
      <c r="L183"/>
      <c r="M183"/>
      <c r="N183"/>
      <c r="O183"/>
      <c r="P183"/>
      <c r="Q183"/>
      <c r="R183"/>
      <c r="S183"/>
      <c r="T183"/>
      <c r="U183"/>
      <c r="V183"/>
      <c r="W183"/>
      <c r="X183"/>
      <c r="Y183"/>
      <c r="Z183"/>
      <c r="AA183"/>
      <c r="AB183"/>
      <c r="AC183"/>
      <c r="AD183"/>
      <c r="AE183"/>
      <c r="AF183"/>
      <c r="AG183"/>
      <c r="AH183"/>
      <c r="AI183"/>
      <c r="AJ183"/>
      <c r="AK183"/>
      <c r="AL183"/>
      <c r="AM183"/>
      <c r="AN183"/>
      <c r="AO183"/>
      <c r="AP183"/>
    </row>
    <row r="184" spans="2:42" ht="17.25" customHeight="1" x14ac:dyDescent="0.25">
      <c r="B184"/>
      <c r="C184"/>
      <c r="D184"/>
      <c r="E184"/>
      <c r="F184"/>
      <c r="G184"/>
      <c r="H184"/>
      <c r="I184"/>
      <c r="J184"/>
      <c r="K184"/>
      <c r="L184"/>
      <c r="M184"/>
      <c r="N184"/>
      <c r="O184"/>
      <c r="P184"/>
      <c r="Q184"/>
      <c r="R184"/>
      <c r="S184"/>
      <c r="T184"/>
      <c r="U184"/>
      <c r="V184"/>
      <c r="W184"/>
      <c r="X184"/>
      <c r="Y184"/>
      <c r="Z184"/>
      <c r="AA184"/>
      <c r="AB184"/>
      <c r="AC184"/>
      <c r="AD184"/>
      <c r="AE184"/>
      <c r="AF184"/>
      <c r="AG184"/>
      <c r="AH184"/>
      <c r="AI184"/>
      <c r="AJ184"/>
      <c r="AK184"/>
      <c r="AL184"/>
      <c r="AM184"/>
      <c r="AN184"/>
      <c r="AO184"/>
      <c r="AP184"/>
    </row>
    <row r="185" spans="2:42" ht="17.25" customHeight="1" x14ac:dyDescent="0.25">
      <c r="B185"/>
      <c r="C185"/>
      <c r="D185"/>
      <c r="E185"/>
      <c r="F185"/>
      <c r="G185"/>
      <c r="H185"/>
      <c r="I185"/>
      <c r="J185"/>
      <c r="K185"/>
      <c r="L185"/>
      <c r="M185"/>
      <c r="N185"/>
      <c r="O185"/>
      <c r="P185"/>
      <c r="Q185"/>
      <c r="R185"/>
      <c r="S185"/>
      <c r="T185"/>
      <c r="U185"/>
      <c r="V185"/>
      <c r="W185"/>
      <c r="X185"/>
      <c r="Y185"/>
      <c r="Z185"/>
      <c r="AA185"/>
      <c r="AB185"/>
      <c r="AC185"/>
      <c r="AD185"/>
      <c r="AE185"/>
      <c r="AF185"/>
      <c r="AG185"/>
      <c r="AH185"/>
      <c r="AI185"/>
      <c r="AJ185"/>
      <c r="AK185"/>
      <c r="AL185"/>
      <c r="AM185"/>
      <c r="AN185"/>
      <c r="AO185"/>
      <c r="AP185"/>
    </row>
    <row r="186" spans="2:42" ht="17.25" customHeight="1" x14ac:dyDescent="0.25">
      <c r="B186"/>
      <c r="C186"/>
      <c r="D186"/>
      <c r="E186"/>
      <c r="F186"/>
      <c r="G186"/>
      <c r="H186"/>
      <c r="I186"/>
      <c r="J186"/>
      <c r="K186"/>
      <c r="L186"/>
      <c r="M186"/>
      <c r="N186"/>
      <c r="O186"/>
      <c r="P186"/>
      <c r="Q186"/>
      <c r="R186"/>
      <c r="S186"/>
      <c r="T186"/>
      <c r="U186"/>
      <c r="V186"/>
      <c r="W186"/>
      <c r="X186"/>
      <c r="Y186"/>
      <c r="Z186"/>
      <c r="AA186"/>
      <c r="AB186"/>
      <c r="AC186"/>
      <c r="AD186"/>
      <c r="AE186"/>
      <c r="AF186"/>
      <c r="AG186"/>
      <c r="AH186"/>
      <c r="AI186"/>
      <c r="AJ186"/>
      <c r="AK186"/>
      <c r="AL186"/>
      <c r="AM186"/>
      <c r="AN186"/>
      <c r="AO186"/>
      <c r="AP186"/>
    </row>
    <row r="187" spans="2:42" ht="17.25" customHeight="1" x14ac:dyDescent="0.25">
      <c r="B187"/>
      <c r="C187"/>
      <c r="D187"/>
      <c r="E187"/>
      <c r="F187"/>
      <c r="G187"/>
      <c r="H187"/>
      <c r="I187"/>
      <c r="J187"/>
      <c r="K187"/>
      <c r="L187"/>
      <c r="M187"/>
      <c r="N187"/>
      <c r="O187"/>
      <c r="P187"/>
      <c r="Q187"/>
      <c r="R187"/>
      <c r="S187"/>
      <c r="T187"/>
      <c r="U187"/>
      <c r="V187"/>
      <c r="W187"/>
      <c r="X187"/>
      <c r="Y187"/>
      <c r="Z187"/>
      <c r="AA187"/>
      <c r="AB187"/>
      <c r="AC187"/>
      <c r="AD187"/>
      <c r="AE187"/>
      <c r="AF187"/>
      <c r="AG187"/>
      <c r="AH187"/>
      <c r="AI187"/>
      <c r="AJ187"/>
      <c r="AK187"/>
      <c r="AL187"/>
      <c r="AM187"/>
      <c r="AN187"/>
      <c r="AO187"/>
      <c r="AP187"/>
    </row>
    <row r="188" spans="2:42" ht="17.25" customHeight="1" x14ac:dyDescent="0.25">
      <c r="B188"/>
      <c r="C188"/>
      <c r="D188"/>
      <c r="E188"/>
      <c r="F188"/>
      <c r="G188"/>
      <c r="H188"/>
      <c r="I188"/>
      <c r="J188"/>
      <c r="K188"/>
      <c r="L188"/>
      <c r="M188"/>
      <c r="N188"/>
      <c r="O188"/>
      <c r="P188"/>
      <c r="Q188"/>
      <c r="R188"/>
      <c r="S188"/>
      <c r="T188"/>
      <c r="U188"/>
      <c r="V188"/>
      <c r="W188"/>
      <c r="X188"/>
      <c r="Y188"/>
      <c r="Z188"/>
      <c r="AA188"/>
      <c r="AB188"/>
      <c r="AC188"/>
      <c r="AD188"/>
      <c r="AE188"/>
      <c r="AF188"/>
      <c r="AG188"/>
      <c r="AH188"/>
      <c r="AI188"/>
      <c r="AJ188"/>
      <c r="AK188"/>
      <c r="AL188"/>
      <c r="AM188"/>
      <c r="AN188"/>
      <c r="AO188"/>
      <c r="AP188"/>
    </row>
    <row r="189" spans="2:42" ht="17.25" customHeight="1" x14ac:dyDescent="0.25">
      <c r="B189"/>
      <c r="C189"/>
      <c r="D189"/>
      <c r="E189"/>
      <c r="F189"/>
      <c r="G189"/>
      <c r="H189"/>
      <c r="I189"/>
      <c r="J189"/>
      <c r="K189"/>
      <c r="L189"/>
      <c r="M189"/>
      <c r="N189"/>
      <c r="O189"/>
      <c r="P189"/>
      <c r="Q189"/>
      <c r="R189"/>
      <c r="S189"/>
      <c r="T189"/>
      <c r="U189"/>
      <c r="V189"/>
      <c r="W189"/>
      <c r="X189"/>
      <c r="Y189"/>
      <c r="Z189"/>
      <c r="AA189"/>
      <c r="AB189"/>
      <c r="AC189"/>
      <c r="AD189"/>
      <c r="AE189"/>
      <c r="AF189"/>
      <c r="AG189"/>
      <c r="AH189"/>
      <c r="AI189"/>
      <c r="AJ189"/>
      <c r="AK189"/>
      <c r="AL189"/>
      <c r="AM189"/>
      <c r="AN189"/>
      <c r="AO189"/>
      <c r="AP189"/>
    </row>
    <row r="190" spans="2:42" ht="17.25" customHeight="1" x14ac:dyDescent="0.25">
      <c r="B190"/>
      <c r="C190"/>
      <c r="D190"/>
      <c r="E190"/>
      <c r="F190"/>
      <c r="G190"/>
      <c r="H190"/>
      <c r="I190"/>
      <c r="J190"/>
      <c r="K190"/>
      <c r="L190"/>
      <c r="M190"/>
      <c r="N190"/>
      <c r="O190"/>
      <c r="P190"/>
      <c r="Q190"/>
      <c r="R190"/>
      <c r="S190"/>
      <c r="T190"/>
      <c r="U190"/>
      <c r="V190"/>
      <c r="W190"/>
      <c r="X190"/>
      <c r="Y190"/>
      <c r="Z190"/>
      <c r="AA190"/>
      <c r="AB190"/>
      <c r="AC190"/>
      <c r="AD190"/>
      <c r="AE190"/>
      <c r="AF190"/>
      <c r="AG190"/>
      <c r="AH190"/>
      <c r="AI190"/>
      <c r="AJ190"/>
      <c r="AK190"/>
      <c r="AL190"/>
      <c r="AM190"/>
      <c r="AN190"/>
      <c r="AO190"/>
      <c r="AP190"/>
    </row>
    <row r="191" spans="2:42" ht="17.25" customHeight="1" x14ac:dyDescent="0.25">
      <c r="B191"/>
      <c r="C191"/>
      <c r="D191"/>
      <c r="E191"/>
      <c r="F191"/>
      <c r="G191"/>
      <c r="H191"/>
      <c r="I191"/>
      <c r="J191"/>
      <c r="K191"/>
      <c r="L191"/>
      <c r="M191"/>
      <c r="N191"/>
      <c r="O191"/>
      <c r="P191"/>
      <c r="Q191"/>
      <c r="R191"/>
      <c r="S191"/>
      <c r="T191"/>
      <c r="U191"/>
      <c r="V191"/>
      <c r="W191"/>
      <c r="X191"/>
      <c r="Y191"/>
      <c r="Z191"/>
      <c r="AA191"/>
      <c r="AB191"/>
      <c r="AC191"/>
      <c r="AD191"/>
      <c r="AE191"/>
      <c r="AF191"/>
      <c r="AG191"/>
      <c r="AH191"/>
      <c r="AI191"/>
      <c r="AJ191"/>
      <c r="AK191"/>
      <c r="AL191"/>
      <c r="AM191"/>
      <c r="AN191"/>
      <c r="AO191"/>
      <c r="AP191"/>
    </row>
    <row r="192" spans="2:42" ht="17.25" customHeight="1" x14ac:dyDescent="0.25">
      <c r="B192"/>
      <c r="C192"/>
      <c r="D192"/>
      <c r="E192"/>
      <c r="F192"/>
      <c r="G192"/>
      <c r="H192"/>
      <c r="I192"/>
      <c r="J192"/>
      <c r="K192"/>
      <c r="L192"/>
      <c r="M192"/>
      <c r="N192"/>
      <c r="O192"/>
      <c r="P192"/>
      <c r="Q192"/>
      <c r="R192"/>
      <c r="S192"/>
      <c r="T192"/>
      <c r="U192"/>
      <c r="V192"/>
      <c r="W192"/>
      <c r="X192"/>
      <c r="Y192"/>
      <c r="Z192"/>
      <c r="AA192"/>
      <c r="AB192"/>
      <c r="AC192"/>
      <c r="AD192"/>
      <c r="AE192"/>
      <c r="AF192"/>
      <c r="AG192"/>
      <c r="AH192"/>
      <c r="AI192"/>
      <c r="AJ192"/>
      <c r="AK192"/>
      <c r="AL192"/>
      <c r="AM192"/>
      <c r="AN192"/>
      <c r="AO192"/>
      <c r="AP192"/>
    </row>
    <row r="193" spans="2:42" ht="17.25" customHeight="1" x14ac:dyDescent="0.25">
      <c r="B193"/>
      <c r="C193"/>
      <c r="D193"/>
      <c r="E193"/>
      <c r="F193"/>
      <c r="G193"/>
      <c r="H193"/>
      <c r="I193"/>
      <c r="J193"/>
      <c r="K193"/>
      <c r="L193"/>
      <c r="M193"/>
      <c r="N193"/>
      <c r="O193"/>
      <c r="P193"/>
      <c r="Q193"/>
      <c r="R193"/>
      <c r="S193"/>
      <c r="T193"/>
      <c r="U193"/>
      <c r="V193"/>
      <c r="W193"/>
      <c r="X193"/>
      <c r="Y193"/>
      <c r="Z193"/>
      <c r="AA193"/>
      <c r="AB193"/>
      <c r="AC193"/>
      <c r="AD193"/>
      <c r="AE193"/>
      <c r="AF193"/>
      <c r="AG193"/>
      <c r="AH193"/>
      <c r="AI193"/>
      <c r="AJ193"/>
      <c r="AK193"/>
      <c r="AL193"/>
      <c r="AM193"/>
      <c r="AN193"/>
      <c r="AO193"/>
      <c r="AP193"/>
    </row>
    <row r="194" spans="2:42" ht="17.25" customHeight="1" x14ac:dyDescent="0.25">
      <c r="B194"/>
      <c r="C194"/>
      <c r="D194"/>
      <c r="E194"/>
      <c r="F194"/>
      <c r="G194"/>
      <c r="H194"/>
      <c r="I194"/>
      <c r="J194"/>
      <c r="K194"/>
      <c r="L194"/>
      <c r="M194"/>
      <c r="N194"/>
      <c r="O194"/>
      <c r="P194"/>
      <c r="Q194"/>
      <c r="R194"/>
      <c r="S194"/>
      <c r="T194"/>
      <c r="U194"/>
      <c r="V194"/>
      <c r="W194"/>
      <c r="X194"/>
      <c r="Y194"/>
      <c r="Z194"/>
      <c r="AA194"/>
      <c r="AB194"/>
      <c r="AC194"/>
      <c r="AD194"/>
      <c r="AE194"/>
      <c r="AF194"/>
      <c r="AG194"/>
      <c r="AH194"/>
      <c r="AI194"/>
      <c r="AJ194"/>
      <c r="AK194"/>
      <c r="AL194"/>
      <c r="AM194"/>
      <c r="AN194"/>
      <c r="AO194"/>
      <c r="AP194"/>
    </row>
    <row r="195" spans="2:42" ht="17.25" customHeight="1" x14ac:dyDescent="0.25">
      <c r="B195"/>
      <c r="C195"/>
      <c r="D195"/>
      <c r="E195"/>
      <c r="F195"/>
      <c r="G195"/>
      <c r="H195"/>
      <c r="I195"/>
      <c r="J195"/>
      <c r="K195"/>
      <c r="L195"/>
      <c r="M195"/>
      <c r="N195"/>
      <c r="O195"/>
      <c r="P195"/>
      <c r="Q195"/>
      <c r="R195"/>
      <c r="S195"/>
      <c r="T195"/>
      <c r="U195"/>
      <c r="V195"/>
      <c r="W195"/>
      <c r="X195"/>
      <c r="Y195"/>
      <c r="Z195"/>
      <c r="AA195"/>
      <c r="AB195"/>
      <c r="AC195"/>
      <c r="AD195"/>
      <c r="AE195"/>
      <c r="AF195"/>
      <c r="AG195"/>
      <c r="AH195"/>
      <c r="AI195"/>
      <c r="AJ195"/>
      <c r="AK195"/>
      <c r="AL195"/>
      <c r="AM195"/>
      <c r="AN195"/>
      <c r="AO195"/>
      <c r="AP195"/>
    </row>
    <row r="196" spans="2:42" ht="17.25" customHeight="1" x14ac:dyDescent="0.25">
      <c r="B196"/>
      <c r="C196"/>
      <c r="D196"/>
      <c r="E196"/>
      <c r="F196"/>
      <c r="G196"/>
      <c r="H196"/>
      <c r="I196"/>
      <c r="J196"/>
      <c r="K196"/>
      <c r="L196"/>
      <c r="M196"/>
      <c r="N196"/>
      <c r="O196"/>
      <c r="P196"/>
      <c r="Q196"/>
      <c r="R196"/>
      <c r="S196"/>
      <c r="T196"/>
      <c r="U196"/>
      <c r="V196"/>
      <c r="W196"/>
      <c r="X196"/>
      <c r="Y196"/>
      <c r="Z196"/>
      <c r="AA196"/>
      <c r="AB196"/>
      <c r="AC196"/>
      <c r="AD196"/>
      <c r="AE196"/>
      <c r="AF196"/>
      <c r="AG196"/>
      <c r="AH196"/>
      <c r="AI196"/>
      <c r="AJ196"/>
      <c r="AK196"/>
      <c r="AL196"/>
      <c r="AM196"/>
      <c r="AN196"/>
      <c r="AO196"/>
      <c r="AP196"/>
    </row>
    <row r="197" spans="2:42" ht="17.25" customHeight="1" x14ac:dyDescent="0.25">
      <c r="B197"/>
      <c r="C197"/>
      <c r="D197"/>
      <c r="E197"/>
      <c r="F197"/>
      <c r="G197"/>
      <c r="H197"/>
      <c r="I197"/>
      <c r="J197"/>
      <c r="K197"/>
      <c r="L197"/>
      <c r="M197"/>
      <c r="N197"/>
      <c r="O197"/>
      <c r="P197"/>
      <c r="Q197"/>
      <c r="R197"/>
      <c r="S197"/>
      <c r="T197"/>
      <c r="U197"/>
      <c r="V197"/>
      <c r="W197"/>
      <c r="X197"/>
      <c r="Y197"/>
      <c r="Z197"/>
      <c r="AA197"/>
      <c r="AB197"/>
      <c r="AC197"/>
      <c r="AD197"/>
      <c r="AE197"/>
      <c r="AF197"/>
      <c r="AG197"/>
      <c r="AH197"/>
      <c r="AI197"/>
      <c r="AJ197"/>
      <c r="AK197"/>
      <c r="AL197"/>
      <c r="AM197"/>
      <c r="AN197"/>
      <c r="AO197"/>
      <c r="AP197"/>
    </row>
    <row r="198" spans="2:42" ht="17.25" customHeight="1" x14ac:dyDescent="0.25">
      <c r="B198"/>
      <c r="C198"/>
      <c r="D198"/>
      <c r="E198"/>
      <c r="F198"/>
      <c r="G198"/>
      <c r="H198"/>
      <c r="I198"/>
      <c r="J198"/>
      <c r="K198"/>
      <c r="L198"/>
      <c r="M198"/>
      <c r="N198"/>
      <c r="O198"/>
      <c r="P198"/>
      <c r="Q198"/>
      <c r="R198"/>
      <c r="S198"/>
      <c r="T198"/>
      <c r="U198"/>
      <c r="V198"/>
      <c r="W198"/>
      <c r="X198"/>
      <c r="Y198"/>
      <c r="Z198"/>
      <c r="AA198"/>
      <c r="AB198"/>
      <c r="AC198"/>
      <c r="AD198"/>
      <c r="AE198"/>
      <c r="AF198"/>
      <c r="AG198"/>
      <c r="AH198"/>
      <c r="AI198"/>
      <c r="AJ198"/>
      <c r="AK198"/>
      <c r="AL198"/>
      <c r="AM198"/>
      <c r="AN198"/>
      <c r="AO198"/>
      <c r="AP198"/>
    </row>
    <row r="199" spans="2:42" ht="17.25" customHeight="1" x14ac:dyDescent="0.25">
      <c r="B199"/>
      <c r="C199"/>
      <c r="D199"/>
      <c r="E199"/>
      <c r="F199"/>
      <c r="G199"/>
      <c r="H199"/>
      <c r="I199"/>
      <c r="J199"/>
      <c r="K199"/>
      <c r="L199"/>
      <c r="M199"/>
      <c r="N199"/>
      <c r="O199"/>
      <c r="P199"/>
      <c r="Q199"/>
      <c r="R199"/>
      <c r="S199"/>
      <c r="T199"/>
      <c r="U199"/>
      <c r="V199"/>
      <c r="W199"/>
      <c r="X199"/>
      <c r="Y199"/>
      <c r="Z199"/>
      <c r="AA199"/>
      <c r="AB199"/>
      <c r="AC199"/>
      <c r="AD199"/>
      <c r="AE199"/>
      <c r="AF199"/>
      <c r="AG199"/>
      <c r="AH199"/>
      <c r="AI199"/>
      <c r="AJ199"/>
      <c r="AK199"/>
      <c r="AL199"/>
      <c r="AM199"/>
      <c r="AN199"/>
      <c r="AO199"/>
      <c r="AP199"/>
    </row>
    <row r="200" spans="2:42" ht="17.25" customHeight="1" x14ac:dyDescent="0.25">
      <c r="B200"/>
      <c r="C200"/>
      <c r="D200"/>
      <c r="E200"/>
      <c r="F200"/>
      <c r="G200"/>
      <c r="H200"/>
    </row>
  </sheetData>
  <mergeCells count="1">
    <mergeCell ref="B2:H2"/>
  </mergeCells>
  <conditionalFormatting sqref="D4:F22">
    <cfRule type="colorScale" priority="63">
      <colorScale>
        <cfvo type="num" val="0"/>
        <cfvo type="percent" val="50"/>
        <cfvo type="max"/>
        <color theme="0"/>
        <color rgb="FFFFEB84"/>
        <color rgb="FFF8696B"/>
      </colorScale>
    </cfRule>
    <cfRule type="cellIs" dxfId="2" priority="64" operator="equal">
      <formula>0</formula>
    </cfRule>
  </conditionalFormatting>
  <pageMargins left="0.75" right="0.75" top="1" bottom="1" header="0.5" footer="0.5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1</vt:i4>
      </vt:variant>
    </vt:vector>
  </HeadingPairs>
  <TitlesOfParts>
    <vt:vector size="10" baseType="lpstr">
      <vt:lpstr>Base-Nodos</vt:lpstr>
      <vt:lpstr>Base-Canales</vt:lpstr>
      <vt:lpstr>Red</vt:lpstr>
      <vt:lpstr>Grafo Visual</vt:lpstr>
      <vt:lpstr>MatrizDeAdyacencia</vt:lpstr>
      <vt:lpstr>MatrizPonderadaCostes</vt:lpstr>
      <vt:lpstr>MatrizPonderadaValorOperativo</vt:lpstr>
      <vt:lpstr>MatrizTradeOff Valor Op-Coste</vt:lpstr>
      <vt:lpstr>Métricas</vt:lpstr>
      <vt:lpstr>'Base-Canales'!Área_de_impresión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Francisco Sarti Fernández</cp:lastModifiedBy>
  <cp:lastPrinted>2026-03-25T19:29:19Z</cp:lastPrinted>
  <dcterms:created xsi:type="dcterms:W3CDTF">2026-03-18T17:42:29Z</dcterms:created>
  <dcterms:modified xsi:type="dcterms:W3CDTF">2026-03-25T20:35:47Z</dcterms:modified>
</cp:coreProperties>
</file>