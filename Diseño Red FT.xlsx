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\CFT\"/>
    </mc:Choice>
  </mc:AlternateContent>
  <xr:revisionPtr revIDLastSave="0" documentId="13_ncr:1_{B2EAEDBC-37CE-4DDC-B40A-7BE9E2E6CB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d" sheetId="1" r:id="rId1"/>
    <sheet name="Grafo Visual" sheetId="2" r:id="rId2"/>
    <sheet name="MatrizDeAdyacenc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2" i="3" l="1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B22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B21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B20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B19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B18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B17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B16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B15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14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13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12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B11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B10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8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B7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6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5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4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M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N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O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<sst xmlns="http://schemas.openxmlformats.org/spreadsheetml/2006/main" count="783" uniqueCount="193">
  <si>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</si>
  <si>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</si>
  <si>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</si>
  <si>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</si>
  <si>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</si>
  <si>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</si>
  <si>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</si>
  <si>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Capa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</si>
  <si>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</si>
  <si>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</si>
  <si>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</si>
  <si>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</si>
  <si>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</si>
  <si>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</si>
  <si>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</si>
  <si>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</si>
  <si>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</si>
  <si>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</si>
  <si>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</si>
  <si>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</si>
  <si>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</si>
  <si>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Fuente GAFI</t>
  </si>
  <si>
    <t>Observaciones</t>
  </si>
  <si>
    <t>O</t>
  </si>
  <si>
    <t>Origen</t>
  </si>
  <si>
    <t>O1</t>
  </si>
  <si>
    <t>Coerción y cobros forzosos</t>
  </si>
  <si>
    <t>E001</t>
  </si>
  <si>
    <t>I1</t>
  </si>
  <si>
    <t>principal</t>
  </si>
  <si>
    <t>T</t>
  </si>
  <si>
    <t>Bajo</t>
  </si>
  <si>
    <t>Medio</t>
  </si>
  <si>
    <t>Alto</t>
  </si>
  <si>
    <t>GAFI - FT risks</t>
  </si>
  <si>
    <t>Coerción/extorsión y uso intensivo de efectivo</t>
  </si>
  <si>
    <t>I</t>
  </si>
  <si>
    <t>Intermediario</t>
  </si>
  <si>
    <t>O2</t>
  </si>
  <si>
    <t>Contrabando / tráfico / comercio ilícito</t>
  </si>
  <si>
    <t>E002</t>
  </si>
  <si>
    <t>I2</t>
  </si>
  <si>
    <t>E</t>
  </si>
  <si>
    <t>Cobros y transferencias vía hawala/HOSSP</t>
  </si>
  <si>
    <t>G</t>
  </si>
  <si>
    <t>Gestión</t>
  </si>
  <si>
    <t>O3</t>
  </si>
  <si>
    <t>Explotación de recursos naturales</t>
  </si>
  <si>
    <t>E003</t>
  </si>
  <si>
    <t>I3</t>
  </si>
  <si>
    <t>Uso de MVTS/remesas en casos ISIL</t>
  </si>
  <si>
    <t>D</t>
  </si>
  <si>
    <t>Destino</t>
  </si>
  <si>
    <t>O4</t>
  </si>
  <si>
    <t>Autofinanciación lícita / microfinanciación</t>
  </si>
  <si>
    <t>E004</t>
  </si>
  <si>
    <t>I4</t>
  </si>
  <si>
    <t>secundario</t>
  </si>
  <si>
    <t>Bajo-Medio</t>
  </si>
  <si>
    <t>Cobros con dinero móvil</t>
  </si>
  <si>
    <t>O5</t>
  </si>
  <si>
    <t>Actividades económicas formales / negocios</t>
  </si>
  <si>
    <t>E005</t>
  </si>
  <si>
    <t>I9</t>
  </si>
  <si>
    <t>Cobros/transferencias con AV en casos</t>
  </si>
  <si>
    <t>O6</t>
  </si>
  <si>
    <t>Donaciones / crowdfunding / apoyo online</t>
  </si>
  <si>
    <t>E006</t>
  </si>
  <si>
    <t>Contrabando/comercio ilícito intensivo en efectivo</t>
  </si>
  <si>
    <t>Efectivo</t>
  </si>
  <si>
    <t>E007</t>
  </si>
  <si>
    <t>Medio-Alto</t>
  </si>
  <si>
    <t>Flujos transfronterizos vía hawala/HOSSP</t>
  </si>
  <si>
    <t>Hawala / HOSSP</t>
  </si>
  <si>
    <t>E008</t>
  </si>
  <si>
    <t>Remesas/MVTS asociadas a beneficios delictivos</t>
  </si>
  <si>
    <t>MVTS / remesas</t>
  </si>
  <si>
    <t>E009</t>
  </si>
  <si>
    <t>Recursos naturales vinculados a efectivo</t>
  </si>
  <si>
    <t>Dinero móvil</t>
  </si>
  <si>
    <t>E010</t>
  </si>
  <si>
    <t>Recursos naturales → hawala en casos</t>
  </si>
  <si>
    <t>I5</t>
  </si>
  <si>
    <t>Pagos online</t>
  </si>
  <si>
    <t>E011</t>
  </si>
  <si>
    <t>Recursos naturales → remesas online/MVTS</t>
  </si>
  <si>
    <t>I6</t>
  </si>
  <si>
    <t>Servicios bancarios</t>
  </si>
  <si>
    <t>E012</t>
  </si>
  <si>
    <t>Microfinanciación y dinero móvil</t>
  </si>
  <si>
    <t>I7</t>
  </si>
  <si>
    <t>Tarjetas prepago / e-wallets</t>
  </si>
  <si>
    <t>E013</t>
  </si>
  <si>
    <t>Microfinanciación y pagos online</t>
  </si>
  <si>
    <t>I8</t>
  </si>
  <si>
    <t>Plataformas digitales</t>
  </si>
  <si>
    <t>E014</t>
  </si>
  <si>
    <t>Servicios financieros formales</t>
  </si>
  <si>
    <t>Activos virtuales</t>
  </si>
  <si>
    <t>E015</t>
  </si>
  <si>
    <t>Prepago/e-wallets en casos</t>
  </si>
  <si>
    <t>G1</t>
  </si>
  <si>
    <t>Tesorería central</t>
  </si>
  <si>
    <t>E016</t>
  </si>
  <si>
    <t>Negocios intensivos en efectivo</t>
  </si>
  <si>
    <t>G2</t>
  </si>
  <si>
    <t>Centro financiero regional / célula</t>
  </si>
  <si>
    <t>E017</t>
  </si>
  <si>
    <t>Pagos online en actividad comercial</t>
  </si>
  <si>
    <t>G3</t>
  </si>
  <si>
    <t>Facilitador externo / entidad instrumental</t>
  </si>
  <si>
    <t>E018</t>
  </si>
  <si>
    <t>Banca y transferencias</t>
  </si>
  <si>
    <t>Destino operativo</t>
  </si>
  <si>
    <t>E019</t>
  </si>
  <si>
    <t>ISIL: MVTS/remesas</t>
  </si>
  <si>
    <t>E020</t>
  </si>
  <si>
    <t>Pagos integrados online</t>
  </si>
  <si>
    <t>E021</t>
  </si>
  <si>
    <t>Redes sociales/mensajería/crowdfunding</t>
  </si>
  <si>
    <t>E022</t>
  </si>
  <si>
    <t>Uso creciente de AV</t>
  </si>
  <si>
    <t>E023</t>
  </si>
  <si>
    <t>Efectivo combinado con hawala</t>
  </si>
  <si>
    <t>FLUJOS POSIBLES</t>
  </si>
  <si>
    <t>E024</t>
  </si>
  <si>
    <t>Efectivo combinado con dinero móvil</t>
  </si>
  <si>
    <t>Origen → Intermediario → Gestión → Intermediario → Destino</t>
  </si>
  <si>
    <t>E025</t>
  </si>
  <si>
    <t>Efectivo combinado con AV</t>
  </si>
  <si>
    <t>(ej. Extorsión → efectivo → hawala → centro regional → efectivo → combatiente)</t>
  </si>
  <si>
    <t>E026</t>
  </si>
  <si>
    <t>Hawala alimenta gestión central</t>
  </si>
  <si>
    <t>E027</t>
  </si>
  <si>
    <t>Hawala y centros regionales</t>
  </si>
  <si>
    <t>E028</t>
  </si>
  <si>
    <t>MVTS/remesas y facilitadores regionales</t>
  </si>
  <si>
    <t>E029</t>
  </si>
  <si>
    <t>MVTS y facilitadores externos</t>
  </si>
  <si>
    <t>E030</t>
  </si>
  <si>
    <t>Dinero móvil y células</t>
  </si>
  <si>
    <t>E031</t>
  </si>
  <si>
    <t>Pagos online y estructuras descentralizadas</t>
  </si>
  <si>
    <t>E032</t>
  </si>
  <si>
    <t>Pagos online y facilitadores</t>
  </si>
  <si>
    <t>E033</t>
  </si>
  <si>
    <t>Banca y tesorería central</t>
  </si>
  <si>
    <t>E034</t>
  </si>
  <si>
    <t>Cuentas legítimas/entidades registradas</t>
  </si>
  <si>
    <t>E035</t>
  </si>
  <si>
    <t>Fragmentación vía prepago/e-wallets</t>
  </si>
  <si>
    <t>E036</t>
  </si>
  <si>
    <t>Recaudación digital descentralizada</t>
  </si>
  <si>
    <t>E037</t>
  </si>
  <si>
    <t>Capas instrumentales</t>
  </si>
  <si>
    <t>E038</t>
  </si>
  <si>
    <t>AV y células flexibles</t>
  </si>
  <si>
    <t>E039</t>
  </si>
  <si>
    <t>AV y facilitadores externos</t>
  </si>
  <si>
    <t>E040</t>
  </si>
  <si>
    <t>Redistribución en efectivo</t>
  </si>
  <si>
    <t>E041</t>
  </si>
  <si>
    <t>Gestión central + banca</t>
  </si>
  <si>
    <t>E042</t>
  </si>
  <si>
    <t>Centros regionales y efectivo</t>
  </si>
  <si>
    <t>E043</t>
  </si>
  <si>
    <t>Centros regionales y hawala</t>
  </si>
  <si>
    <t>E044</t>
  </si>
  <si>
    <t>Centros regionales y MVTS</t>
  </si>
  <si>
    <t>E045</t>
  </si>
  <si>
    <t>Centros regionales y dinero móvil</t>
  </si>
  <si>
    <t>E046</t>
  </si>
  <si>
    <t>Células/centros regionales → destino</t>
  </si>
  <si>
    <t>E047</t>
  </si>
  <si>
    <t>Facilitador → pagos online</t>
  </si>
  <si>
    <t>E048</t>
  </si>
  <si>
    <t>Facilitador → banca</t>
  </si>
  <si>
    <t>E049</t>
  </si>
  <si>
    <t>Facilitador → AV</t>
  </si>
  <si>
    <t>E050</t>
  </si>
  <si>
    <t>Facilitador → destino</t>
  </si>
  <si>
    <t>E051</t>
  </si>
  <si>
    <t>Tesorería central → destino</t>
  </si>
  <si>
    <t>E052</t>
  </si>
  <si>
    <t>Ruta directa en redes descentralizadas</t>
  </si>
  <si>
    <t>E053</t>
  </si>
  <si>
    <t>Hawala directa al receptor final</t>
  </si>
  <si>
    <t>E054</t>
  </si>
  <si>
    <t>MVTS/remesas directas al receptor</t>
  </si>
  <si>
    <t>Nombre Nodo</t>
  </si>
  <si>
    <t>NodoOrigen \ NodoDestino</t>
  </si>
  <si>
    <t>La matriz es dirigida y binaria: 1 = enlace activo, 0 = no enlace.</t>
  </si>
  <si>
    <t>La hoja ENLACES es la fuente de verdad de la 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</si>
</sst>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7"/>
      <color rgb="FFFFFFFF"/>
      <name val="Calibri"/>
      <family val="2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textRotation="45" wrapText="1"/>
    </xf>
    <xf numFmtId="0" fontId="2" fillId="4" borderId="0" xfId="0" applyFont="1" applyFill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8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" xfId="0" applyBorder="1"/>
    <xf numFmtId="0" fontId="11" fillId="0" borderId="19" xfId="0" applyFont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3" fillId="2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" fillId="0" borderId="18" xfId="0" applyFont="1" applyBorder="1" applyAlignment="1">
      <alignment horizontal="left" vertical="center"/>
    </xf>
    <xf numFmtId="0" fontId="0" fillId="0" borderId="15" xfId="0" applyBorder="1"/>
    <xf numFmtId="0" fontId="10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3" fillId="5" borderId="1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132"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E89F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  <border outline="0">
        <right style="thin">
          <color rgb="FFD9D9D9"/>
        </right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FFE89F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7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</dxfs>
  <tableStyles count="0" defaultTableStyle="TableStyleMedium9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212050" cy="1168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DeNodo" displayName="tblTiposDeNodo" ref="A4:C8" headerRowDxfId="131" dataDxfId="130" totalsRowDxfId="129">
  <autoFilter ref="A4:C8" xr:uid="{00000000-0009-0000-0100-000001000000}"/>
  <tableColumns count="3">
    <tableColumn id="1" xr3:uid="{00000000-0010-0000-0000-000001000000}" name="Tipo" dataDxfId="128"/>
    <tableColumn id="2" xr3:uid="{00000000-0010-0000-0000-000002000000}" name="Descripción" dataDxfId="127"/>
    <tableColumn id="3" xr3:uid="{00000000-0010-0000-0000-000003000000}" name="Capa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Nodos" displayName="tblNodos" ref="E4:H23" headerRowDxfId="125" dataDxfId="124" totalsRowDxfId="123">
  <autoFilter ref="E4:H23" xr:uid="{00000000-0009-0000-0100-000002000000}"/>
  <tableColumns count="4">
    <tableColumn id="1" xr3:uid="{00000000-0010-0000-0100-000001000000}" name="NodoID" dataDxfId="122"/>
    <tableColumn id="2" xr3:uid="{00000000-0010-0000-0100-000002000000}" name="Nombre" dataDxfId="121"/>
    <tableColumn id="3" xr3:uid="{00000000-0010-0000-0100-000003000000}" name="Tipo" dataDxfId="120"/>
    <tableColumn id="4" xr3:uid="{00000000-0010-0000-0100-000004000000}" name="Activo" dataDxfId="1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J4:V58" headerRowDxfId="118" dataDxfId="117" totalsRowDxfId="116">
  <autoFilter ref="J4:V58" xr:uid="{00000000-0009-0000-0100-000003000000}"/>
  <tableColumns count="13">
    <tableColumn id="1" xr3:uid="{00000000-0010-0000-0200-000001000000}" name="EdgeID" dataDxfId="115"/>
    <tableColumn id="2" xr3:uid="{00000000-0010-0000-0200-000002000000}" name="Nodo Origen" dataDxfId="114"/>
    <tableColumn id="3" xr3:uid="{00000000-0010-0000-0200-000003000000}" name="Nodo Destino" dataDxfId="113"/>
    <tableColumn id="4" xr3:uid="{00000000-0010-0000-0200-000004000000}" name="Tipo de Enlace" dataDxfId="112"/>
    <tableColumn id="5" xr3:uid="{00000000-0010-0000-0200-000005000000}" name="Activo" dataDxfId="111"/>
    <tableColumn id="6" xr3:uid="{00000000-0010-0000-0200-000006000000}" name="Tipo de Justificación" dataDxfId="29"/>
    <tableColumn id="13" xr3:uid="{00000000-0010-0000-0200-00000D000000}" name="Eficiencia" dataDxfId="30"/>
    <tableColumn id="11" xr3:uid="{00000000-0010-0000-0200-00000B000000}" name="Coste" dataDxfId="28"/>
    <tableColumn id="12" xr3:uid="{00000000-0010-0000-0200-00000C000000}" name="Exposición" dataDxfId="27"/>
    <tableColumn id="10" xr3:uid="{00000000-0010-0000-0200-00000A000000}" name="Capacidad" dataDxfId="26"/>
    <tableColumn id="9" xr3:uid="{00000000-0010-0000-0200-000009000000}" name="Resiliencia" dataDxfId="25"/>
    <tableColumn id="7" xr3:uid="{00000000-0010-0000-0200-000007000000}" name="Fuente GAFI" dataDxfId="110"/>
    <tableColumn id="8" xr3:uid="{00000000-0010-0000-0200-000008000000}" name="Observaciones" dataDxfId="10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08" dataDxfId="106" headerRowBorderDxfId="107" tableBorderDxfId="105" totalsRowBorderDxfId="104">
  <tableColumns count="21">
    <tableColumn id="21" xr3:uid="{00000000-0010-0000-0300-000015000000}" name="Nombre Nodo" dataDxfId="103">
      <calculatedColumnFormula>VLOOKUP(tblMatrizDeAdyacencia[[#This Row],[NodoOrigen \ NodoDestino]],tblNodos[#All],2,FALSE)</calculatedColumnFormula>
    </tableColumn>
    <tableColumn id="1" xr3:uid="{00000000-0010-0000-0300-000001000000}" name="NodoOrigen \ NodoDestino" dataDxfId="102"/>
    <tableColumn id="2" xr3:uid="{00000000-0010-0000-0300-000002000000}" name="O1" dataDxfId="101">
      <calculatedColumnFormula>IF(COUNTIFS(Red!$K$5:$K$58,$C4,Red!$L$5:$L$58,D$3,Red!$N$5:$N$58,1)&gt;0,1,0)</calculatedColumnFormula>
    </tableColumn>
    <tableColumn id="3" xr3:uid="{00000000-0010-0000-0300-000003000000}" name="O2" dataDxfId="100">
      <calculatedColumnFormula>IF(COUNTIFS(Red!$K$5:$K$58,$C4,Red!$L$5:$L$58,E$3,Red!$N$5:$N$58,1)&gt;0,1,0)</calculatedColumnFormula>
    </tableColumn>
    <tableColumn id="4" xr3:uid="{00000000-0010-0000-0300-000004000000}" name="O3" dataDxfId="99">
      <calculatedColumnFormula>IF(COUNTIFS(Red!$K$5:$K$58,$C4,Red!$L$5:$L$58,F$3,Red!$N$5:$N$58,1)&gt;0,1,0)</calculatedColumnFormula>
    </tableColumn>
    <tableColumn id="5" xr3:uid="{00000000-0010-0000-0300-000005000000}" name="O4" dataDxfId="98">
      <calculatedColumnFormula>IF(COUNTIFS(Red!$K$5:$K$58,$C4,Red!$L$5:$L$58,G$3,Red!$N$5:$N$58,1)&gt;0,1,0)</calculatedColumnFormula>
    </tableColumn>
    <tableColumn id="6" xr3:uid="{00000000-0010-0000-0300-000006000000}" name="O5" dataDxfId="97">
      <calculatedColumnFormula>IF(COUNTIFS(Red!$K$5:$K$58,$C4,Red!$L$5:$L$58,H$3,Red!$N$5:$N$58,1)&gt;0,1,0)</calculatedColumnFormula>
    </tableColumn>
    <tableColumn id="7" xr3:uid="{00000000-0010-0000-0300-000007000000}" name="O6" dataDxfId="96">
      <calculatedColumnFormula>IF(COUNTIFS(Red!$K$5:$K$58,$C4,Red!$L$5:$L$58,I$3,Red!$N$5:$N$58,1)&gt;0,1,0)</calculatedColumnFormula>
    </tableColumn>
    <tableColumn id="8" xr3:uid="{00000000-0010-0000-0300-000008000000}" name="I1" dataDxfId="95">
      <calculatedColumnFormula>IF(COUNTIFS(Red!$K$5:$K$58,$C4,Red!$L$5:$L$58,J$3,Red!$N$5:$N$58,1)&gt;0,1,0)</calculatedColumnFormula>
    </tableColumn>
    <tableColumn id="9" xr3:uid="{00000000-0010-0000-0300-000009000000}" name="I2" dataDxfId="94">
      <calculatedColumnFormula>IF(COUNTIFS(Red!$K$5:$K$58,$C4,Red!$L$5:$L$58,K$3,Red!$N$5:$N$58,1)&gt;0,1,0)</calculatedColumnFormula>
    </tableColumn>
    <tableColumn id="10" xr3:uid="{00000000-0010-0000-0300-00000A000000}" name="I3" dataDxfId="93">
      <calculatedColumnFormula>IF(COUNTIFS(Red!$K$5:$K$58,$C4,Red!$L$5:$L$58,L$3,Red!$N$5:$N$58,1)&gt;0,1,0)</calculatedColumnFormula>
    </tableColumn>
    <tableColumn id="11" xr3:uid="{00000000-0010-0000-0300-00000B000000}" name="I4" dataDxfId="92">
      <calculatedColumnFormula>IF(COUNTIFS(Red!$K$5:$K$58,$C4,Red!$L$5:$L$58,M$3,Red!$N$5:$N$58,1)&gt;0,1,0)</calculatedColumnFormula>
    </tableColumn>
    <tableColumn id="12" xr3:uid="{00000000-0010-0000-0300-00000C000000}" name="I5" dataDxfId="91">
      <calculatedColumnFormula>IF(COUNTIFS(Red!$K$5:$K$58,$C4,Red!$L$5:$L$58,N$3,Red!$N$5:$N$58,1)&gt;0,1,0)</calculatedColumnFormula>
    </tableColumn>
    <tableColumn id="13" xr3:uid="{00000000-0010-0000-0300-00000D000000}" name="I6" dataDxfId="90">
      <calculatedColumnFormula>IF(COUNTIFS(Red!$K$5:$K$58,$C4,Red!$L$5:$L$58,O$3,Red!$N$5:$N$58,1)&gt;0,1,0)</calculatedColumnFormula>
    </tableColumn>
    <tableColumn id="14" xr3:uid="{00000000-0010-0000-0300-00000E000000}" name="I7" dataDxfId="89">
      <calculatedColumnFormula>IF(COUNTIFS(Red!$K$5:$K$58,$C4,Red!$L$5:$L$58,P$3,Red!$N$5:$N$58,1)&gt;0,1,0)</calculatedColumnFormula>
    </tableColumn>
    <tableColumn id="15" xr3:uid="{00000000-0010-0000-0300-00000F000000}" name="I8" dataDxfId="88">
      <calculatedColumnFormula>IF(COUNTIFS(Red!$K$5:$K$58,$C4,Red!$L$5:$L$58,Q$3,Red!$N$5:$N$58,1)&gt;0,1,0)</calculatedColumnFormula>
    </tableColumn>
    <tableColumn id="16" xr3:uid="{00000000-0010-0000-0300-000010000000}" name="I9" dataDxfId="87">
      <calculatedColumnFormula>IF(COUNTIFS(Red!$K$5:$K$58,$C4,Red!$L$5:$L$58,R$3,Red!$N$5:$N$58,1)&gt;0,1,0)</calculatedColumnFormula>
    </tableColumn>
    <tableColumn id="17" xr3:uid="{00000000-0010-0000-0300-000011000000}" name="G1" dataDxfId="86">
      <calculatedColumnFormula>IF(COUNTIFS(Red!$K$5:$K$58,$C4,Red!$L$5:$L$58,S$3,Red!$N$5:$N$58,1)&gt;0,1,0)</calculatedColumnFormula>
    </tableColumn>
    <tableColumn id="18" xr3:uid="{00000000-0010-0000-0300-000012000000}" name="G2" dataDxfId="85">
      <calculatedColumnFormula>IF(COUNTIFS(Red!$K$5:$K$58,$C4,Red!$L$5:$L$58,T$3,Red!$N$5:$N$58,1)&gt;0,1,0)</calculatedColumnFormula>
    </tableColumn>
    <tableColumn id="19" xr3:uid="{00000000-0010-0000-0300-000013000000}" name="G3" dataDxfId="84">
      <calculatedColumnFormula>IF(COUNTIFS(Red!$K$5:$K$58,$C4,Red!$L$5:$L$58,U$3,Red!$N$5:$N$58,1)&gt;0,1,0)</calculatedColumnFormula>
    </tableColumn>
    <tableColumn id="20" xr3:uid="{00000000-0010-0000-0300-000014000000}" name="D" dataDxfId="83">
      <calculatedColumnFormula>IF(COUNTIFS(Red!$K$5:$K$58,$C4,Red!$L$5:$L$58,V$3,Red!$N$5:$N$58,1)&gt;0,1,0)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"/>
  <sheetViews>
    <sheetView showGridLines="0" tabSelected="1" zoomScale="70" zoomScaleNormal="70" workbookViewId="0">
      <selection activeCell="B17" sqref="B17"/>
    </sheetView>
  </sheetViews>
  <sheetFormatPr baseColWidth="10" defaultRowHeight="12" x14ac:dyDescent="0.25"/>
  <cols>
    <col min="1" max="1" width="11.42578125" style="17" customWidth="1"/>
    <col min="2" max="2" width="17.42578125" style="17" customWidth="1"/>
    <col min="3" max="3" width="13.28515625" style="17" customWidth="1"/>
    <col min="4" max="4" width="3.5703125" style="17" customWidth="1"/>
    <col min="5" max="5" width="11.42578125" style="17" customWidth="1"/>
    <col min="6" max="6" width="36.7109375" style="17" customWidth="1"/>
    <col min="7" max="7" width="9.7109375" style="17" customWidth="1"/>
    <col min="8" max="8" width="11.85546875" style="17" customWidth="1"/>
    <col min="9" max="9" width="4.5703125" style="17" customWidth="1"/>
    <col min="10" max="10" width="10.7109375" style="17" customWidth="1"/>
    <col min="11" max="11" width="11.5703125" style="17" customWidth="1"/>
    <col min="12" max="12" width="10.7109375" style="17" customWidth="1"/>
    <col min="13" max="13" width="15.140625" style="17" customWidth="1"/>
    <col min="14" max="14" width="9.5703125" style="17" customWidth="1"/>
    <col min="15" max="15" width="13.5703125" style="17" customWidth="1"/>
    <col min="16" max="16" width="16.140625" style="17" bestFit="1" customWidth="1"/>
    <col min="17" max="17" width="12.85546875" style="19" customWidth="1"/>
    <col min="18" max="18" width="14.7109375" style="17" customWidth="1"/>
    <col min="19" max="19" width="13.140625" style="17" customWidth="1"/>
    <col min="20" max="20" width="11.140625" style="17" customWidth="1"/>
    <col min="21" max="21" width="19.42578125" style="17" customWidth="1"/>
    <col min="22" max="22" width="44.28515625" style="17" customWidth="1"/>
    <col min="23" max="25" width="11.42578125" style="17" customWidth="1"/>
    <col min="26" max="16384" width="11.42578125" style="17"/>
  </cols>
  <sheetData>
    <row r="1" spans="1:23" ht="21.75" customHeight="1" x14ac:dyDescent="0.25">
      <c r="A1" s="44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45"/>
      <c r="R1" s="33"/>
      <c r="S1" s="32" t="s">
        <v>1</v>
      </c>
      <c r="T1" s="33"/>
      <c r="U1" s="33"/>
      <c r="V1" s="28"/>
    </row>
    <row r="2" spans="1:23" ht="14.25" customHeight="1" x14ac:dyDescent="0.25"/>
    <row r="3" spans="1:23" ht="15" customHeight="1" x14ac:dyDescent="0.25">
      <c r="A3" s="39" t="s">
        <v>2</v>
      </c>
      <c r="B3" s="40"/>
      <c r="C3" s="41"/>
      <c r="E3" s="34" t="s">
        <v>3</v>
      </c>
      <c r="F3" s="35"/>
      <c r="G3" s="35"/>
      <c r="H3" s="35"/>
      <c r="J3" s="34" t="s">
        <v>4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18"/>
    </row>
    <row r="4" spans="1:23" s="18" customFormat="1" ht="32.25" customHeight="1" x14ac:dyDescent="0.25">
      <c r="A4" s="2" t="s">
        <v>5</v>
      </c>
      <c r="B4" s="2" t="s">
        <v>6</v>
      </c>
      <c r="C4" s="2" t="s">
        <v>7</v>
      </c>
      <c r="E4" s="2" t="s">
        <v>8</v>
      </c>
      <c r="F4" s="2" t="s">
        <v>9</v>
      </c>
      <c r="G4" s="2" t="s">
        <v>5</v>
      </c>
      <c r="H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10</v>
      </c>
      <c r="O4" s="2" t="s">
        <v>15</v>
      </c>
      <c r="P4" s="48" t="s">
        <v>17</v>
      </c>
      <c r="Q4" s="48" t="s">
        <v>16</v>
      </c>
      <c r="R4" s="48" t="s">
        <v>18</v>
      </c>
      <c r="S4" s="48" t="s">
        <v>19</v>
      </c>
      <c r="T4" s="49" t="s">
        <v>20</v>
      </c>
      <c r="U4" s="2" t="s">
        <v>21</v>
      </c>
      <c r="V4" s="3" t="s">
        <v>22</v>
      </c>
    </row>
    <row r="5" spans="1:23" x14ac:dyDescent="0.25">
      <c r="A5" s="1" t="s">
        <v>23</v>
      </c>
      <c r="B5" s="1" t="s">
        <v>24</v>
      </c>
      <c r="C5" s="1">
        <v>1</v>
      </c>
      <c r="E5" s="1" t="s">
        <v>25</v>
      </c>
      <c r="F5" s="1" t="s">
        <v>26</v>
      </c>
      <c r="G5" s="1" t="s">
        <v>23</v>
      </c>
      <c r="H5" s="1">
        <v>1</v>
      </c>
      <c r="J5" s="1" t="s">
        <v>181</v>
      </c>
      <c r="K5" s="1" t="s">
        <v>101</v>
      </c>
      <c r="L5" s="1" t="s">
        <v>51</v>
      </c>
      <c r="M5" s="1" t="s">
        <v>29</v>
      </c>
      <c r="N5" s="1">
        <v>1</v>
      </c>
      <c r="O5" s="1" t="s">
        <v>30</v>
      </c>
      <c r="P5" s="20" t="s">
        <v>33</v>
      </c>
      <c r="Q5" s="20" t="s">
        <v>31</v>
      </c>
      <c r="R5" s="20" t="s">
        <v>32</v>
      </c>
      <c r="S5" s="20" t="s">
        <v>33</v>
      </c>
      <c r="T5" s="21" t="s">
        <v>32</v>
      </c>
      <c r="U5" s="1" t="s">
        <v>34</v>
      </c>
      <c r="V5" s="25" t="s">
        <v>182</v>
      </c>
    </row>
    <row r="6" spans="1:23" x14ac:dyDescent="0.25">
      <c r="A6" s="1" t="s">
        <v>36</v>
      </c>
      <c r="B6" s="1" t="s">
        <v>37</v>
      </c>
      <c r="C6" s="1">
        <v>2</v>
      </c>
      <c r="E6" s="1" t="s">
        <v>38</v>
      </c>
      <c r="F6" s="1" t="s">
        <v>39</v>
      </c>
      <c r="G6" s="1" t="s">
        <v>23</v>
      </c>
      <c r="H6" s="1">
        <v>1</v>
      </c>
      <c r="J6" s="1" t="s">
        <v>88</v>
      </c>
      <c r="K6" s="1" t="s">
        <v>53</v>
      </c>
      <c r="L6" s="1" t="s">
        <v>56</v>
      </c>
      <c r="M6" s="1" t="s">
        <v>29</v>
      </c>
      <c r="N6" s="1">
        <v>1</v>
      </c>
      <c r="O6" s="1" t="s">
        <v>30</v>
      </c>
      <c r="P6" s="22" t="s">
        <v>33</v>
      </c>
      <c r="Q6" s="22" t="s">
        <v>31</v>
      </c>
      <c r="R6" s="22" t="s">
        <v>32</v>
      </c>
      <c r="S6" s="22" t="s">
        <v>32</v>
      </c>
      <c r="T6" s="23" t="s">
        <v>32</v>
      </c>
      <c r="U6" s="1" t="s">
        <v>34</v>
      </c>
      <c r="V6" s="25" t="s">
        <v>89</v>
      </c>
    </row>
    <row r="7" spans="1:23" x14ac:dyDescent="0.25">
      <c r="A7" s="1" t="s">
        <v>44</v>
      </c>
      <c r="B7" s="1" t="s">
        <v>45</v>
      </c>
      <c r="C7" s="1">
        <v>3</v>
      </c>
      <c r="E7" s="1" t="s">
        <v>46</v>
      </c>
      <c r="F7" s="1" t="s">
        <v>47</v>
      </c>
      <c r="G7" s="1" t="s">
        <v>23</v>
      </c>
      <c r="H7" s="1">
        <v>1</v>
      </c>
      <c r="J7" s="1" t="s">
        <v>171</v>
      </c>
      <c r="K7" s="1" t="s">
        <v>105</v>
      </c>
      <c r="L7" s="1" t="s">
        <v>51</v>
      </c>
      <c r="M7" s="1" t="s">
        <v>29</v>
      </c>
      <c r="N7" s="1">
        <v>1</v>
      </c>
      <c r="O7" s="1" t="s">
        <v>30</v>
      </c>
      <c r="P7" s="22" t="s">
        <v>33</v>
      </c>
      <c r="Q7" s="22" t="s">
        <v>31</v>
      </c>
      <c r="R7" s="22" t="s">
        <v>32</v>
      </c>
      <c r="S7" s="22" t="s">
        <v>32</v>
      </c>
      <c r="T7" s="23" t="s">
        <v>32</v>
      </c>
      <c r="U7" s="1" t="s">
        <v>34</v>
      </c>
      <c r="V7" s="25" t="s">
        <v>172</v>
      </c>
    </row>
    <row r="8" spans="1:23" x14ac:dyDescent="0.25">
      <c r="A8" s="1" t="s">
        <v>51</v>
      </c>
      <c r="B8" s="1" t="s">
        <v>52</v>
      </c>
      <c r="C8" s="1">
        <v>4</v>
      </c>
      <c r="E8" s="1" t="s">
        <v>53</v>
      </c>
      <c r="F8" s="1" t="s">
        <v>54</v>
      </c>
      <c r="G8" s="1" t="s">
        <v>23</v>
      </c>
      <c r="H8" s="1">
        <v>1</v>
      </c>
      <c r="J8" s="1" t="s">
        <v>179</v>
      </c>
      <c r="K8" s="1" t="s">
        <v>109</v>
      </c>
      <c r="L8" s="1" t="s">
        <v>51</v>
      </c>
      <c r="M8" s="1" t="s">
        <v>29</v>
      </c>
      <c r="N8" s="1">
        <v>1</v>
      </c>
      <c r="O8" s="1" t="s">
        <v>30</v>
      </c>
      <c r="P8" s="22" t="s">
        <v>33</v>
      </c>
      <c r="Q8" s="22" t="s">
        <v>31</v>
      </c>
      <c r="R8" s="22" t="s">
        <v>32</v>
      </c>
      <c r="S8" s="22" t="s">
        <v>32</v>
      </c>
      <c r="T8" s="23" t="s">
        <v>32</v>
      </c>
      <c r="U8" s="1" t="s">
        <v>34</v>
      </c>
      <c r="V8" s="25" t="s">
        <v>180</v>
      </c>
    </row>
    <row r="9" spans="1:23" x14ac:dyDescent="0.25">
      <c r="E9" s="1" t="s">
        <v>60</v>
      </c>
      <c r="F9" s="1" t="s">
        <v>61</v>
      </c>
      <c r="G9" s="1" t="s">
        <v>23</v>
      </c>
      <c r="H9" s="1">
        <v>1</v>
      </c>
      <c r="J9" s="1" t="s">
        <v>161</v>
      </c>
      <c r="K9" s="1" t="s">
        <v>101</v>
      </c>
      <c r="L9" s="1" t="s">
        <v>86</v>
      </c>
      <c r="M9" s="1" t="s">
        <v>29</v>
      </c>
      <c r="N9" s="1">
        <v>1</v>
      </c>
      <c r="O9" s="1" t="s">
        <v>30</v>
      </c>
      <c r="P9" s="20" t="s">
        <v>33</v>
      </c>
      <c r="Q9" s="20" t="s">
        <v>58</v>
      </c>
      <c r="R9" s="20" t="s">
        <v>33</v>
      </c>
      <c r="S9" s="20" t="s">
        <v>33</v>
      </c>
      <c r="T9" s="21" t="s">
        <v>32</v>
      </c>
      <c r="U9" s="1" t="s">
        <v>34</v>
      </c>
      <c r="V9" s="25" t="s">
        <v>162</v>
      </c>
    </row>
    <row r="10" spans="1:23" x14ac:dyDescent="0.25">
      <c r="E10" s="1" t="s">
        <v>65</v>
      </c>
      <c r="F10" s="1" t="s">
        <v>66</v>
      </c>
      <c r="G10" s="1" t="s">
        <v>23</v>
      </c>
      <c r="H10" s="1">
        <v>1</v>
      </c>
      <c r="J10" s="1" t="s">
        <v>55</v>
      </c>
      <c r="K10" s="1" t="s">
        <v>25</v>
      </c>
      <c r="L10" s="1" t="s">
        <v>56</v>
      </c>
      <c r="M10" s="1" t="s">
        <v>57</v>
      </c>
      <c r="N10" s="1">
        <v>1</v>
      </c>
      <c r="O10" s="1" t="s">
        <v>30</v>
      </c>
      <c r="P10" s="22" t="s">
        <v>33</v>
      </c>
      <c r="Q10" s="22" t="s">
        <v>58</v>
      </c>
      <c r="R10" s="22" t="s">
        <v>32</v>
      </c>
      <c r="S10" s="22" t="s">
        <v>32</v>
      </c>
      <c r="T10" s="23" t="s">
        <v>32</v>
      </c>
      <c r="U10" s="1" t="s">
        <v>34</v>
      </c>
      <c r="V10" s="25" t="s">
        <v>59</v>
      </c>
    </row>
    <row r="11" spans="1:23" x14ac:dyDescent="0.25">
      <c r="E11" s="1" t="s">
        <v>28</v>
      </c>
      <c r="F11" s="1" t="s">
        <v>69</v>
      </c>
      <c r="G11" s="1" t="s">
        <v>36</v>
      </c>
      <c r="H11" s="1">
        <v>1</v>
      </c>
      <c r="J11" s="1" t="s">
        <v>139</v>
      </c>
      <c r="K11" s="1" t="s">
        <v>56</v>
      </c>
      <c r="L11" s="1" t="s">
        <v>105</v>
      </c>
      <c r="M11" s="1" t="s">
        <v>29</v>
      </c>
      <c r="N11" s="1">
        <v>1</v>
      </c>
      <c r="O11" s="1" t="s">
        <v>30</v>
      </c>
      <c r="P11" s="22" t="s">
        <v>33</v>
      </c>
      <c r="Q11" s="22" t="s">
        <v>58</v>
      </c>
      <c r="R11" s="22" t="s">
        <v>32</v>
      </c>
      <c r="S11" s="22" t="s">
        <v>32</v>
      </c>
      <c r="T11" s="23" t="s">
        <v>32</v>
      </c>
      <c r="U11" s="1" t="s">
        <v>34</v>
      </c>
      <c r="V11" s="25" t="s">
        <v>140</v>
      </c>
    </row>
    <row r="12" spans="1:23" x14ac:dyDescent="0.25">
      <c r="E12" s="1" t="s">
        <v>41</v>
      </c>
      <c r="F12" s="1" t="s">
        <v>73</v>
      </c>
      <c r="G12" s="1" t="s">
        <v>36</v>
      </c>
      <c r="H12" s="1">
        <v>1</v>
      </c>
      <c r="J12" s="1" t="s">
        <v>169</v>
      </c>
      <c r="K12" s="1" t="s">
        <v>105</v>
      </c>
      <c r="L12" s="1" t="s">
        <v>56</v>
      </c>
      <c r="M12" s="1" t="s">
        <v>29</v>
      </c>
      <c r="N12" s="1">
        <v>1</v>
      </c>
      <c r="O12" s="1" t="s">
        <v>30</v>
      </c>
      <c r="P12" s="20" t="s">
        <v>33</v>
      </c>
      <c r="Q12" s="20" t="s">
        <v>58</v>
      </c>
      <c r="R12" s="20" t="s">
        <v>32</v>
      </c>
      <c r="S12" s="20" t="s">
        <v>32</v>
      </c>
      <c r="T12" s="21" t="s">
        <v>32</v>
      </c>
      <c r="U12" s="1" t="s">
        <v>34</v>
      </c>
      <c r="V12" s="25" t="s">
        <v>170</v>
      </c>
    </row>
    <row r="13" spans="1:23" x14ac:dyDescent="0.25">
      <c r="E13" s="1" t="s">
        <v>49</v>
      </c>
      <c r="F13" s="1" t="s">
        <v>76</v>
      </c>
      <c r="G13" s="1" t="s">
        <v>36</v>
      </c>
      <c r="H13" s="1">
        <v>1</v>
      </c>
      <c r="J13" s="1" t="s">
        <v>92</v>
      </c>
      <c r="K13" s="1" t="s">
        <v>53</v>
      </c>
      <c r="L13" s="1" t="s">
        <v>82</v>
      </c>
      <c r="M13" s="1" t="s">
        <v>29</v>
      </c>
      <c r="N13" s="1">
        <v>1</v>
      </c>
      <c r="O13" s="1" t="s">
        <v>30</v>
      </c>
      <c r="P13" s="20" t="s">
        <v>33</v>
      </c>
      <c r="Q13" s="20" t="s">
        <v>58</v>
      </c>
      <c r="R13" s="20" t="s">
        <v>71</v>
      </c>
      <c r="S13" s="20" t="s">
        <v>32</v>
      </c>
      <c r="T13" s="21" t="s">
        <v>32</v>
      </c>
      <c r="U13" s="1" t="s">
        <v>34</v>
      </c>
      <c r="V13" s="25" t="s">
        <v>93</v>
      </c>
    </row>
    <row r="14" spans="1:23" x14ac:dyDescent="0.25">
      <c r="E14" s="1" t="s">
        <v>56</v>
      </c>
      <c r="F14" s="1" t="s">
        <v>79</v>
      </c>
      <c r="G14" s="1" t="s">
        <v>36</v>
      </c>
      <c r="H14" s="1">
        <v>1</v>
      </c>
      <c r="J14" s="1" t="s">
        <v>107</v>
      </c>
      <c r="K14" s="1" t="s">
        <v>60</v>
      </c>
      <c r="L14" s="1" t="s">
        <v>82</v>
      </c>
      <c r="M14" s="1" t="s">
        <v>57</v>
      </c>
      <c r="N14" s="1">
        <v>1</v>
      </c>
      <c r="O14" s="1" t="s">
        <v>30</v>
      </c>
      <c r="P14" s="20" t="s">
        <v>33</v>
      </c>
      <c r="Q14" s="20" t="s">
        <v>58</v>
      </c>
      <c r="R14" s="20" t="s">
        <v>71</v>
      </c>
      <c r="S14" s="20" t="s">
        <v>32</v>
      </c>
      <c r="T14" s="21" t="s">
        <v>32</v>
      </c>
      <c r="U14" s="1" t="s">
        <v>34</v>
      </c>
      <c r="V14" s="25" t="s">
        <v>108</v>
      </c>
    </row>
    <row r="15" spans="1:23" x14ac:dyDescent="0.25">
      <c r="E15" s="1" t="s">
        <v>82</v>
      </c>
      <c r="F15" s="1" t="s">
        <v>83</v>
      </c>
      <c r="G15" s="1" t="s">
        <v>36</v>
      </c>
      <c r="H15" s="1">
        <v>1</v>
      </c>
      <c r="J15" s="1" t="s">
        <v>116</v>
      </c>
      <c r="K15" s="1" t="s">
        <v>65</v>
      </c>
      <c r="L15" s="1" t="s">
        <v>82</v>
      </c>
      <c r="M15" s="1" t="s">
        <v>29</v>
      </c>
      <c r="N15" s="1">
        <v>1</v>
      </c>
      <c r="O15" s="1" t="s">
        <v>30</v>
      </c>
      <c r="P15" s="22" t="s">
        <v>33</v>
      </c>
      <c r="Q15" s="22" t="s">
        <v>58</v>
      </c>
      <c r="R15" s="22" t="s">
        <v>71</v>
      </c>
      <c r="S15" s="22" t="s">
        <v>32</v>
      </c>
      <c r="T15" s="23" t="s">
        <v>32</v>
      </c>
      <c r="U15" s="1" t="s">
        <v>34</v>
      </c>
      <c r="V15" s="25" t="s">
        <v>117</v>
      </c>
    </row>
    <row r="16" spans="1:23" x14ac:dyDescent="0.25">
      <c r="E16" s="1" t="s">
        <v>86</v>
      </c>
      <c r="F16" s="1" t="s">
        <v>87</v>
      </c>
      <c r="G16" s="1" t="s">
        <v>36</v>
      </c>
      <c r="H16" s="1">
        <v>1</v>
      </c>
      <c r="J16" s="1" t="s">
        <v>141</v>
      </c>
      <c r="K16" s="1" t="s">
        <v>82</v>
      </c>
      <c r="L16" s="1" t="s">
        <v>105</v>
      </c>
      <c r="M16" s="1" t="s">
        <v>29</v>
      </c>
      <c r="N16" s="1">
        <v>1</v>
      </c>
      <c r="O16" s="1" t="s">
        <v>30</v>
      </c>
      <c r="P16" s="20" t="s">
        <v>33</v>
      </c>
      <c r="Q16" s="20" t="s">
        <v>58</v>
      </c>
      <c r="R16" s="20" t="s">
        <v>71</v>
      </c>
      <c r="S16" s="20" t="s">
        <v>32</v>
      </c>
      <c r="T16" s="21" t="s">
        <v>32</v>
      </c>
      <c r="U16" s="1" t="s">
        <v>34</v>
      </c>
      <c r="V16" s="25" t="s">
        <v>142</v>
      </c>
    </row>
    <row r="17" spans="2:22" x14ac:dyDescent="0.25">
      <c r="E17" s="1" t="s">
        <v>90</v>
      </c>
      <c r="F17" s="1" t="s">
        <v>91</v>
      </c>
      <c r="G17" s="1" t="s">
        <v>36</v>
      </c>
      <c r="H17" s="1">
        <v>1</v>
      </c>
      <c r="J17" s="1" t="s">
        <v>111</v>
      </c>
      <c r="K17" s="1" t="s">
        <v>60</v>
      </c>
      <c r="L17" s="1" t="s">
        <v>86</v>
      </c>
      <c r="M17" s="1" t="s">
        <v>29</v>
      </c>
      <c r="N17" s="1">
        <v>1</v>
      </c>
      <c r="O17" s="1" t="s">
        <v>30</v>
      </c>
      <c r="P17" s="22" t="s">
        <v>33</v>
      </c>
      <c r="Q17" s="22" t="s">
        <v>32</v>
      </c>
      <c r="R17" s="22" t="s">
        <v>33</v>
      </c>
      <c r="S17" s="22" t="s">
        <v>33</v>
      </c>
      <c r="T17" s="23" t="s">
        <v>32</v>
      </c>
      <c r="U17" s="1" t="s">
        <v>34</v>
      </c>
      <c r="V17" s="25" t="s">
        <v>112</v>
      </c>
    </row>
    <row r="18" spans="2:22" x14ac:dyDescent="0.25">
      <c r="E18" s="1" t="s">
        <v>94</v>
      </c>
      <c r="F18" s="1" t="s">
        <v>95</v>
      </c>
      <c r="G18" s="1" t="s">
        <v>36</v>
      </c>
      <c r="H18" s="1">
        <v>1</v>
      </c>
      <c r="J18" s="1" t="s">
        <v>145</v>
      </c>
      <c r="K18" s="1" t="s">
        <v>86</v>
      </c>
      <c r="L18" s="1" t="s">
        <v>101</v>
      </c>
      <c r="M18" s="1" t="s">
        <v>29</v>
      </c>
      <c r="N18" s="1">
        <v>1</v>
      </c>
      <c r="O18" s="1" t="s">
        <v>30</v>
      </c>
      <c r="P18" s="20" t="s">
        <v>33</v>
      </c>
      <c r="Q18" s="20" t="s">
        <v>32</v>
      </c>
      <c r="R18" s="20" t="s">
        <v>33</v>
      </c>
      <c r="S18" s="20" t="s">
        <v>33</v>
      </c>
      <c r="T18" s="21" t="s">
        <v>32</v>
      </c>
      <c r="U18" s="1" t="s">
        <v>34</v>
      </c>
      <c r="V18" s="25" t="s">
        <v>146</v>
      </c>
    </row>
    <row r="19" spans="2:22" x14ac:dyDescent="0.25">
      <c r="E19" s="1" t="s">
        <v>63</v>
      </c>
      <c r="F19" s="1" t="s">
        <v>98</v>
      </c>
      <c r="G19" s="1" t="s">
        <v>36</v>
      </c>
      <c r="H19" s="1">
        <v>1</v>
      </c>
      <c r="J19" s="1" t="s">
        <v>147</v>
      </c>
      <c r="K19" s="1" t="s">
        <v>86</v>
      </c>
      <c r="L19" s="1" t="s">
        <v>109</v>
      </c>
      <c r="M19" s="1" t="s">
        <v>29</v>
      </c>
      <c r="N19" s="1">
        <v>1</v>
      </c>
      <c r="O19" s="1" t="s">
        <v>42</v>
      </c>
      <c r="P19" s="22" t="s">
        <v>33</v>
      </c>
      <c r="Q19" s="22" t="s">
        <v>32</v>
      </c>
      <c r="R19" s="22" t="s">
        <v>33</v>
      </c>
      <c r="S19" s="22" t="s">
        <v>33</v>
      </c>
      <c r="T19" s="23" t="s">
        <v>32</v>
      </c>
      <c r="U19" s="1" t="s">
        <v>34</v>
      </c>
      <c r="V19" s="25" t="s">
        <v>148</v>
      </c>
    </row>
    <row r="20" spans="2:22" x14ac:dyDescent="0.25">
      <c r="E20" s="1" t="s">
        <v>101</v>
      </c>
      <c r="F20" s="1" t="s">
        <v>102</v>
      </c>
      <c r="G20" s="1" t="s">
        <v>44</v>
      </c>
      <c r="H20" s="1">
        <v>1</v>
      </c>
      <c r="J20" s="1" t="s">
        <v>175</v>
      </c>
      <c r="K20" s="1" t="s">
        <v>109</v>
      </c>
      <c r="L20" s="1" t="s">
        <v>86</v>
      </c>
      <c r="M20" s="1" t="s">
        <v>29</v>
      </c>
      <c r="N20" s="1">
        <v>1</v>
      </c>
      <c r="O20" s="1" t="s">
        <v>42</v>
      </c>
      <c r="P20" s="22" t="s">
        <v>33</v>
      </c>
      <c r="Q20" s="22" t="s">
        <v>32</v>
      </c>
      <c r="R20" s="22" t="s">
        <v>33</v>
      </c>
      <c r="S20" s="22" t="s">
        <v>33</v>
      </c>
      <c r="T20" s="23" t="s">
        <v>32</v>
      </c>
      <c r="U20" s="1" t="s">
        <v>34</v>
      </c>
      <c r="V20" s="25" t="s">
        <v>176</v>
      </c>
    </row>
    <row r="21" spans="2:22" x14ac:dyDescent="0.25">
      <c r="E21" s="1" t="s">
        <v>105</v>
      </c>
      <c r="F21" s="1" t="s">
        <v>106</v>
      </c>
      <c r="G21" s="1" t="s">
        <v>44</v>
      </c>
      <c r="H21" s="1">
        <v>1</v>
      </c>
      <c r="J21" s="1" t="s">
        <v>96</v>
      </c>
      <c r="K21" s="1" t="s">
        <v>53</v>
      </c>
      <c r="L21" s="1" t="s">
        <v>86</v>
      </c>
      <c r="M21" s="1" t="s">
        <v>29</v>
      </c>
      <c r="N21" s="1">
        <v>1</v>
      </c>
      <c r="O21" s="1" t="s">
        <v>30</v>
      </c>
      <c r="P21" s="22" t="s">
        <v>33</v>
      </c>
      <c r="Q21" s="22" t="s">
        <v>32</v>
      </c>
      <c r="R21" s="22" t="s">
        <v>33</v>
      </c>
      <c r="S21" s="22" t="s">
        <v>32</v>
      </c>
      <c r="T21" s="23" t="s">
        <v>32</v>
      </c>
      <c r="U21" s="1" t="s">
        <v>34</v>
      </c>
      <c r="V21" s="25" t="s">
        <v>97</v>
      </c>
    </row>
    <row r="22" spans="2:22" x14ac:dyDescent="0.25">
      <c r="E22" s="1" t="s">
        <v>109</v>
      </c>
      <c r="F22" s="1" t="s">
        <v>110</v>
      </c>
      <c r="G22" s="1" t="s">
        <v>44</v>
      </c>
      <c r="H22" s="1">
        <v>1</v>
      </c>
      <c r="J22" s="1" t="s">
        <v>40</v>
      </c>
      <c r="K22" s="1" t="s">
        <v>25</v>
      </c>
      <c r="L22" s="1" t="s">
        <v>41</v>
      </c>
      <c r="M22" s="1" t="s">
        <v>29</v>
      </c>
      <c r="N22" s="1">
        <v>1</v>
      </c>
      <c r="O22" s="1" t="s">
        <v>42</v>
      </c>
      <c r="P22" s="22" t="s">
        <v>33</v>
      </c>
      <c r="Q22" s="22" t="s">
        <v>32</v>
      </c>
      <c r="R22" s="22" t="s">
        <v>31</v>
      </c>
      <c r="S22" s="22" t="s">
        <v>32</v>
      </c>
      <c r="T22" s="23" t="s">
        <v>33</v>
      </c>
      <c r="U22" s="1" t="s">
        <v>34</v>
      </c>
      <c r="V22" s="25" t="s">
        <v>43</v>
      </c>
    </row>
    <row r="23" spans="2:22" x14ac:dyDescent="0.25">
      <c r="E23" s="1" t="s">
        <v>51</v>
      </c>
      <c r="F23" s="1" t="s">
        <v>113</v>
      </c>
      <c r="G23" s="1" t="s">
        <v>51</v>
      </c>
      <c r="H23" s="1">
        <v>1</v>
      </c>
      <c r="J23" s="1" t="s">
        <v>122</v>
      </c>
      <c r="K23" s="1" t="s">
        <v>28</v>
      </c>
      <c r="L23" s="1" t="s">
        <v>41</v>
      </c>
      <c r="M23" s="1" t="s">
        <v>29</v>
      </c>
      <c r="N23" s="1">
        <v>1</v>
      </c>
      <c r="O23" s="1" t="s">
        <v>30</v>
      </c>
      <c r="P23" s="20" t="s">
        <v>33</v>
      </c>
      <c r="Q23" s="20" t="s">
        <v>32</v>
      </c>
      <c r="R23" s="20" t="s">
        <v>31</v>
      </c>
      <c r="S23" s="20" t="s">
        <v>32</v>
      </c>
      <c r="T23" s="21" t="s">
        <v>33</v>
      </c>
      <c r="U23" s="1" t="s">
        <v>34</v>
      </c>
      <c r="V23" s="25" t="s">
        <v>123</v>
      </c>
    </row>
    <row r="24" spans="2:22" x14ac:dyDescent="0.25">
      <c r="J24" s="1" t="s">
        <v>165</v>
      </c>
      <c r="K24" s="1" t="s">
        <v>105</v>
      </c>
      <c r="L24" s="1" t="s">
        <v>41</v>
      </c>
      <c r="M24" s="1" t="s">
        <v>29</v>
      </c>
      <c r="N24" s="1">
        <v>1</v>
      </c>
      <c r="O24" s="1" t="s">
        <v>42</v>
      </c>
      <c r="P24" s="20" t="s">
        <v>33</v>
      </c>
      <c r="Q24" s="20" t="s">
        <v>32</v>
      </c>
      <c r="R24" s="20" t="s">
        <v>31</v>
      </c>
      <c r="S24" s="20" t="s">
        <v>32</v>
      </c>
      <c r="T24" s="21" t="s">
        <v>33</v>
      </c>
      <c r="U24" s="1" t="s">
        <v>34</v>
      </c>
      <c r="V24" s="25" t="s">
        <v>166</v>
      </c>
    </row>
    <row r="25" spans="2:22" x14ac:dyDescent="0.25">
      <c r="J25" s="1" t="s">
        <v>185</v>
      </c>
      <c r="K25" s="1" t="s">
        <v>41</v>
      </c>
      <c r="L25" s="1" t="s">
        <v>51</v>
      </c>
      <c r="M25" s="1" t="s">
        <v>57</v>
      </c>
      <c r="N25" s="1">
        <v>1</v>
      </c>
      <c r="O25" s="1" t="s">
        <v>42</v>
      </c>
      <c r="P25" s="20" t="s">
        <v>33</v>
      </c>
      <c r="Q25" s="20" t="s">
        <v>32</v>
      </c>
      <c r="R25" s="20" t="s">
        <v>31</v>
      </c>
      <c r="S25" s="20" t="s">
        <v>32</v>
      </c>
      <c r="T25" s="21" t="s">
        <v>71</v>
      </c>
      <c r="U25" s="1" t="s">
        <v>34</v>
      </c>
      <c r="V25" s="25" t="s">
        <v>186</v>
      </c>
    </row>
    <row r="26" spans="2:22" x14ac:dyDescent="0.25">
      <c r="J26" s="1" t="s">
        <v>70</v>
      </c>
      <c r="K26" s="1" t="s">
        <v>38</v>
      </c>
      <c r="L26" s="1" t="s">
        <v>41</v>
      </c>
      <c r="M26" s="1" t="s">
        <v>29</v>
      </c>
      <c r="N26" s="1">
        <v>1</v>
      </c>
      <c r="O26" s="1" t="s">
        <v>30</v>
      </c>
      <c r="P26" s="20" t="s">
        <v>33</v>
      </c>
      <c r="Q26" s="20" t="s">
        <v>32</v>
      </c>
      <c r="R26" s="20" t="s">
        <v>31</v>
      </c>
      <c r="S26" s="20" t="s">
        <v>71</v>
      </c>
      <c r="T26" s="21" t="s">
        <v>33</v>
      </c>
      <c r="U26" s="1" t="s">
        <v>34</v>
      </c>
      <c r="V26" s="25" t="s">
        <v>72</v>
      </c>
    </row>
    <row r="27" spans="2:22" x14ac:dyDescent="0.25">
      <c r="J27" s="1" t="s">
        <v>80</v>
      </c>
      <c r="K27" s="1" t="s">
        <v>46</v>
      </c>
      <c r="L27" s="1" t="s">
        <v>41</v>
      </c>
      <c r="M27" s="1" t="s">
        <v>29</v>
      </c>
      <c r="N27" s="1">
        <v>1</v>
      </c>
      <c r="O27" s="1" t="s">
        <v>42</v>
      </c>
      <c r="P27" s="22" t="s">
        <v>33</v>
      </c>
      <c r="Q27" s="22" t="s">
        <v>32</v>
      </c>
      <c r="R27" s="22" t="s">
        <v>31</v>
      </c>
      <c r="S27" s="22" t="s">
        <v>71</v>
      </c>
      <c r="T27" s="23" t="s">
        <v>33</v>
      </c>
      <c r="U27" s="1" t="s">
        <v>34</v>
      </c>
      <c r="V27" s="25" t="s">
        <v>81</v>
      </c>
    </row>
    <row r="28" spans="2:22" x14ac:dyDescent="0.25">
      <c r="B28" s="29" t="s">
        <v>124</v>
      </c>
      <c r="C28" s="30"/>
      <c r="D28" s="30"/>
      <c r="E28" s="30"/>
      <c r="F28" s="30"/>
      <c r="G28" s="30"/>
      <c r="H28" s="31"/>
      <c r="J28" s="1" t="s">
        <v>133</v>
      </c>
      <c r="K28" s="1" t="s">
        <v>41</v>
      </c>
      <c r="L28" s="1" t="s">
        <v>105</v>
      </c>
      <c r="M28" s="1" t="s">
        <v>29</v>
      </c>
      <c r="N28" s="1">
        <v>1</v>
      </c>
      <c r="O28" s="1" t="s">
        <v>42</v>
      </c>
      <c r="P28" s="20" t="s">
        <v>33</v>
      </c>
      <c r="Q28" s="20" t="s">
        <v>32</v>
      </c>
      <c r="R28" s="20" t="s">
        <v>31</v>
      </c>
      <c r="S28" s="20" t="s">
        <v>71</v>
      </c>
      <c r="T28" s="21" t="s">
        <v>33</v>
      </c>
      <c r="U28" s="1" t="s">
        <v>34</v>
      </c>
      <c r="V28" s="25" t="s">
        <v>134</v>
      </c>
    </row>
    <row r="29" spans="2:22" ht="15" x14ac:dyDescent="0.25">
      <c r="B29" s="42" t="s">
        <v>127</v>
      </c>
      <c r="C29" s="33"/>
      <c r="D29" s="33"/>
      <c r="E29" s="33"/>
      <c r="F29" s="33"/>
      <c r="G29" s="33"/>
      <c r="H29" s="43"/>
      <c r="J29" s="1" t="s">
        <v>131</v>
      </c>
      <c r="K29" s="1" t="s">
        <v>41</v>
      </c>
      <c r="L29" s="1" t="s">
        <v>101</v>
      </c>
      <c r="M29" s="1" t="s">
        <v>57</v>
      </c>
      <c r="N29" s="1">
        <v>1</v>
      </c>
      <c r="O29" s="1" t="s">
        <v>30</v>
      </c>
      <c r="P29" s="22" t="s">
        <v>33</v>
      </c>
      <c r="Q29" s="22" t="s">
        <v>32</v>
      </c>
      <c r="R29" s="22" t="s">
        <v>58</v>
      </c>
      <c r="S29" s="22" t="s">
        <v>32</v>
      </c>
      <c r="T29" s="23" t="s">
        <v>32</v>
      </c>
      <c r="U29" s="1" t="s">
        <v>34</v>
      </c>
      <c r="V29" s="25" t="s">
        <v>132</v>
      </c>
    </row>
    <row r="30" spans="2:22" ht="15" x14ac:dyDescent="0.25">
      <c r="B30" s="36" t="s">
        <v>130</v>
      </c>
      <c r="C30" s="37"/>
      <c r="D30" s="37"/>
      <c r="E30" s="37"/>
      <c r="F30" s="37"/>
      <c r="G30" s="37"/>
      <c r="H30" s="38"/>
      <c r="J30" s="1" t="s">
        <v>48</v>
      </c>
      <c r="K30" s="1" t="s">
        <v>25</v>
      </c>
      <c r="L30" s="1" t="s">
        <v>49</v>
      </c>
      <c r="M30" s="1" t="s">
        <v>29</v>
      </c>
      <c r="N30" s="1">
        <v>1</v>
      </c>
      <c r="O30" s="1" t="s">
        <v>42</v>
      </c>
      <c r="P30" s="20" t="s">
        <v>33</v>
      </c>
      <c r="Q30" s="20" t="s">
        <v>32</v>
      </c>
      <c r="R30" s="20" t="s">
        <v>32</v>
      </c>
      <c r="S30" s="20" t="s">
        <v>32</v>
      </c>
      <c r="T30" s="21" t="s">
        <v>32</v>
      </c>
      <c r="U30" s="1" t="s">
        <v>34</v>
      </c>
      <c r="V30" s="25" t="s">
        <v>50</v>
      </c>
    </row>
    <row r="31" spans="2:22" x14ac:dyDescent="0.25">
      <c r="J31" s="1" t="s">
        <v>74</v>
      </c>
      <c r="K31" s="1" t="s">
        <v>38</v>
      </c>
      <c r="L31" s="1" t="s">
        <v>49</v>
      </c>
      <c r="M31" s="1" t="s">
        <v>57</v>
      </c>
      <c r="N31" s="1">
        <v>1</v>
      </c>
      <c r="O31" s="1" t="s">
        <v>30</v>
      </c>
      <c r="P31" s="22" t="s">
        <v>33</v>
      </c>
      <c r="Q31" s="22" t="s">
        <v>32</v>
      </c>
      <c r="R31" s="22" t="s">
        <v>32</v>
      </c>
      <c r="S31" s="22" t="s">
        <v>32</v>
      </c>
      <c r="T31" s="23" t="s">
        <v>32</v>
      </c>
      <c r="U31" s="1" t="s">
        <v>34</v>
      </c>
      <c r="V31" s="25" t="s">
        <v>75</v>
      </c>
    </row>
    <row r="32" spans="2:22" x14ac:dyDescent="0.25">
      <c r="J32" s="1" t="s">
        <v>114</v>
      </c>
      <c r="K32" s="1" t="s">
        <v>65</v>
      </c>
      <c r="L32" s="1" t="s">
        <v>49</v>
      </c>
      <c r="M32" s="1" t="s">
        <v>57</v>
      </c>
      <c r="N32" s="1">
        <v>1</v>
      </c>
      <c r="O32" s="1" t="s">
        <v>42</v>
      </c>
      <c r="P32" s="20" t="s">
        <v>33</v>
      </c>
      <c r="Q32" s="20" t="s">
        <v>32</v>
      </c>
      <c r="R32" s="20" t="s">
        <v>32</v>
      </c>
      <c r="S32" s="20" t="s">
        <v>32</v>
      </c>
      <c r="T32" s="21" t="s">
        <v>32</v>
      </c>
      <c r="U32" s="1" t="s">
        <v>34</v>
      </c>
      <c r="V32" s="25" t="s">
        <v>115</v>
      </c>
    </row>
    <row r="33" spans="10:22" x14ac:dyDescent="0.25">
      <c r="J33" s="1" t="s">
        <v>137</v>
      </c>
      <c r="K33" s="1" t="s">
        <v>49</v>
      </c>
      <c r="L33" s="1" t="s">
        <v>109</v>
      </c>
      <c r="M33" s="1" t="s">
        <v>57</v>
      </c>
      <c r="N33" s="1">
        <v>1</v>
      </c>
      <c r="O33" s="1" t="s">
        <v>30</v>
      </c>
      <c r="P33" s="20" t="s">
        <v>33</v>
      </c>
      <c r="Q33" s="20" t="s">
        <v>32</v>
      </c>
      <c r="R33" s="20" t="s">
        <v>32</v>
      </c>
      <c r="S33" s="20" t="s">
        <v>32</v>
      </c>
      <c r="T33" s="21" t="s">
        <v>32</v>
      </c>
      <c r="U33" s="1" t="s">
        <v>34</v>
      </c>
      <c r="V33" s="25" t="s">
        <v>138</v>
      </c>
    </row>
    <row r="34" spans="10:22" x14ac:dyDescent="0.25">
      <c r="J34" s="1" t="s">
        <v>167</v>
      </c>
      <c r="K34" s="1" t="s">
        <v>105</v>
      </c>
      <c r="L34" s="1" t="s">
        <v>49</v>
      </c>
      <c r="M34" s="1" t="s">
        <v>29</v>
      </c>
      <c r="N34" s="1">
        <v>1</v>
      </c>
      <c r="O34" s="1" t="s">
        <v>42</v>
      </c>
      <c r="P34" s="22" t="s">
        <v>33</v>
      </c>
      <c r="Q34" s="22" t="s">
        <v>32</v>
      </c>
      <c r="R34" s="22" t="s">
        <v>32</v>
      </c>
      <c r="S34" s="22" t="s">
        <v>32</v>
      </c>
      <c r="T34" s="23" t="s">
        <v>32</v>
      </c>
      <c r="U34" s="1" t="s">
        <v>34</v>
      </c>
      <c r="V34" s="25" t="s">
        <v>168</v>
      </c>
    </row>
    <row r="35" spans="10:22" x14ac:dyDescent="0.25">
      <c r="J35" s="1" t="s">
        <v>187</v>
      </c>
      <c r="K35" s="1" t="s">
        <v>49</v>
      </c>
      <c r="L35" s="1" t="s">
        <v>51</v>
      </c>
      <c r="M35" s="1" t="s">
        <v>57</v>
      </c>
      <c r="N35" s="1">
        <v>1</v>
      </c>
      <c r="O35" s="1" t="s">
        <v>42</v>
      </c>
      <c r="P35" s="22" t="s">
        <v>33</v>
      </c>
      <c r="Q35" s="22" t="s">
        <v>32</v>
      </c>
      <c r="R35" s="22" t="s">
        <v>32</v>
      </c>
      <c r="S35" s="22" t="s">
        <v>32</v>
      </c>
      <c r="T35" s="23" t="s">
        <v>32</v>
      </c>
      <c r="U35" s="1" t="s">
        <v>34</v>
      </c>
      <c r="V35" s="25" t="s">
        <v>188</v>
      </c>
    </row>
    <row r="36" spans="10:22" x14ac:dyDescent="0.25">
      <c r="J36" s="1" t="s">
        <v>84</v>
      </c>
      <c r="K36" s="1" t="s">
        <v>46</v>
      </c>
      <c r="L36" s="1" t="s">
        <v>49</v>
      </c>
      <c r="M36" s="1" t="s">
        <v>29</v>
      </c>
      <c r="N36" s="1">
        <v>1</v>
      </c>
      <c r="O36" s="1" t="s">
        <v>42</v>
      </c>
      <c r="P36" s="20" t="s">
        <v>33</v>
      </c>
      <c r="Q36" s="20" t="s">
        <v>32</v>
      </c>
      <c r="R36" s="20" t="s">
        <v>32</v>
      </c>
      <c r="S36" s="20" t="s">
        <v>71</v>
      </c>
      <c r="T36" s="21" t="s">
        <v>32</v>
      </c>
      <c r="U36" s="1" t="s">
        <v>34</v>
      </c>
      <c r="V36" s="25" t="s">
        <v>85</v>
      </c>
    </row>
    <row r="37" spans="10:22" x14ac:dyDescent="0.25">
      <c r="J37" s="1" t="s">
        <v>135</v>
      </c>
      <c r="K37" s="1" t="s">
        <v>49</v>
      </c>
      <c r="L37" s="1" t="s">
        <v>105</v>
      </c>
      <c r="M37" s="1" t="s">
        <v>29</v>
      </c>
      <c r="N37" s="1">
        <v>1</v>
      </c>
      <c r="O37" s="1" t="s">
        <v>42</v>
      </c>
      <c r="P37" s="22" t="s">
        <v>33</v>
      </c>
      <c r="Q37" s="22" t="s">
        <v>32</v>
      </c>
      <c r="R37" s="22" t="s">
        <v>32</v>
      </c>
      <c r="S37" s="22" t="s">
        <v>71</v>
      </c>
      <c r="T37" s="23" t="s">
        <v>32</v>
      </c>
      <c r="U37" s="1" t="s">
        <v>34</v>
      </c>
      <c r="V37" s="25" t="s">
        <v>136</v>
      </c>
    </row>
    <row r="38" spans="10:22" x14ac:dyDescent="0.25">
      <c r="J38" s="1" t="s">
        <v>143</v>
      </c>
      <c r="K38" s="1" t="s">
        <v>82</v>
      </c>
      <c r="L38" s="1" t="s">
        <v>109</v>
      </c>
      <c r="M38" s="1" t="s">
        <v>29</v>
      </c>
      <c r="N38" s="1">
        <v>1</v>
      </c>
      <c r="O38" s="1" t="s">
        <v>30</v>
      </c>
      <c r="P38" s="22" t="s">
        <v>33</v>
      </c>
      <c r="Q38" s="22" t="s">
        <v>32</v>
      </c>
      <c r="R38" s="22" t="s">
        <v>71</v>
      </c>
      <c r="S38" s="22" t="s">
        <v>32</v>
      </c>
      <c r="T38" s="23" t="s">
        <v>32</v>
      </c>
      <c r="U38" s="1" t="s">
        <v>34</v>
      </c>
      <c r="V38" s="25" t="s">
        <v>144</v>
      </c>
    </row>
    <row r="39" spans="10:22" x14ac:dyDescent="0.25">
      <c r="J39" s="1" t="s">
        <v>173</v>
      </c>
      <c r="K39" s="1" t="s">
        <v>109</v>
      </c>
      <c r="L39" s="1" t="s">
        <v>82</v>
      </c>
      <c r="M39" s="1" t="s">
        <v>29</v>
      </c>
      <c r="N39" s="1">
        <v>1</v>
      </c>
      <c r="O39" s="1" t="s">
        <v>30</v>
      </c>
      <c r="P39" s="20" t="s">
        <v>33</v>
      </c>
      <c r="Q39" s="20" t="s">
        <v>32</v>
      </c>
      <c r="R39" s="20" t="s">
        <v>71</v>
      </c>
      <c r="S39" s="20" t="s">
        <v>32</v>
      </c>
      <c r="T39" s="21" t="s">
        <v>32</v>
      </c>
      <c r="U39" s="1" t="s">
        <v>34</v>
      </c>
      <c r="V39" s="25" t="s">
        <v>174</v>
      </c>
    </row>
    <row r="40" spans="10:22" x14ac:dyDescent="0.25">
      <c r="J40" s="1" t="s">
        <v>27</v>
      </c>
      <c r="K40" s="1" t="s">
        <v>25</v>
      </c>
      <c r="L40" s="1" t="s">
        <v>28</v>
      </c>
      <c r="M40" s="1" t="s">
        <v>29</v>
      </c>
      <c r="N40" s="1">
        <v>1</v>
      </c>
      <c r="O40" s="1" t="s">
        <v>30</v>
      </c>
      <c r="P40" s="20" t="s">
        <v>32</v>
      </c>
      <c r="Q40" s="20" t="s">
        <v>31</v>
      </c>
      <c r="R40" s="20" t="s">
        <v>31</v>
      </c>
      <c r="S40" s="20" t="s">
        <v>33</v>
      </c>
      <c r="T40" s="21" t="s">
        <v>33</v>
      </c>
      <c r="U40" s="1" t="s">
        <v>34</v>
      </c>
      <c r="V40" s="25" t="s">
        <v>35</v>
      </c>
    </row>
    <row r="41" spans="10:22" x14ac:dyDescent="0.25">
      <c r="J41" s="1" t="s">
        <v>163</v>
      </c>
      <c r="K41" s="1" t="s">
        <v>105</v>
      </c>
      <c r="L41" s="1" t="s">
        <v>28</v>
      </c>
      <c r="M41" s="1" t="s">
        <v>29</v>
      </c>
      <c r="N41" s="1">
        <v>1</v>
      </c>
      <c r="O41" s="1" t="s">
        <v>30</v>
      </c>
      <c r="P41" s="22" t="s">
        <v>32</v>
      </c>
      <c r="Q41" s="22" t="s">
        <v>31</v>
      </c>
      <c r="R41" s="22" t="s">
        <v>31</v>
      </c>
      <c r="S41" s="22" t="s">
        <v>32</v>
      </c>
      <c r="T41" s="23" t="s">
        <v>33</v>
      </c>
      <c r="U41" s="1" t="s">
        <v>34</v>
      </c>
      <c r="V41" s="25" t="s">
        <v>164</v>
      </c>
    </row>
    <row r="42" spans="10:22" x14ac:dyDescent="0.25">
      <c r="J42" s="1" t="s">
        <v>183</v>
      </c>
      <c r="K42" s="1" t="s">
        <v>28</v>
      </c>
      <c r="L42" s="1" t="s">
        <v>51</v>
      </c>
      <c r="M42" s="1" t="s">
        <v>57</v>
      </c>
      <c r="N42" s="1">
        <v>1</v>
      </c>
      <c r="O42" s="1" t="s">
        <v>30</v>
      </c>
      <c r="P42" s="22" t="s">
        <v>32</v>
      </c>
      <c r="Q42" s="22" t="s">
        <v>31</v>
      </c>
      <c r="R42" s="22" t="s">
        <v>31</v>
      </c>
      <c r="S42" s="22" t="s">
        <v>32</v>
      </c>
      <c r="T42" s="23" t="s">
        <v>71</v>
      </c>
      <c r="U42" s="1" t="s">
        <v>34</v>
      </c>
      <c r="V42" s="25" t="s">
        <v>184</v>
      </c>
    </row>
    <row r="43" spans="10:22" x14ac:dyDescent="0.25">
      <c r="J43" s="1" t="s">
        <v>67</v>
      </c>
      <c r="K43" s="1" t="s">
        <v>38</v>
      </c>
      <c r="L43" s="1" t="s">
        <v>28</v>
      </c>
      <c r="M43" s="1" t="s">
        <v>29</v>
      </c>
      <c r="N43" s="1">
        <v>1</v>
      </c>
      <c r="O43" s="1" t="s">
        <v>30</v>
      </c>
      <c r="P43" s="22" t="s">
        <v>32</v>
      </c>
      <c r="Q43" s="22" t="s">
        <v>31</v>
      </c>
      <c r="R43" s="22" t="s">
        <v>58</v>
      </c>
      <c r="S43" s="22" t="s">
        <v>33</v>
      </c>
      <c r="T43" s="23" t="s">
        <v>33</v>
      </c>
      <c r="U43" s="1" t="s">
        <v>34</v>
      </c>
      <c r="V43" s="25" t="s">
        <v>68</v>
      </c>
    </row>
    <row r="44" spans="10:22" x14ac:dyDescent="0.25">
      <c r="J44" s="1" t="s">
        <v>77</v>
      </c>
      <c r="K44" s="1" t="s">
        <v>46</v>
      </c>
      <c r="L44" s="1" t="s">
        <v>28</v>
      </c>
      <c r="M44" s="1" t="s">
        <v>29</v>
      </c>
      <c r="N44" s="1">
        <v>1</v>
      </c>
      <c r="O44" s="1" t="s">
        <v>30</v>
      </c>
      <c r="P44" s="20" t="s">
        <v>32</v>
      </c>
      <c r="Q44" s="20" t="s">
        <v>31</v>
      </c>
      <c r="R44" s="20" t="s">
        <v>58</v>
      </c>
      <c r="S44" s="20" t="s">
        <v>33</v>
      </c>
      <c r="T44" s="21" t="s">
        <v>33</v>
      </c>
      <c r="U44" s="1" t="s">
        <v>34</v>
      </c>
      <c r="V44" s="25" t="s">
        <v>78</v>
      </c>
    </row>
    <row r="45" spans="10:22" x14ac:dyDescent="0.25">
      <c r="J45" s="1" t="s">
        <v>103</v>
      </c>
      <c r="K45" s="1" t="s">
        <v>60</v>
      </c>
      <c r="L45" s="1" t="s">
        <v>28</v>
      </c>
      <c r="M45" s="1" t="s">
        <v>29</v>
      </c>
      <c r="N45" s="1">
        <v>1</v>
      </c>
      <c r="O45" s="1" t="s">
        <v>30</v>
      </c>
      <c r="P45" s="22" t="s">
        <v>32</v>
      </c>
      <c r="Q45" s="22" t="s">
        <v>31</v>
      </c>
      <c r="R45" s="22" t="s">
        <v>58</v>
      </c>
      <c r="S45" s="22" t="s">
        <v>71</v>
      </c>
      <c r="T45" s="23" t="s">
        <v>33</v>
      </c>
      <c r="U45" s="1" t="s">
        <v>34</v>
      </c>
      <c r="V45" s="25" t="s">
        <v>104</v>
      </c>
    </row>
    <row r="46" spans="10:22" x14ac:dyDescent="0.25">
      <c r="J46" s="1" t="s">
        <v>118</v>
      </c>
      <c r="K46" s="1" t="s">
        <v>65</v>
      </c>
      <c r="L46" s="1" t="s">
        <v>94</v>
      </c>
      <c r="M46" s="1" t="s">
        <v>29</v>
      </c>
      <c r="N46" s="1">
        <v>1</v>
      </c>
      <c r="O46" s="1" t="s">
        <v>30</v>
      </c>
      <c r="P46" s="20" t="s">
        <v>32</v>
      </c>
      <c r="Q46" s="20" t="s">
        <v>31</v>
      </c>
      <c r="R46" s="20" t="s">
        <v>71</v>
      </c>
      <c r="S46" s="20" t="s">
        <v>32</v>
      </c>
      <c r="T46" s="21" t="s">
        <v>32</v>
      </c>
      <c r="U46" s="1" t="s">
        <v>34</v>
      </c>
      <c r="V46" s="25" t="s">
        <v>119</v>
      </c>
    </row>
    <row r="47" spans="10:22" x14ac:dyDescent="0.25">
      <c r="J47" s="1" t="s">
        <v>151</v>
      </c>
      <c r="K47" s="1" t="s">
        <v>94</v>
      </c>
      <c r="L47" s="1" t="s">
        <v>105</v>
      </c>
      <c r="M47" s="1" t="s">
        <v>29</v>
      </c>
      <c r="N47" s="1">
        <v>1</v>
      </c>
      <c r="O47" s="1" t="s">
        <v>30</v>
      </c>
      <c r="P47" s="22" t="s">
        <v>32</v>
      </c>
      <c r="Q47" s="22" t="s">
        <v>31</v>
      </c>
      <c r="R47" s="22" t="s">
        <v>71</v>
      </c>
      <c r="S47" s="22" t="s">
        <v>32</v>
      </c>
      <c r="T47" s="23" t="s">
        <v>32</v>
      </c>
      <c r="U47" s="1" t="s">
        <v>34</v>
      </c>
      <c r="V47" s="25" t="s">
        <v>152</v>
      </c>
    </row>
    <row r="48" spans="10:22" x14ac:dyDescent="0.25">
      <c r="J48" s="1" t="s">
        <v>153</v>
      </c>
      <c r="K48" s="1" t="s">
        <v>94</v>
      </c>
      <c r="L48" s="1" t="s">
        <v>109</v>
      </c>
      <c r="M48" s="1" t="s">
        <v>29</v>
      </c>
      <c r="N48" s="1">
        <v>1</v>
      </c>
      <c r="O48" s="1" t="s">
        <v>30</v>
      </c>
      <c r="P48" s="20" t="s">
        <v>32</v>
      </c>
      <c r="Q48" s="20" t="s">
        <v>58</v>
      </c>
      <c r="R48" s="20" t="s">
        <v>71</v>
      </c>
      <c r="S48" s="20" t="s">
        <v>32</v>
      </c>
      <c r="T48" s="21" t="s">
        <v>32</v>
      </c>
      <c r="U48" s="1" t="s">
        <v>34</v>
      </c>
      <c r="V48" s="25" t="s">
        <v>154</v>
      </c>
    </row>
    <row r="49" spans="10:22" x14ac:dyDescent="0.25">
      <c r="J49" s="1" t="s">
        <v>159</v>
      </c>
      <c r="K49" s="1" t="s">
        <v>101</v>
      </c>
      <c r="L49" s="1" t="s">
        <v>28</v>
      </c>
      <c r="M49" s="1" t="s">
        <v>57</v>
      </c>
      <c r="N49" s="1">
        <v>1</v>
      </c>
      <c r="O49" s="1" t="s">
        <v>30</v>
      </c>
      <c r="P49" s="22" t="s">
        <v>32</v>
      </c>
      <c r="Q49" s="22" t="s">
        <v>32</v>
      </c>
      <c r="R49" s="22" t="s">
        <v>58</v>
      </c>
      <c r="S49" s="22" t="s">
        <v>33</v>
      </c>
      <c r="T49" s="23" t="s">
        <v>33</v>
      </c>
      <c r="U49" s="1" t="s">
        <v>34</v>
      </c>
      <c r="V49" s="25" t="s">
        <v>160</v>
      </c>
    </row>
    <row r="50" spans="10:22" x14ac:dyDescent="0.25">
      <c r="J50" s="1" t="s">
        <v>99</v>
      </c>
      <c r="K50" s="1" t="s">
        <v>53</v>
      </c>
      <c r="L50" s="1" t="s">
        <v>90</v>
      </c>
      <c r="M50" s="1" t="s">
        <v>57</v>
      </c>
      <c r="N50" s="1">
        <v>1</v>
      </c>
      <c r="O50" s="1" t="s">
        <v>42</v>
      </c>
      <c r="P50" s="20" t="s">
        <v>32</v>
      </c>
      <c r="Q50" s="20" t="s">
        <v>32</v>
      </c>
      <c r="R50" s="20" t="s">
        <v>32</v>
      </c>
      <c r="S50" s="20" t="s">
        <v>31</v>
      </c>
      <c r="T50" s="21" t="s">
        <v>32</v>
      </c>
      <c r="U50" s="1" t="s">
        <v>34</v>
      </c>
      <c r="V50" s="25" t="s">
        <v>100</v>
      </c>
    </row>
    <row r="51" spans="10:22" x14ac:dyDescent="0.25">
      <c r="J51" s="1" t="s">
        <v>149</v>
      </c>
      <c r="K51" s="1" t="s">
        <v>90</v>
      </c>
      <c r="L51" s="1" t="s">
        <v>105</v>
      </c>
      <c r="M51" s="1" t="s">
        <v>57</v>
      </c>
      <c r="N51" s="1">
        <v>1</v>
      </c>
      <c r="O51" s="1" t="s">
        <v>42</v>
      </c>
      <c r="P51" s="20" t="s">
        <v>32</v>
      </c>
      <c r="Q51" s="20" t="s">
        <v>32</v>
      </c>
      <c r="R51" s="20" t="s">
        <v>32</v>
      </c>
      <c r="S51" s="20" t="s">
        <v>31</v>
      </c>
      <c r="T51" s="21" t="s">
        <v>32</v>
      </c>
      <c r="U51" s="1" t="s">
        <v>34</v>
      </c>
      <c r="V51" s="25" t="s">
        <v>150</v>
      </c>
    </row>
    <row r="52" spans="10:22" x14ac:dyDescent="0.25">
      <c r="J52" s="1" t="s">
        <v>62</v>
      </c>
      <c r="K52" s="1" t="s">
        <v>25</v>
      </c>
      <c r="L52" s="1" t="s">
        <v>63</v>
      </c>
      <c r="M52" s="1" t="s">
        <v>57</v>
      </c>
      <c r="N52" s="1">
        <v>1</v>
      </c>
      <c r="O52" s="1" t="s">
        <v>42</v>
      </c>
      <c r="P52" s="20" t="s">
        <v>32</v>
      </c>
      <c r="Q52" s="20" t="s">
        <v>32</v>
      </c>
      <c r="R52" s="20" t="s">
        <v>32</v>
      </c>
      <c r="S52" s="20" t="s">
        <v>32</v>
      </c>
      <c r="T52" s="21" t="s">
        <v>32</v>
      </c>
      <c r="U52" s="1" t="s">
        <v>34</v>
      </c>
      <c r="V52" s="25" t="s">
        <v>64</v>
      </c>
    </row>
    <row r="53" spans="10:22" x14ac:dyDescent="0.25">
      <c r="J53" s="1" t="s">
        <v>120</v>
      </c>
      <c r="K53" s="1" t="s">
        <v>65</v>
      </c>
      <c r="L53" s="1" t="s">
        <v>63</v>
      </c>
      <c r="M53" s="1" t="s">
        <v>29</v>
      </c>
      <c r="N53" s="1">
        <v>1</v>
      </c>
      <c r="O53" s="1" t="s">
        <v>30</v>
      </c>
      <c r="P53" s="22" t="s">
        <v>32</v>
      </c>
      <c r="Q53" s="22" t="s">
        <v>32</v>
      </c>
      <c r="R53" s="22" t="s">
        <v>32</v>
      </c>
      <c r="S53" s="22" t="s">
        <v>32</v>
      </c>
      <c r="T53" s="23" t="s">
        <v>32</v>
      </c>
      <c r="U53" s="1" t="s">
        <v>34</v>
      </c>
      <c r="V53" s="25" t="s">
        <v>121</v>
      </c>
    </row>
    <row r="54" spans="10:22" x14ac:dyDescent="0.25">
      <c r="J54" s="1" t="s">
        <v>155</v>
      </c>
      <c r="K54" s="1" t="s">
        <v>63</v>
      </c>
      <c r="L54" s="1" t="s">
        <v>105</v>
      </c>
      <c r="M54" s="1" t="s">
        <v>29</v>
      </c>
      <c r="N54" s="1">
        <v>1</v>
      </c>
      <c r="O54" s="1" t="s">
        <v>30</v>
      </c>
      <c r="P54" s="22" t="s">
        <v>32</v>
      </c>
      <c r="Q54" s="22" t="s">
        <v>32</v>
      </c>
      <c r="R54" s="22" t="s">
        <v>32</v>
      </c>
      <c r="S54" s="22" t="s">
        <v>32</v>
      </c>
      <c r="T54" s="23" t="s">
        <v>32</v>
      </c>
      <c r="U54" s="1" t="s">
        <v>34</v>
      </c>
      <c r="V54" s="25" t="s">
        <v>156</v>
      </c>
    </row>
    <row r="55" spans="10:22" x14ac:dyDescent="0.25">
      <c r="J55" s="1" t="s">
        <v>157</v>
      </c>
      <c r="K55" s="1" t="s">
        <v>63</v>
      </c>
      <c r="L55" s="1" t="s">
        <v>109</v>
      </c>
      <c r="M55" s="1" t="s">
        <v>29</v>
      </c>
      <c r="N55" s="1">
        <v>1</v>
      </c>
      <c r="O55" s="1" t="s">
        <v>30</v>
      </c>
      <c r="P55" s="20" t="s">
        <v>32</v>
      </c>
      <c r="Q55" s="20" t="s">
        <v>32</v>
      </c>
      <c r="R55" s="20" t="s">
        <v>32</v>
      </c>
      <c r="S55" s="20" t="s">
        <v>32</v>
      </c>
      <c r="T55" s="21" t="s">
        <v>32</v>
      </c>
      <c r="U55" s="1" t="s">
        <v>34</v>
      </c>
      <c r="V55" s="25" t="s">
        <v>158</v>
      </c>
    </row>
    <row r="56" spans="10:22" x14ac:dyDescent="0.25">
      <c r="J56" s="1" t="s">
        <v>177</v>
      </c>
      <c r="K56" s="1" t="s">
        <v>109</v>
      </c>
      <c r="L56" s="1" t="s">
        <v>63</v>
      </c>
      <c r="M56" s="1" t="s">
        <v>29</v>
      </c>
      <c r="N56" s="1">
        <v>1</v>
      </c>
      <c r="O56" s="1" t="s">
        <v>30</v>
      </c>
      <c r="P56" s="20" t="s">
        <v>32</v>
      </c>
      <c r="Q56" s="20" t="s">
        <v>32</v>
      </c>
      <c r="R56" s="20" t="s">
        <v>32</v>
      </c>
      <c r="S56" s="20" t="s">
        <v>32</v>
      </c>
      <c r="T56" s="21" t="s">
        <v>32</v>
      </c>
      <c r="U56" s="1" t="s">
        <v>34</v>
      </c>
      <c r="V56" s="25" t="s">
        <v>178</v>
      </c>
    </row>
    <row r="57" spans="10:22" x14ac:dyDescent="0.25">
      <c r="J57" s="1" t="s">
        <v>128</v>
      </c>
      <c r="K57" s="1" t="s">
        <v>28</v>
      </c>
      <c r="L57" s="1" t="s">
        <v>63</v>
      </c>
      <c r="M57" s="1" t="s">
        <v>57</v>
      </c>
      <c r="N57" s="1">
        <v>1</v>
      </c>
      <c r="O57" s="1" t="s">
        <v>30</v>
      </c>
      <c r="P57" s="20" t="s">
        <v>32</v>
      </c>
      <c r="Q57" s="20" t="s">
        <v>71</v>
      </c>
      <c r="R57" s="20" t="s">
        <v>32</v>
      </c>
      <c r="S57" s="20" t="s">
        <v>32</v>
      </c>
      <c r="T57" s="21" t="s">
        <v>32</v>
      </c>
      <c r="U57" s="1" t="s">
        <v>34</v>
      </c>
      <c r="V57" s="25" t="s">
        <v>129</v>
      </c>
    </row>
    <row r="58" spans="10:22" x14ac:dyDescent="0.25">
      <c r="J58" s="1" t="s">
        <v>125</v>
      </c>
      <c r="K58" s="1" t="s">
        <v>28</v>
      </c>
      <c r="L58" s="1" t="s">
        <v>56</v>
      </c>
      <c r="M58" s="1" t="s">
        <v>57</v>
      </c>
      <c r="N58" s="1">
        <v>1</v>
      </c>
      <c r="O58" s="1" t="s">
        <v>30</v>
      </c>
      <c r="P58" s="24" t="s">
        <v>71</v>
      </c>
      <c r="Q58" s="24" t="s">
        <v>32</v>
      </c>
      <c r="R58" s="24" t="s">
        <v>32</v>
      </c>
      <c r="S58" s="24" t="s">
        <v>32</v>
      </c>
      <c r="T58" s="1" t="s">
        <v>32</v>
      </c>
      <c r="U58" s="1" t="s">
        <v>34</v>
      </c>
      <c r="V58" s="25" t="s">
        <v>126</v>
      </c>
    </row>
  </sheetData>
  <mergeCells count="7">
    <mergeCell ref="S1:U1"/>
    <mergeCell ref="E3:H3"/>
    <mergeCell ref="B30:H30"/>
    <mergeCell ref="A3:C3"/>
    <mergeCell ref="B29:H29"/>
    <mergeCell ref="A1:R1"/>
    <mergeCell ref="J3:V3"/>
  </mergeCells>
  <conditionalFormatting sqref="Q5:Q58">
    <cfRule type="expression" dxfId="34" priority="26">
      <formula>$Q5="Bajo"</formula>
    </cfRule>
  </conditionalFormatting>
  <conditionalFormatting sqref="Q5:Q58">
    <cfRule type="expression" dxfId="57" priority="27">
      <formula>$Q5="Medio-Bajo"</formula>
    </cfRule>
  </conditionalFormatting>
  <conditionalFormatting sqref="Q5:Q58">
    <cfRule type="expression" dxfId="33" priority="28">
      <formula>$Q5="Medio"</formula>
    </cfRule>
  </conditionalFormatting>
  <conditionalFormatting sqref="Q5:Q58">
    <cfRule type="expression" dxfId="56" priority="29">
      <formula>$Q5="Medio-Alto"</formula>
    </cfRule>
  </conditionalFormatting>
  <conditionalFormatting sqref="Q5:Q58">
    <cfRule type="expression" dxfId="55" priority="30">
      <formula>$Q5="Alto"</formula>
    </cfRule>
  </conditionalFormatting>
  <conditionalFormatting sqref="R5:R58">
    <cfRule type="expression" dxfId="32" priority="36">
      <formula>$R5="Bajo"</formula>
    </cfRule>
  </conditionalFormatting>
  <conditionalFormatting sqref="R5:R58">
    <cfRule type="expression" dxfId="54" priority="37">
      <formula>$R5="Medio-Bajo"</formula>
    </cfRule>
  </conditionalFormatting>
  <conditionalFormatting sqref="R5:R58">
    <cfRule type="expression" dxfId="31" priority="38">
      <formula>$R5="Medio"</formula>
    </cfRule>
  </conditionalFormatting>
  <conditionalFormatting sqref="R5:R58">
    <cfRule type="expression" dxfId="53" priority="39">
      <formula>$R5="Medio-Alto"</formula>
    </cfRule>
  </conditionalFormatting>
  <conditionalFormatting sqref="R5:R58">
    <cfRule type="expression" dxfId="52" priority="40">
      <formula>$R5="Alto"</formula>
    </cfRule>
  </conditionalFormatting>
  <conditionalFormatting sqref="S5:S58">
    <cfRule type="expression" dxfId="38" priority="41">
      <formula>$S5="Alto"</formula>
    </cfRule>
  </conditionalFormatting>
  <conditionalFormatting sqref="S5:S58">
    <cfRule type="expression" dxfId="51" priority="42">
      <formula>$S5="Medio-Alto"</formula>
    </cfRule>
  </conditionalFormatting>
  <conditionalFormatting sqref="S5:S58">
    <cfRule type="expression" dxfId="37" priority="43">
      <formula>$S5="Medio"</formula>
    </cfRule>
  </conditionalFormatting>
  <conditionalFormatting sqref="S5:S58">
    <cfRule type="expression" dxfId="50" priority="44">
      <formula>$S5="Medio-Bajo"</formula>
    </cfRule>
  </conditionalFormatting>
  <conditionalFormatting sqref="S5:S58">
    <cfRule type="expression" dxfId="49" priority="45">
      <formula>$S5="Bajo"</formula>
    </cfRule>
  </conditionalFormatting>
  <conditionalFormatting sqref="T5:T58">
    <cfRule type="expression" dxfId="36" priority="46">
      <formula>$T5="Alto"</formula>
    </cfRule>
  </conditionalFormatting>
  <conditionalFormatting sqref="T5:T58">
    <cfRule type="expression" dxfId="48" priority="47">
      <formula>$T5="Medio-Alto"</formula>
    </cfRule>
  </conditionalFormatting>
  <conditionalFormatting sqref="T5:T58">
    <cfRule type="expression" dxfId="35" priority="48">
      <formula>$T5="Medio"</formula>
    </cfRule>
  </conditionalFormatting>
  <conditionalFormatting sqref="T5:T58">
    <cfRule type="expression" dxfId="47" priority="49">
      <formula>$T5="Medio-Bajo"</formula>
    </cfRule>
  </conditionalFormatting>
  <conditionalFormatting sqref="T5:T58">
    <cfRule type="expression" dxfId="46" priority="50">
      <formula>$T5="Bajo"</formula>
    </cfRule>
  </conditionalFormatting>
  <conditionalFormatting sqref="P5:P58">
    <cfRule type="expression" dxfId="40" priority="51">
      <formula>$P5="Alto"</formula>
    </cfRule>
  </conditionalFormatting>
  <conditionalFormatting sqref="P5:P58">
    <cfRule type="expression" dxfId="45" priority="52">
      <formula>$P5="Medio-Alto"</formula>
    </cfRule>
  </conditionalFormatting>
  <conditionalFormatting sqref="P5:P58">
    <cfRule type="expression" dxfId="39" priority="53">
      <formula>$P5="Medio"</formula>
    </cfRule>
  </conditionalFormatting>
  <conditionalFormatting sqref="P5:P58">
    <cfRule type="expression" dxfId="44" priority="54">
      <formula>$P5="Medio-Bajo"</formula>
    </cfRule>
  </conditionalFormatting>
  <conditionalFormatting sqref="P5:P58">
    <cfRule type="expression" dxfId="43" priority="55">
      <formula>$P5="Bajo"</formula>
    </cfRule>
  </conditionalFormatting>
  <dataValidations count="6">
    <dataValidation type="list" sqref="H5:H23 N5:N58" xr:uid="{00000000-0002-0000-0000-000000000000}">
      <formula1>"0,1"</formula1>
    </dataValidation>
    <dataValidation type="list" sqref="G5:G23" xr:uid="{00000000-0002-0000-0000-000001000000}">
      <formula1>"O,I,G,D"</formula1>
    </dataValidation>
    <dataValidation type="list" sqref="M5:M58" xr:uid="{00000000-0002-0000-0000-000002000000}">
      <formula1>"principal,secundario,opcional"</formula1>
    </dataValidation>
    <dataValidation type="list" sqref="K5:L58" xr:uid="{00000000-0002-0000-0000-000003000000}">
      <formula1>"O1,O2,O3,O4,O5,O6,I1,I2,I3,I4,I5,I6,I7,I8,I9,G1,G2,G3,D"</formula1>
    </dataValidation>
    <dataValidation type="list" sqref="O5:P58" xr:uid="{00000000-0002-0000-0000-000005000000}">
      <formula1>"E,T,I"</formula1>
    </dataValidation>
    <dataValidation type="list" sqref="P5:T58" xr:uid="{00000000-0002-0000-0000-000004000000}">
      <formula1>"Bajo,Bajo-Medio,Medio,Medio-Alto,Alto"</formula1>
    </dataValidation>
  </dataValidations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W26"/>
  <sheetViews>
    <sheetView showGridLines="0" zoomScaleNormal="100" workbookViewId="0">
      <selection activeCell="K4" sqref="K4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5" width="9.140625" style="4" customWidth="1"/>
    <col min="26" max="16384" width="9.140625" style="4"/>
  </cols>
  <sheetData>
    <row r="2" spans="2:23" s="15" customFormat="1" ht="134.25" customHeight="1" x14ac:dyDescent="0.25">
      <c r="D2" s="27" t="str">
        <f>VLOOKUP(tblMatrizDeAdyacencia[[#Headers],[O1]],tblNodos[#All],2,FALSE)</f>
        <v>Coerción y cobros forzosos</v>
      </c>
      <c r="E2" s="27" t="str">
        <f>VLOOKUP(tblMatrizDeAdyacencia[[#Headers],[O2]],tblNodos[#All],2,FALSE)</f>
        <v>Contrabando / tráfico / comercio ilícito</v>
      </c>
      <c r="F2" s="27" t="str">
        <f>VLOOKUP(tblMatrizDeAdyacencia[[#Headers],[O3]],tblNodos[#All],2,FALSE)</f>
        <v>Explotación de recursos naturales</v>
      </c>
      <c r="G2" s="27" t="str">
        <f>VLOOKUP(tblMatrizDeAdyacencia[[#Headers],[O4]],tblNodos[#All],2,FALSE)</f>
        <v>Autofinanciación lícita / microfinanciación</v>
      </c>
      <c r="H2" s="27" t="str">
        <f>VLOOKUP(tblMatrizDeAdyacencia[[#Headers],[O5]],tblNodos[#All],2,FALSE)</f>
        <v>Actividades económicas formales / negocios</v>
      </c>
      <c r="I2" s="27" t="str">
        <f>VLOOKUP(tblMatrizDeAdyacencia[[#Headers],[O6]],tblNodos[#All],2,FALSE)</f>
        <v>Donaciones / crowdfunding / apoyo online</v>
      </c>
      <c r="J2" s="27" t="str">
        <f>VLOOKUP(tblMatrizDeAdyacencia[[#Headers],[I1]],tblNodos[#All],2,FALSE)</f>
        <v>Efectivo</v>
      </c>
      <c r="K2" s="27" t="str">
        <f>VLOOKUP(tblMatrizDeAdyacencia[[#Headers],[I2]],tblNodos[#All],2,FALSE)</f>
        <v>Hawala / HOSSP</v>
      </c>
      <c r="L2" s="27" t="str">
        <f>VLOOKUP(tblMatrizDeAdyacencia[[#Headers],[I3]],tblNodos[#All],2,FALSE)</f>
        <v>MVTS / remesas</v>
      </c>
      <c r="M2" s="27" t="str">
        <f>VLOOKUP(tblMatrizDeAdyacencia[[#Headers],[I4]],tblNodos[#All],2,FALSE)</f>
        <v>Dinero móvil</v>
      </c>
      <c r="N2" s="27" t="str">
        <f>VLOOKUP(tblMatrizDeAdyacencia[[#Headers],[I5]],tblNodos[#All],2,FALSE)</f>
        <v>Pagos online</v>
      </c>
      <c r="O2" s="27" t="str">
        <f>VLOOKUP(tblMatrizDeAdyacencia[[#Headers],[I6]],tblNodos[#All],2,FALSE)</f>
        <v>Servicios bancarios</v>
      </c>
      <c r="P2" s="27" t="str">
        <f>VLOOKUP(tblMatrizDeAdyacencia[[#Headers],[I7]],tblNodos[#All],2,FALSE)</f>
        <v>Tarjetas prepago / e-wallets</v>
      </c>
      <c r="Q2" s="27" t="str">
        <f>VLOOKUP(tblMatrizDeAdyacencia[[#Headers],[I8]],tblNodos[#All],2,FALSE)</f>
        <v>Plataformas digitales</v>
      </c>
      <c r="R2" s="27" t="str">
        <f>VLOOKUP(tblMatrizDeAdyacencia[[#Headers],[I9]],tblNodos[#All],2,FALSE)</f>
        <v>Activos virtuales</v>
      </c>
      <c r="S2" s="27" t="str">
        <f>VLOOKUP(tblMatrizDeAdyacencia[[#Headers],[G1]],tblNodos[#All],2,FALSE)</f>
        <v>Tesorería central</v>
      </c>
      <c r="T2" s="27" t="str">
        <f>VLOOKUP(tblMatrizDeAdyacencia[[#Headers],[G2]],tblNodos[#All],2,FALSE)</f>
        <v>Centro financiero regional / célula</v>
      </c>
      <c r="U2" s="27" t="str">
        <f>VLOOKUP(tblMatrizDeAdyacencia[[#Headers],[G3]],tblNodos[#All],2,FALSE)</f>
        <v>Facilitador externo / entidad instrumental</v>
      </c>
      <c r="V2" s="27" t="str">
        <f>VLOOKUP(tblMatrizDeAdyacencia[[#Headers],[D]],tblNodos[#All],2,FALSE)</f>
        <v>Destino operativo</v>
      </c>
      <c r="W2" s="26"/>
    </row>
    <row r="3" spans="2:23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</row>
    <row r="4" spans="2:23" ht="17.25" customHeight="1" x14ac:dyDescent="0.25">
      <c r="B4" s="14" t="str">
        <f>VLOOKUP(tblMatrizDeAdyacencia[[#This Row],[NodoOrigen \ NodoDestino]],tblNodos[#All],2,FALSE)</f>
        <v>Coerción y cobros forzosos</v>
      </c>
      <c r="C4" s="6" t="s">
        <v>25</v>
      </c>
      <c r="D4" s="5">
        <f>IF(COUNTIFS(Red!$K$5:$K$58,$C4,Red!$L$5:$L$58,D$3,Red!$N$5:$N$58,1)&gt;0,1,0)</f>
        <v>0</v>
      </c>
      <c r="E4" s="5">
        <f>IF(COUNTIFS(Red!$K$5:$K$58,$C4,Red!$L$5:$L$58,E$3,Red!$N$5:$N$58,1)&gt;0,1,0)</f>
        <v>0</v>
      </c>
      <c r="F4" s="5">
        <f>IF(COUNTIFS(Red!$K$5:$K$58,$C4,Red!$L$5:$L$58,F$3,Red!$N$5:$N$58,1)&gt;0,1,0)</f>
        <v>0</v>
      </c>
      <c r="G4" s="5">
        <f>IF(COUNTIFS(Red!$K$5:$K$58,$C4,Red!$L$5:$L$58,G$3,Red!$N$5:$N$58,1)&gt;0,1,0)</f>
        <v>0</v>
      </c>
      <c r="H4" s="5">
        <f>IF(COUNTIFS(Red!$K$5:$K$58,$C4,Red!$L$5:$L$58,H$3,Red!$N$5:$N$58,1)&gt;0,1,0)</f>
        <v>0</v>
      </c>
      <c r="I4" s="5">
        <f>IF(COUNTIFS(Red!$K$5:$K$58,$C4,Red!$L$5:$L$58,I$3,Red!$N$5:$N$58,1)&gt;0,1,0)</f>
        <v>0</v>
      </c>
      <c r="J4" s="5">
        <f>IF(COUNTIFS(Red!$K$5:$K$58,$C4,Red!$L$5:$L$58,J$3,Red!$N$5:$N$58,1)&gt;0,1,0)</f>
        <v>1</v>
      </c>
      <c r="K4" s="5">
        <f>IF(COUNTIFS(Red!$K$5:$K$58,$C4,Red!$L$5:$L$58,K$3,Red!$N$5:$N$58,1)&gt;0,1,0)</f>
        <v>1</v>
      </c>
      <c r="L4" s="5">
        <f>IF(COUNTIFS(Red!$K$5:$K$58,$C4,Red!$L$5:$L$58,L$3,Red!$N$5:$N$58,1)&gt;0,1,0)</f>
        <v>1</v>
      </c>
      <c r="M4" s="5">
        <f>IF(COUNTIFS(Red!$K$5:$K$58,$C4,Red!$L$5:$L$58,M$3,Red!$N$5:$N$58,1)&gt;0,1,0)</f>
        <v>1</v>
      </c>
      <c r="N4" s="5">
        <f>IF(COUNTIFS(Red!$K$5:$K$58,$C4,Red!$L$5:$L$58,N$3,Red!$N$5:$N$58,1)&gt;0,1,0)</f>
        <v>0</v>
      </c>
      <c r="O4" s="5">
        <f>IF(COUNTIFS(Red!$K$5:$K$58,$C4,Red!$L$5:$L$58,O$3,Red!$N$5:$N$58,1)&gt;0,1,0)</f>
        <v>0</v>
      </c>
      <c r="P4" s="5">
        <f>IF(COUNTIFS(Red!$K$5:$K$58,$C4,Red!$L$5:$L$58,P$3,Red!$N$5:$N$58,1)&gt;0,1,0)</f>
        <v>0</v>
      </c>
      <c r="Q4" s="5">
        <f>IF(COUNTIFS(Red!$K$5:$K$58,$C4,Red!$L$5:$L$58,Q$3,Red!$N$5:$N$58,1)&gt;0,1,0)</f>
        <v>0</v>
      </c>
      <c r="R4" s="5">
        <f>IF(COUNTIFS(Red!$K$5:$K$58,$C4,Red!$L$5:$L$58,R$3,Red!$N$5:$N$58,1)&gt;0,1,0)</f>
        <v>1</v>
      </c>
      <c r="S4" s="5">
        <f>IF(COUNTIFS(Red!$K$5:$K$58,$C4,Red!$L$5:$L$58,S$3,Red!$N$5:$N$58,1)&gt;0,1,0)</f>
        <v>0</v>
      </c>
      <c r="T4" s="5">
        <f>IF(COUNTIFS(Red!$K$5:$K$58,$C4,Red!$L$5:$L$58,T$3,Red!$N$5:$N$58,1)&gt;0,1,0)</f>
        <v>0</v>
      </c>
      <c r="U4" s="5">
        <f>IF(COUNTIFS(Red!$K$5:$K$58,$C4,Red!$L$5:$L$58,U$3,Red!$N$5:$N$58,1)&gt;0,1,0)</f>
        <v>0</v>
      </c>
      <c r="V4" s="7">
        <f>IF(COUNTIFS(Red!$K$5:$K$58,$C4,Red!$L$5:$L$58,V$3,Red!$N$5:$N$58,1)&gt;0,1,0)</f>
        <v>0</v>
      </c>
    </row>
    <row r="5" spans="2:23" ht="17.25" customHeight="1" x14ac:dyDescent="0.25">
      <c r="B5" s="15" t="str">
        <f>VLOOKUP(tblMatrizDeAdyacencia[[#This Row],[NodoOrigen \ NodoDestino]],tblNodos[#All],2,FALSE)</f>
        <v>Contrabando / tráfico / comercio ilícito</v>
      </c>
      <c r="C5" s="6" t="s">
        <v>38</v>
      </c>
      <c r="D5" s="5">
        <f>IF(COUNTIFS(Red!$K$5:$K$58,$C5,Red!$L$5:$L$58,D$3,Red!$N$5:$N$58,1)&gt;0,1,0)</f>
        <v>0</v>
      </c>
      <c r="E5" s="5">
        <f>IF(COUNTIFS(Red!$K$5:$K$58,$C5,Red!$L$5:$L$58,E$3,Red!$N$5:$N$58,1)&gt;0,1,0)</f>
        <v>0</v>
      </c>
      <c r="F5" s="5">
        <f>IF(COUNTIFS(Red!$K$5:$K$58,$C5,Red!$L$5:$L$58,F$3,Red!$N$5:$N$58,1)&gt;0,1,0)</f>
        <v>0</v>
      </c>
      <c r="G5" s="5">
        <f>IF(COUNTIFS(Red!$K$5:$K$58,$C5,Red!$L$5:$L$58,G$3,Red!$N$5:$N$58,1)&gt;0,1,0)</f>
        <v>0</v>
      </c>
      <c r="H5" s="5">
        <f>IF(COUNTIFS(Red!$K$5:$K$58,$C5,Red!$L$5:$L$58,H$3,Red!$N$5:$N$58,1)&gt;0,1,0)</f>
        <v>0</v>
      </c>
      <c r="I5" s="5">
        <f>IF(COUNTIFS(Red!$K$5:$K$58,$C5,Red!$L$5:$L$58,I$3,Red!$N$5:$N$58,1)&gt;0,1,0)</f>
        <v>0</v>
      </c>
      <c r="J5" s="5">
        <f>IF(COUNTIFS(Red!$K$5:$K$58,$C5,Red!$L$5:$L$58,J$3,Red!$N$5:$N$58,1)&gt;0,1,0)</f>
        <v>1</v>
      </c>
      <c r="K5" s="5">
        <f>IF(COUNTIFS(Red!$K$5:$K$58,$C5,Red!$L$5:$L$58,K$3,Red!$N$5:$N$58,1)&gt;0,1,0)</f>
        <v>1</v>
      </c>
      <c r="L5" s="5">
        <f>IF(COUNTIFS(Red!$K$5:$K$58,$C5,Red!$L$5:$L$58,L$3,Red!$N$5:$N$58,1)&gt;0,1,0)</f>
        <v>1</v>
      </c>
      <c r="M5" s="5">
        <f>IF(COUNTIFS(Red!$K$5:$K$58,$C5,Red!$L$5:$L$58,M$3,Red!$N$5:$N$58,1)&gt;0,1,0)</f>
        <v>0</v>
      </c>
      <c r="N5" s="5">
        <f>IF(COUNTIFS(Red!$K$5:$K$58,$C5,Red!$L$5:$L$58,N$3,Red!$N$5:$N$58,1)&gt;0,1,0)</f>
        <v>0</v>
      </c>
      <c r="O5" s="5">
        <f>IF(COUNTIFS(Red!$K$5:$K$58,$C5,Red!$L$5:$L$58,O$3,Red!$N$5:$N$58,1)&gt;0,1,0)</f>
        <v>0</v>
      </c>
      <c r="P5" s="5">
        <f>IF(COUNTIFS(Red!$K$5:$K$58,$C5,Red!$L$5:$L$58,P$3,Red!$N$5:$N$58,1)&gt;0,1,0)</f>
        <v>0</v>
      </c>
      <c r="Q5" s="5">
        <f>IF(COUNTIFS(Red!$K$5:$K$58,$C5,Red!$L$5:$L$58,Q$3,Red!$N$5:$N$58,1)&gt;0,1,0)</f>
        <v>0</v>
      </c>
      <c r="R5" s="5">
        <f>IF(COUNTIFS(Red!$K$5:$K$58,$C5,Red!$L$5:$L$58,R$3,Red!$N$5:$N$58,1)&gt;0,1,0)</f>
        <v>0</v>
      </c>
      <c r="S5" s="5">
        <f>IF(COUNTIFS(Red!$K$5:$K$58,$C5,Red!$L$5:$L$58,S$3,Red!$N$5:$N$58,1)&gt;0,1,0)</f>
        <v>0</v>
      </c>
      <c r="T5" s="5">
        <f>IF(COUNTIFS(Red!$K$5:$K$58,$C5,Red!$L$5:$L$58,T$3,Red!$N$5:$N$58,1)&gt;0,1,0)</f>
        <v>0</v>
      </c>
      <c r="U5" s="5">
        <f>IF(COUNTIFS(Red!$K$5:$K$58,$C5,Red!$L$5:$L$58,U$3,Red!$N$5:$N$58,1)&gt;0,1,0)</f>
        <v>0</v>
      </c>
      <c r="V5" s="7">
        <f>IF(COUNTIFS(Red!$K$5:$K$58,$C5,Red!$L$5:$L$58,V$3,Red!$N$5:$N$58,1)&gt;0,1,0)</f>
        <v>0</v>
      </c>
    </row>
    <row r="6" spans="2:23" ht="17.25" customHeight="1" x14ac:dyDescent="0.25">
      <c r="B6" s="15" t="str">
        <f>VLOOKUP(tblMatrizDeAdyacencia[[#This Row],[NodoOrigen \ NodoDestino]],tblNodos[#All],2,FALSE)</f>
        <v>Explotación de recursos naturales</v>
      </c>
      <c r="C6" s="6" t="s">
        <v>46</v>
      </c>
      <c r="D6" s="5">
        <f>IF(COUNTIFS(Red!$K$5:$K$58,$C6,Red!$L$5:$L$58,D$3,Red!$N$5:$N$58,1)&gt;0,1,0)</f>
        <v>0</v>
      </c>
      <c r="E6" s="5">
        <f>IF(COUNTIFS(Red!$K$5:$K$58,$C6,Red!$L$5:$L$58,E$3,Red!$N$5:$N$58,1)&gt;0,1,0)</f>
        <v>0</v>
      </c>
      <c r="F6" s="5">
        <f>IF(COUNTIFS(Red!$K$5:$K$58,$C6,Red!$L$5:$L$58,F$3,Red!$N$5:$N$58,1)&gt;0,1,0)</f>
        <v>0</v>
      </c>
      <c r="G6" s="5">
        <f>IF(COUNTIFS(Red!$K$5:$K$58,$C6,Red!$L$5:$L$58,G$3,Red!$N$5:$N$58,1)&gt;0,1,0)</f>
        <v>0</v>
      </c>
      <c r="H6" s="5">
        <f>IF(COUNTIFS(Red!$K$5:$K$58,$C6,Red!$L$5:$L$58,H$3,Red!$N$5:$N$58,1)&gt;0,1,0)</f>
        <v>0</v>
      </c>
      <c r="I6" s="5">
        <f>IF(COUNTIFS(Red!$K$5:$K$58,$C6,Red!$L$5:$L$58,I$3,Red!$N$5:$N$58,1)&gt;0,1,0)</f>
        <v>0</v>
      </c>
      <c r="J6" s="5">
        <f>IF(COUNTIFS(Red!$K$5:$K$58,$C6,Red!$L$5:$L$58,J$3,Red!$N$5:$N$58,1)&gt;0,1,0)</f>
        <v>1</v>
      </c>
      <c r="K6" s="5">
        <f>IF(COUNTIFS(Red!$K$5:$K$58,$C6,Red!$L$5:$L$58,K$3,Red!$N$5:$N$58,1)&gt;0,1,0)</f>
        <v>1</v>
      </c>
      <c r="L6" s="5">
        <f>IF(COUNTIFS(Red!$K$5:$K$58,$C6,Red!$L$5:$L$58,L$3,Red!$N$5:$N$58,1)&gt;0,1,0)</f>
        <v>1</v>
      </c>
      <c r="M6" s="5">
        <f>IF(COUNTIFS(Red!$K$5:$K$58,$C6,Red!$L$5:$L$58,M$3,Red!$N$5:$N$58,1)&gt;0,1,0)</f>
        <v>0</v>
      </c>
      <c r="N6" s="5">
        <f>IF(COUNTIFS(Red!$K$5:$K$58,$C6,Red!$L$5:$L$58,N$3,Red!$N$5:$N$58,1)&gt;0,1,0)</f>
        <v>0</v>
      </c>
      <c r="O6" s="5">
        <f>IF(COUNTIFS(Red!$K$5:$K$58,$C6,Red!$L$5:$L$58,O$3,Red!$N$5:$N$58,1)&gt;0,1,0)</f>
        <v>0</v>
      </c>
      <c r="P6" s="5">
        <f>IF(COUNTIFS(Red!$K$5:$K$58,$C6,Red!$L$5:$L$58,P$3,Red!$N$5:$N$58,1)&gt;0,1,0)</f>
        <v>0</v>
      </c>
      <c r="Q6" s="5">
        <f>IF(COUNTIFS(Red!$K$5:$K$58,$C6,Red!$L$5:$L$58,Q$3,Red!$N$5:$N$58,1)&gt;0,1,0)</f>
        <v>0</v>
      </c>
      <c r="R6" s="5">
        <f>IF(COUNTIFS(Red!$K$5:$K$58,$C6,Red!$L$5:$L$58,R$3,Red!$N$5:$N$58,1)&gt;0,1,0)</f>
        <v>0</v>
      </c>
      <c r="S6" s="5">
        <f>IF(COUNTIFS(Red!$K$5:$K$58,$C6,Red!$L$5:$L$58,S$3,Red!$N$5:$N$58,1)&gt;0,1,0)</f>
        <v>0</v>
      </c>
      <c r="T6" s="5">
        <f>IF(COUNTIFS(Red!$K$5:$K$58,$C6,Red!$L$5:$L$58,T$3,Red!$N$5:$N$58,1)&gt;0,1,0)</f>
        <v>0</v>
      </c>
      <c r="U6" s="5">
        <f>IF(COUNTIFS(Red!$K$5:$K$58,$C6,Red!$L$5:$L$58,U$3,Red!$N$5:$N$58,1)&gt;0,1,0)</f>
        <v>0</v>
      </c>
      <c r="V6" s="7">
        <f>IF(COUNTIFS(Red!$K$5:$K$58,$C6,Red!$L$5:$L$58,V$3,Red!$N$5:$N$58,1)&gt;0,1,0)</f>
        <v>0</v>
      </c>
    </row>
    <row r="7" spans="2:23" ht="17.25" customHeight="1" x14ac:dyDescent="0.25">
      <c r="B7" s="15" t="str">
        <f>VLOOKUP(tblMatrizDeAdyacencia[[#This Row],[NodoOrigen \ NodoDestino]],tblNodos[#All],2,FALSE)</f>
        <v>Autofinanciación lícita / microfinanciación</v>
      </c>
      <c r="C7" s="6" t="s">
        <v>53</v>
      </c>
      <c r="D7" s="5">
        <f>IF(COUNTIFS(Red!$K$5:$K$58,$C7,Red!$L$5:$L$58,D$3,Red!$N$5:$N$58,1)&gt;0,1,0)</f>
        <v>0</v>
      </c>
      <c r="E7" s="5">
        <f>IF(COUNTIFS(Red!$K$5:$K$58,$C7,Red!$L$5:$L$58,E$3,Red!$N$5:$N$58,1)&gt;0,1,0)</f>
        <v>0</v>
      </c>
      <c r="F7" s="5">
        <f>IF(COUNTIFS(Red!$K$5:$K$58,$C7,Red!$L$5:$L$58,F$3,Red!$N$5:$N$58,1)&gt;0,1,0)</f>
        <v>0</v>
      </c>
      <c r="G7" s="5">
        <f>IF(COUNTIFS(Red!$K$5:$K$58,$C7,Red!$L$5:$L$58,G$3,Red!$N$5:$N$58,1)&gt;0,1,0)</f>
        <v>0</v>
      </c>
      <c r="H7" s="5">
        <f>IF(COUNTIFS(Red!$K$5:$K$58,$C7,Red!$L$5:$L$58,H$3,Red!$N$5:$N$58,1)&gt;0,1,0)</f>
        <v>0</v>
      </c>
      <c r="I7" s="5">
        <f>IF(COUNTIFS(Red!$K$5:$K$58,$C7,Red!$L$5:$L$58,I$3,Red!$N$5:$N$58,1)&gt;0,1,0)</f>
        <v>0</v>
      </c>
      <c r="J7" s="5">
        <f>IF(COUNTIFS(Red!$K$5:$K$58,$C7,Red!$L$5:$L$58,J$3,Red!$N$5:$N$58,1)&gt;0,1,0)</f>
        <v>0</v>
      </c>
      <c r="K7" s="5">
        <f>IF(COUNTIFS(Red!$K$5:$K$58,$C7,Red!$L$5:$L$58,K$3,Red!$N$5:$N$58,1)&gt;0,1,0)</f>
        <v>0</v>
      </c>
      <c r="L7" s="5">
        <f>IF(COUNTIFS(Red!$K$5:$K$58,$C7,Red!$L$5:$L$58,L$3,Red!$N$5:$N$58,1)&gt;0,1,0)</f>
        <v>0</v>
      </c>
      <c r="M7" s="5">
        <f>IF(COUNTIFS(Red!$K$5:$K$58,$C7,Red!$L$5:$L$58,M$3,Red!$N$5:$N$58,1)&gt;0,1,0)</f>
        <v>1</v>
      </c>
      <c r="N7" s="5">
        <f>IF(COUNTIFS(Red!$K$5:$K$58,$C7,Red!$L$5:$L$58,N$3,Red!$N$5:$N$58,1)&gt;0,1,0)</f>
        <v>1</v>
      </c>
      <c r="O7" s="5">
        <f>IF(COUNTIFS(Red!$K$5:$K$58,$C7,Red!$L$5:$L$58,O$3,Red!$N$5:$N$58,1)&gt;0,1,0)</f>
        <v>1</v>
      </c>
      <c r="P7" s="5">
        <f>IF(COUNTIFS(Red!$K$5:$K$58,$C7,Red!$L$5:$L$58,P$3,Red!$N$5:$N$58,1)&gt;0,1,0)</f>
        <v>1</v>
      </c>
      <c r="Q7" s="5">
        <f>IF(COUNTIFS(Red!$K$5:$K$58,$C7,Red!$L$5:$L$58,Q$3,Red!$N$5:$N$58,1)&gt;0,1,0)</f>
        <v>0</v>
      </c>
      <c r="R7" s="5">
        <f>IF(COUNTIFS(Red!$K$5:$K$58,$C7,Red!$L$5:$L$58,R$3,Red!$N$5:$N$58,1)&gt;0,1,0)</f>
        <v>0</v>
      </c>
      <c r="S7" s="5">
        <f>IF(COUNTIFS(Red!$K$5:$K$58,$C7,Red!$L$5:$L$58,S$3,Red!$N$5:$N$58,1)&gt;0,1,0)</f>
        <v>0</v>
      </c>
      <c r="T7" s="5">
        <f>IF(COUNTIFS(Red!$K$5:$K$58,$C7,Red!$L$5:$L$58,T$3,Red!$N$5:$N$58,1)&gt;0,1,0)</f>
        <v>0</v>
      </c>
      <c r="U7" s="5">
        <f>IF(COUNTIFS(Red!$K$5:$K$58,$C7,Red!$L$5:$L$58,U$3,Red!$N$5:$N$58,1)&gt;0,1,0)</f>
        <v>0</v>
      </c>
      <c r="V7" s="7">
        <f>IF(COUNTIFS(Red!$K$5:$K$58,$C7,Red!$L$5:$L$58,V$3,Red!$N$5:$N$58,1)&gt;0,1,0)</f>
        <v>0</v>
      </c>
    </row>
    <row r="8" spans="2:23" ht="17.25" customHeight="1" x14ac:dyDescent="0.25">
      <c r="B8" s="15" t="str">
        <f>VLOOKUP(tblMatrizDeAdyacencia[[#This Row],[NodoOrigen \ NodoDestino]],tblNodos[#All],2,FALSE)</f>
        <v>Actividades económicas formales / negocios</v>
      </c>
      <c r="C8" s="6" t="s">
        <v>60</v>
      </c>
      <c r="D8" s="5">
        <f>IF(COUNTIFS(Red!$K$5:$K$58,$C8,Red!$L$5:$L$58,D$3,Red!$N$5:$N$58,1)&gt;0,1,0)</f>
        <v>0</v>
      </c>
      <c r="E8" s="5">
        <f>IF(COUNTIFS(Red!$K$5:$K$58,$C8,Red!$L$5:$L$58,E$3,Red!$N$5:$N$58,1)&gt;0,1,0)</f>
        <v>0</v>
      </c>
      <c r="F8" s="5">
        <f>IF(COUNTIFS(Red!$K$5:$K$58,$C8,Red!$L$5:$L$58,F$3,Red!$N$5:$N$58,1)&gt;0,1,0)</f>
        <v>0</v>
      </c>
      <c r="G8" s="5">
        <f>IF(COUNTIFS(Red!$K$5:$K$58,$C8,Red!$L$5:$L$58,G$3,Red!$N$5:$N$58,1)&gt;0,1,0)</f>
        <v>0</v>
      </c>
      <c r="H8" s="5">
        <f>IF(COUNTIFS(Red!$K$5:$K$58,$C8,Red!$L$5:$L$58,H$3,Red!$N$5:$N$58,1)&gt;0,1,0)</f>
        <v>0</v>
      </c>
      <c r="I8" s="5">
        <f>IF(COUNTIFS(Red!$K$5:$K$58,$C8,Red!$L$5:$L$58,I$3,Red!$N$5:$N$58,1)&gt;0,1,0)</f>
        <v>0</v>
      </c>
      <c r="J8" s="5">
        <f>IF(COUNTIFS(Red!$K$5:$K$58,$C8,Red!$L$5:$L$58,J$3,Red!$N$5:$N$58,1)&gt;0,1,0)</f>
        <v>1</v>
      </c>
      <c r="K8" s="5">
        <f>IF(COUNTIFS(Red!$K$5:$K$58,$C8,Red!$L$5:$L$58,K$3,Red!$N$5:$N$58,1)&gt;0,1,0)</f>
        <v>0</v>
      </c>
      <c r="L8" s="5">
        <f>IF(COUNTIFS(Red!$K$5:$K$58,$C8,Red!$L$5:$L$58,L$3,Red!$N$5:$N$58,1)&gt;0,1,0)</f>
        <v>0</v>
      </c>
      <c r="M8" s="5">
        <f>IF(COUNTIFS(Red!$K$5:$K$58,$C8,Red!$L$5:$L$58,M$3,Red!$N$5:$N$58,1)&gt;0,1,0)</f>
        <v>0</v>
      </c>
      <c r="N8" s="5">
        <f>IF(COUNTIFS(Red!$K$5:$K$58,$C8,Red!$L$5:$L$58,N$3,Red!$N$5:$N$58,1)&gt;0,1,0)</f>
        <v>1</v>
      </c>
      <c r="O8" s="5">
        <f>IF(COUNTIFS(Red!$K$5:$K$58,$C8,Red!$L$5:$L$58,O$3,Red!$N$5:$N$58,1)&gt;0,1,0)</f>
        <v>1</v>
      </c>
      <c r="P8" s="5">
        <f>IF(COUNTIFS(Red!$K$5:$K$58,$C8,Red!$L$5:$L$58,P$3,Red!$N$5:$N$58,1)&gt;0,1,0)</f>
        <v>0</v>
      </c>
      <c r="Q8" s="5">
        <f>IF(COUNTIFS(Red!$K$5:$K$58,$C8,Red!$L$5:$L$58,Q$3,Red!$N$5:$N$58,1)&gt;0,1,0)</f>
        <v>0</v>
      </c>
      <c r="R8" s="5">
        <f>IF(COUNTIFS(Red!$K$5:$K$58,$C8,Red!$L$5:$L$58,R$3,Red!$N$5:$N$58,1)&gt;0,1,0)</f>
        <v>0</v>
      </c>
      <c r="S8" s="5">
        <f>IF(COUNTIFS(Red!$K$5:$K$58,$C8,Red!$L$5:$L$58,S$3,Red!$N$5:$N$58,1)&gt;0,1,0)</f>
        <v>0</v>
      </c>
      <c r="T8" s="5">
        <f>IF(COUNTIFS(Red!$K$5:$K$58,$C8,Red!$L$5:$L$58,T$3,Red!$N$5:$N$58,1)&gt;0,1,0)</f>
        <v>0</v>
      </c>
      <c r="U8" s="5">
        <f>IF(COUNTIFS(Red!$K$5:$K$58,$C8,Red!$L$5:$L$58,U$3,Red!$N$5:$N$58,1)&gt;0,1,0)</f>
        <v>0</v>
      </c>
      <c r="V8" s="7">
        <f>IF(COUNTIFS(Red!$K$5:$K$58,$C8,Red!$L$5:$L$58,V$3,Red!$N$5:$N$58,1)&gt;0,1,0)</f>
        <v>0</v>
      </c>
    </row>
    <row r="9" spans="2:23" ht="17.25" customHeight="1" x14ac:dyDescent="0.25">
      <c r="B9" s="15" t="str">
        <f>VLOOKUP(tblMatrizDeAdyacencia[[#This Row],[NodoOrigen \ NodoDestino]],tblNodos[#All],2,FALSE)</f>
        <v>Donaciones / crowdfunding / apoyo online</v>
      </c>
      <c r="C9" s="6" t="s">
        <v>65</v>
      </c>
      <c r="D9" s="5">
        <f>IF(COUNTIFS(Red!$K$5:$K$58,$C9,Red!$L$5:$L$58,D$3,Red!$N$5:$N$58,1)&gt;0,1,0)</f>
        <v>0</v>
      </c>
      <c r="E9" s="5">
        <f>IF(COUNTIFS(Red!$K$5:$K$58,$C9,Red!$L$5:$L$58,E$3,Red!$N$5:$N$58,1)&gt;0,1,0)</f>
        <v>0</v>
      </c>
      <c r="F9" s="5">
        <f>IF(COUNTIFS(Red!$K$5:$K$58,$C9,Red!$L$5:$L$58,F$3,Red!$N$5:$N$58,1)&gt;0,1,0)</f>
        <v>0</v>
      </c>
      <c r="G9" s="5">
        <f>IF(COUNTIFS(Red!$K$5:$K$58,$C9,Red!$L$5:$L$58,G$3,Red!$N$5:$N$58,1)&gt;0,1,0)</f>
        <v>0</v>
      </c>
      <c r="H9" s="5">
        <f>IF(COUNTIFS(Red!$K$5:$K$58,$C9,Red!$L$5:$L$58,H$3,Red!$N$5:$N$58,1)&gt;0,1,0)</f>
        <v>0</v>
      </c>
      <c r="I9" s="5">
        <f>IF(COUNTIFS(Red!$K$5:$K$58,$C9,Red!$L$5:$L$58,I$3,Red!$N$5:$N$58,1)&gt;0,1,0)</f>
        <v>0</v>
      </c>
      <c r="J9" s="5">
        <f>IF(COUNTIFS(Red!$K$5:$K$58,$C9,Red!$L$5:$L$58,J$3,Red!$N$5:$N$58,1)&gt;0,1,0)</f>
        <v>0</v>
      </c>
      <c r="K9" s="5">
        <f>IF(COUNTIFS(Red!$K$5:$K$58,$C9,Red!$L$5:$L$58,K$3,Red!$N$5:$N$58,1)&gt;0,1,0)</f>
        <v>0</v>
      </c>
      <c r="L9" s="5">
        <f>IF(COUNTIFS(Red!$K$5:$K$58,$C9,Red!$L$5:$L$58,L$3,Red!$N$5:$N$58,1)&gt;0,1,0)</f>
        <v>1</v>
      </c>
      <c r="M9" s="5">
        <f>IF(COUNTIFS(Red!$K$5:$K$58,$C9,Red!$L$5:$L$58,M$3,Red!$N$5:$N$58,1)&gt;0,1,0)</f>
        <v>0</v>
      </c>
      <c r="N9" s="5">
        <f>IF(COUNTIFS(Red!$K$5:$K$58,$C9,Red!$L$5:$L$58,N$3,Red!$N$5:$N$58,1)&gt;0,1,0)</f>
        <v>1</v>
      </c>
      <c r="O9" s="5">
        <f>IF(COUNTIFS(Red!$K$5:$K$58,$C9,Red!$L$5:$L$58,O$3,Red!$N$5:$N$58,1)&gt;0,1,0)</f>
        <v>0</v>
      </c>
      <c r="P9" s="5">
        <f>IF(COUNTIFS(Red!$K$5:$K$58,$C9,Red!$L$5:$L$58,P$3,Red!$N$5:$N$58,1)&gt;0,1,0)</f>
        <v>0</v>
      </c>
      <c r="Q9" s="5">
        <f>IF(COUNTIFS(Red!$K$5:$K$58,$C9,Red!$L$5:$L$58,Q$3,Red!$N$5:$N$58,1)&gt;0,1,0)</f>
        <v>1</v>
      </c>
      <c r="R9" s="5">
        <f>IF(COUNTIFS(Red!$K$5:$K$58,$C9,Red!$L$5:$L$58,R$3,Red!$N$5:$N$58,1)&gt;0,1,0)</f>
        <v>1</v>
      </c>
      <c r="S9" s="5">
        <f>IF(COUNTIFS(Red!$K$5:$K$58,$C9,Red!$L$5:$L$58,S$3,Red!$N$5:$N$58,1)&gt;0,1,0)</f>
        <v>0</v>
      </c>
      <c r="T9" s="5">
        <f>IF(COUNTIFS(Red!$K$5:$K$58,$C9,Red!$L$5:$L$58,T$3,Red!$N$5:$N$58,1)&gt;0,1,0)</f>
        <v>0</v>
      </c>
      <c r="U9" s="5">
        <f>IF(COUNTIFS(Red!$K$5:$K$58,$C9,Red!$L$5:$L$58,U$3,Red!$N$5:$N$58,1)&gt;0,1,0)</f>
        <v>0</v>
      </c>
      <c r="V9" s="7">
        <f>IF(COUNTIFS(Red!$K$5:$K$58,$C9,Red!$L$5:$L$58,V$3,Red!$N$5:$N$58,1)&gt;0,1,0)</f>
        <v>0</v>
      </c>
    </row>
    <row r="10" spans="2:23" ht="17.25" customHeight="1" x14ac:dyDescent="0.25">
      <c r="B10" s="15" t="str">
        <f>VLOOKUP(tblMatrizDeAdyacencia[[#This Row],[NodoOrigen \ NodoDestino]],tblNodos[#All],2,FALSE)</f>
        <v>Efectivo</v>
      </c>
      <c r="C10" s="6" t="s">
        <v>28</v>
      </c>
      <c r="D10" s="5">
        <f>IF(COUNTIFS(Red!$K$5:$K$58,$C10,Red!$L$5:$L$58,D$3,Red!$N$5:$N$58,1)&gt;0,1,0)</f>
        <v>0</v>
      </c>
      <c r="E10" s="5">
        <f>IF(COUNTIFS(Red!$K$5:$K$58,$C10,Red!$L$5:$L$58,E$3,Red!$N$5:$N$58,1)&gt;0,1,0)</f>
        <v>0</v>
      </c>
      <c r="F10" s="5">
        <f>IF(COUNTIFS(Red!$K$5:$K$58,$C10,Red!$L$5:$L$58,F$3,Red!$N$5:$N$58,1)&gt;0,1,0)</f>
        <v>0</v>
      </c>
      <c r="G10" s="5">
        <f>IF(COUNTIFS(Red!$K$5:$K$58,$C10,Red!$L$5:$L$58,G$3,Red!$N$5:$N$58,1)&gt;0,1,0)</f>
        <v>0</v>
      </c>
      <c r="H10" s="5">
        <f>IF(COUNTIFS(Red!$K$5:$K$58,$C10,Red!$L$5:$L$58,H$3,Red!$N$5:$N$58,1)&gt;0,1,0)</f>
        <v>0</v>
      </c>
      <c r="I10" s="5">
        <f>IF(COUNTIFS(Red!$K$5:$K$58,$C10,Red!$L$5:$L$58,I$3,Red!$N$5:$N$58,1)&gt;0,1,0)</f>
        <v>0</v>
      </c>
      <c r="J10" s="5">
        <f>IF(COUNTIFS(Red!$K$5:$K$58,$C10,Red!$L$5:$L$58,J$3,Red!$N$5:$N$58,1)&gt;0,1,0)</f>
        <v>0</v>
      </c>
      <c r="K10" s="5">
        <f>IF(COUNTIFS(Red!$K$5:$K$58,$C10,Red!$L$5:$L$58,K$3,Red!$N$5:$N$58,1)&gt;0,1,0)</f>
        <v>1</v>
      </c>
      <c r="L10" s="5">
        <f>IF(COUNTIFS(Red!$K$5:$K$58,$C10,Red!$L$5:$L$58,L$3,Red!$N$5:$N$58,1)&gt;0,1,0)</f>
        <v>0</v>
      </c>
      <c r="M10" s="5">
        <f>IF(COUNTIFS(Red!$K$5:$K$58,$C10,Red!$L$5:$L$58,M$3,Red!$N$5:$N$58,1)&gt;0,1,0)</f>
        <v>1</v>
      </c>
      <c r="N10" s="5">
        <f>IF(COUNTIFS(Red!$K$5:$K$58,$C10,Red!$L$5:$L$58,N$3,Red!$N$5:$N$58,1)&gt;0,1,0)</f>
        <v>0</v>
      </c>
      <c r="O10" s="5">
        <f>IF(COUNTIFS(Red!$K$5:$K$58,$C10,Red!$L$5:$L$58,O$3,Red!$N$5:$N$58,1)&gt;0,1,0)</f>
        <v>0</v>
      </c>
      <c r="P10" s="5">
        <f>IF(COUNTIFS(Red!$K$5:$K$58,$C10,Red!$L$5:$L$58,P$3,Red!$N$5:$N$58,1)&gt;0,1,0)</f>
        <v>0</v>
      </c>
      <c r="Q10" s="5">
        <f>IF(COUNTIFS(Red!$K$5:$K$58,$C10,Red!$L$5:$L$58,Q$3,Red!$N$5:$N$58,1)&gt;0,1,0)</f>
        <v>0</v>
      </c>
      <c r="R10" s="5">
        <f>IF(COUNTIFS(Red!$K$5:$K$58,$C10,Red!$L$5:$L$58,R$3,Red!$N$5:$N$58,1)&gt;0,1,0)</f>
        <v>1</v>
      </c>
      <c r="S10" s="5">
        <f>IF(COUNTIFS(Red!$K$5:$K$58,$C10,Red!$L$5:$L$58,S$3,Red!$N$5:$N$58,1)&gt;0,1,0)</f>
        <v>0</v>
      </c>
      <c r="T10" s="5">
        <f>IF(COUNTIFS(Red!$K$5:$K$58,$C10,Red!$L$5:$L$58,T$3,Red!$N$5:$N$58,1)&gt;0,1,0)</f>
        <v>0</v>
      </c>
      <c r="U10" s="5">
        <f>IF(COUNTIFS(Red!$K$5:$K$58,$C10,Red!$L$5:$L$58,U$3,Red!$N$5:$N$58,1)&gt;0,1,0)</f>
        <v>0</v>
      </c>
      <c r="V10" s="7">
        <f>IF(COUNTIFS(Red!$K$5:$K$58,$C10,Red!$L$5:$L$58,V$3,Red!$N$5:$N$58,1)&gt;0,1,0)</f>
        <v>1</v>
      </c>
    </row>
    <row r="11" spans="2:23" ht="17.25" customHeight="1" x14ac:dyDescent="0.25">
      <c r="B11" s="15" t="str">
        <f>VLOOKUP(tblMatrizDeAdyacencia[[#This Row],[NodoOrigen \ NodoDestino]],tblNodos[#All],2,FALSE)</f>
        <v>Hawala / HOSSP</v>
      </c>
      <c r="C11" s="6" t="s">
        <v>41</v>
      </c>
      <c r="D11" s="5">
        <f>IF(COUNTIFS(Red!$K$5:$K$58,$C11,Red!$L$5:$L$58,D$3,Red!$N$5:$N$58,1)&gt;0,1,0)</f>
        <v>0</v>
      </c>
      <c r="E11" s="5">
        <f>IF(COUNTIFS(Red!$K$5:$K$58,$C11,Red!$L$5:$L$58,E$3,Red!$N$5:$N$58,1)&gt;0,1,0)</f>
        <v>0</v>
      </c>
      <c r="F11" s="5">
        <f>IF(COUNTIFS(Red!$K$5:$K$58,$C11,Red!$L$5:$L$58,F$3,Red!$N$5:$N$58,1)&gt;0,1,0)</f>
        <v>0</v>
      </c>
      <c r="G11" s="5">
        <f>IF(COUNTIFS(Red!$K$5:$K$58,$C11,Red!$L$5:$L$58,G$3,Red!$N$5:$N$58,1)&gt;0,1,0)</f>
        <v>0</v>
      </c>
      <c r="H11" s="5">
        <f>IF(COUNTIFS(Red!$K$5:$K$58,$C11,Red!$L$5:$L$58,H$3,Red!$N$5:$N$58,1)&gt;0,1,0)</f>
        <v>0</v>
      </c>
      <c r="I11" s="5">
        <f>IF(COUNTIFS(Red!$K$5:$K$58,$C11,Red!$L$5:$L$58,I$3,Red!$N$5:$N$58,1)&gt;0,1,0)</f>
        <v>0</v>
      </c>
      <c r="J11" s="5">
        <f>IF(COUNTIFS(Red!$K$5:$K$58,$C11,Red!$L$5:$L$58,J$3,Red!$N$5:$N$58,1)&gt;0,1,0)</f>
        <v>0</v>
      </c>
      <c r="K11" s="5">
        <f>IF(COUNTIFS(Red!$K$5:$K$58,$C11,Red!$L$5:$L$58,K$3,Red!$N$5:$N$58,1)&gt;0,1,0)</f>
        <v>0</v>
      </c>
      <c r="L11" s="5">
        <f>IF(COUNTIFS(Red!$K$5:$K$58,$C11,Red!$L$5:$L$58,L$3,Red!$N$5:$N$58,1)&gt;0,1,0)</f>
        <v>0</v>
      </c>
      <c r="M11" s="5">
        <f>IF(COUNTIFS(Red!$K$5:$K$58,$C11,Red!$L$5:$L$58,M$3,Red!$N$5:$N$58,1)&gt;0,1,0)</f>
        <v>0</v>
      </c>
      <c r="N11" s="5">
        <f>IF(COUNTIFS(Red!$K$5:$K$58,$C11,Red!$L$5:$L$58,N$3,Red!$N$5:$N$58,1)&gt;0,1,0)</f>
        <v>0</v>
      </c>
      <c r="O11" s="5">
        <f>IF(COUNTIFS(Red!$K$5:$K$58,$C11,Red!$L$5:$L$58,O$3,Red!$N$5:$N$58,1)&gt;0,1,0)</f>
        <v>0</v>
      </c>
      <c r="P11" s="5">
        <f>IF(COUNTIFS(Red!$K$5:$K$58,$C11,Red!$L$5:$L$58,P$3,Red!$N$5:$N$58,1)&gt;0,1,0)</f>
        <v>0</v>
      </c>
      <c r="Q11" s="5">
        <f>IF(COUNTIFS(Red!$K$5:$K$58,$C11,Red!$L$5:$L$58,Q$3,Red!$N$5:$N$58,1)&gt;0,1,0)</f>
        <v>0</v>
      </c>
      <c r="R11" s="5">
        <f>IF(COUNTIFS(Red!$K$5:$K$58,$C11,Red!$L$5:$L$58,R$3,Red!$N$5:$N$58,1)&gt;0,1,0)</f>
        <v>0</v>
      </c>
      <c r="S11" s="5">
        <f>IF(COUNTIFS(Red!$K$5:$K$58,$C11,Red!$L$5:$L$58,S$3,Red!$N$5:$N$58,1)&gt;0,1,0)</f>
        <v>1</v>
      </c>
      <c r="T11" s="5">
        <f>IF(COUNTIFS(Red!$K$5:$K$58,$C11,Red!$L$5:$L$58,T$3,Red!$N$5:$N$58,1)&gt;0,1,0)</f>
        <v>1</v>
      </c>
      <c r="U11" s="5">
        <f>IF(COUNTIFS(Red!$K$5:$K$58,$C11,Red!$L$5:$L$58,U$3,Red!$N$5:$N$58,1)&gt;0,1,0)</f>
        <v>0</v>
      </c>
      <c r="V11" s="7">
        <f>IF(COUNTIFS(Red!$K$5:$K$58,$C11,Red!$L$5:$L$58,V$3,Red!$N$5:$N$58,1)&gt;0,1,0)</f>
        <v>1</v>
      </c>
    </row>
    <row r="12" spans="2:23" ht="17.25" customHeight="1" x14ac:dyDescent="0.25">
      <c r="B12" s="15" t="str">
        <f>VLOOKUP(tblMatrizDeAdyacencia[[#This Row],[NodoOrigen \ NodoDestino]],tblNodos[#All],2,FALSE)</f>
        <v>MVTS / remesas</v>
      </c>
      <c r="C12" s="6" t="s">
        <v>49</v>
      </c>
      <c r="D12" s="5">
        <f>IF(COUNTIFS(Red!$K$5:$K$58,$C12,Red!$L$5:$L$58,D$3,Red!$N$5:$N$58,1)&gt;0,1,0)</f>
        <v>0</v>
      </c>
      <c r="E12" s="5">
        <f>IF(COUNTIFS(Red!$K$5:$K$58,$C12,Red!$L$5:$L$58,E$3,Red!$N$5:$N$58,1)&gt;0,1,0)</f>
        <v>0</v>
      </c>
      <c r="F12" s="5">
        <f>IF(COUNTIFS(Red!$K$5:$K$58,$C12,Red!$L$5:$L$58,F$3,Red!$N$5:$N$58,1)&gt;0,1,0)</f>
        <v>0</v>
      </c>
      <c r="G12" s="5">
        <f>IF(COUNTIFS(Red!$K$5:$K$58,$C12,Red!$L$5:$L$58,G$3,Red!$N$5:$N$58,1)&gt;0,1,0)</f>
        <v>0</v>
      </c>
      <c r="H12" s="5">
        <f>IF(COUNTIFS(Red!$K$5:$K$58,$C12,Red!$L$5:$L$58,H$3,Red!$N$5:$N$58,1)&gt;0,1,0)</f>
        <v>0</v>
      </c>
      <c r="I12" s="5">
        <f>IF(COUNTIFS(Red!$K$5:$K$58,$C12,Red!$L$5:$L$58,I$3,Red!$N$5:$N$58,1)&gt;0,1,0)</f>
        <v>0</v>
      </c>
      <c r="J12" s="5">
        <f>IF(COUNTIFS(Red!$K$5:$K$58,$C12,Red!$L$5:$L$58,J$3,Red!$N$5:$N$58,1)&gt;0,1,0)</f>
        <v>0</v>
      </c>
      <c r="K12" s="5">
        <f>IF(COUNTIFS(Red!$K$5:$K$58,$C12,Red!$L$5:$L$58,K$3,Red!$N$5:$N$58,1)&gt;0,1,0)</f>
        <v>0</v>
      </c>
      <c r="L12" s="5">
        <f>IF(COUNTIFS(Red!$K$5:$K$58,$C12,Red!$L$5:$L$58,L$3,Red!$N$5:$N$58,1)&gt;0,1,0)</f>
        <v>0</v>
      </c>
      <c r="M12" s="5">
        <f>IF(COUNTIFS(Red!$K$5:$K$58,$C12,Red!$L$5:$L$58,M$3,Red!$N$5:$N$58,1)&gt;0,1,0)</f>
        <v>0</v>
      </c>
      <c r="N12" s="5">
        <f>IF(COUNTIFS(Red!$K$5:$K$58,$C12,Red!$L$5:$L$58,N$3,Red!$N$5:$N$58,1)&gt;0,1,0)</f>
        <v>0</v>
      </c>
      <c r="O12" s="5">
        <f>IF(COUNTIFS(Red!$K$5:$K$58,$C12,Red!$L$5:$L$58,O$3,Red!$N$5:$N$58,1)&gt;0,1,0)</f>
        <v>0</v>
      </c>
      <c r="P12" s="5">
        <f>IF(COUNTIFS(Red!$K$5:$K$58,$C12,Red!$L$5:$L$58,P$3,Red!$N$5:$N$58,1)&gt;0,1,0)</f>
        <v>0</v>
      </c>
      <c r="Q12" s="5">
        <f>IF(COUNTIFS(Red!$K$5:$K$58,$C12,Red!$L$5:$L$58,Q$3,Red!$N$5:$N$58,1)&gt;0,1,0)</f>
        <v>0</v>
      </c>
      <c r="R12" s="5">
        <f>IF(COUNTIFS(Red!$K$5:$K$58,$C12,Red!$L$5:$L$58,R$3,Red!$N$5:$N$58,1)&gt;0,1,0)</f>
        <v>0</v>
      </c>
      <c r="S12" s="5">
        <f>IF(COUNTIFS(Red!$K$5:$K$58,$C12,Red!$L$5:$L$58,S$3,Red!$N$5:$N$58,1)&gt;0,1,0)</f>
        <v>0</v>
      </c>
      <c r="T12" s="5">
        <f>IF(COUNTIFS(Red!$K$5:$K$58,$C12,Red!$L$5:$L$58,T$3,Red!$N$5:$N$58,1)&gt;0,1,0)</f>
        <v>1</v>
      </c>
      <c r="U12" s="5">
        <f>IF(COUNTIFS(Red!$K$5:$K$58,$C12,Red!$L$5:$L$58,U$3,Red!$N$5:$N$58,1)&gt;0,1,0)</f>
        <v>1</v>
      </c>
      <c r="V12" s="7">
        <f>IF(COUNTIFS(Red!$K$5:$K$58,$C12,Red!$L$5:$L$58,V$3,Red!$N$5:$N$58,1)&gt;0,1,0)</f>
        <v>1</v>
      </c>
    </row>
    <row r="13" spans="2:23" ht="17.25" customHeight="1" x14ac:dyDescent="0.25">
      <c r="B13" s="15" t="str">
        <f>VLOOKUP(tblMatrizDeAdyacencia[[#This Row],[NodoOrigen \ NodoDestino]],tblNodos[#All],2,FALSE)</f>
        <v>Dinero móvil</v>
      </c>
      <c r="C13" s="6" t="s">
        <v>56</v>
      </c>
      <c r="D13" s="5">
        <f>IF(COUNTIFS(Red!$K$5:$K$58,$C13,Red!$L$5:$L$58,D$3,Red!$N$5:$N$58,1)&gt;0,1,0)</f>
        <v>0</v>
      </c>
      <c r="E13" s="5">
        <f>IF(COUNTIFS(Red!$K$5:$K$58,$C13,Red!$L$5:$L$58,E$3,Red!$N$5:$N$58,1)&gt;0,1,0)</f>
        <v>0</v>
      </c>
      <c r="F13" s="5">
        <f>IF(COUNTIFS(Red!$K$5:$K$58,$C13,Red!$L$5:$L$58,F$3,Red!$N$5:$N$58,1)&gt;0,1,0)</f>
        <v>0</v>
      </c>
      <c r="G13" s="5">
        <f>IF(COUNTIFS(Red!$K$5:$K$58,$C13,Red!$L$5:$L$58,G$3,Red!$N$5:$N$58,1)&gt;0,1,0)</f>
        <v>0</v>
      </c>
      <c r="H13" s="5">
        <f>IF(COUNTIFS(Red!$K$5:$K$58,$C13,Red!$L$5:$L$58,H$3,Red!$N$5:$N$58,1)&gt;0,1,0)</f>
        <v>0</v>
      </c>
      <c r="I13" s="5">
        <f>IF(COUNTIFS(Red!$K$5:$K$58,$C13,Red!$L$5:$L$58,I$3,Red!$N$5:$N$58,1)&gt;0,1,0)</f>
        <v>0</v>
      </c>
      <c r="J13" s="5">
        <f>IF(COUNTIFS(Red!$K$5:$K$58,$C13,Red!$L$5:$L$58,J$3,Red!$N$5:$N$58,1)&gt;0,1,0)</f>
        <v>0</v>
      </c>
      <c r="K13" s="5">
        <f>IF(COUNTIFS(Red!$K$5:$K$58,$C13,Red!$L$5:$L$58,K$3,Red!$N$5:$N$58,1)&gt;0,1,0)</f>
        <v>0</v>
      </c>
      <c r="L13" s="5">
        <f>IF(COUNTIFS(Red!$K$5:$K$58,$C13,Red!$L$5:$L$58,L$3,Red!$N$5:$N$58,1)&gt;0,1,0)</f>
        <v>0</v>
      </c>
      <c r="M13" s="5">
        <f>IF(COUNTIFS(Red!$K$5:$K$58,$C13,Red!$L$5:$L$58,M$3,Red!$N$5:$N$58,1)&gt;0,1,0)</f>
        <v>0</v>
      </c>
      <c r="N13" s="5">
        <f>IF(COUNTIFS(Red!$K$5:$K$58,$C13,Red!$L$5:$L$58,N$3,Red!$N$5:$N$58,1)&gt;0,1,0)</f>
        <v>0</v>
      </c>
      <c r="O13" s="5">
        <f>IF(COUNTIFS(Red!$K$5:$K$58,$C13,Red!$L$5:$L$58,O$3,Red!$N$5:$N$58,1)&gt;0,1,0)</f>
        <v>0</v>
      </c>
      <c r="P13" s="5">
        <f>IF(COUNTIFS(Red!$K$5:$K$58,$C13,Red!$L$5:$L$58,P$3,Red!$N$5:$N$58,1)&gt;0,1,0)</f>
        <v>0</v>
      </c>
      <c r="Q13" s="5">
        <f>IF(COUNTIFS(Red!$K$5:$K$58,$C13,Red!$L$5:$L$58,Q$3,Red!$N$5:$N$58,1)&gt;0,1,0)</f>
        <v>0</v>
      </c>
      <c r="R13" s="5">
        <f>IF(COUNTIFS(Red!$K$5:$K$58,$C13,Red!$L$5:$L$58,R$3,Red!$N$5:$N$58,1)&gt;0,1,0)</f>
        <v>0</v>
      </c>
      <c r="S13" s="5">
        <f>IF(COUNTIFS(Red!$K$5:$K$58,$C13,Red!$L$5:$L$58,S$3,Red!$N$5:$N$58,1)&gt;0,1,0)</f>
        <v>0</v>
      </c>
      <c r="T13" s="5">
        <f>IF(COUNTIFS(Red!$K$5:$K$58,$C13,Red!$L$5:$L$58,T$3,Red!$N$5:$N$58,1)&gt;0,1,0)</f>
        <v>1</v>
      </c>
      <c r="U13" s="5">
        <f>IF(COUNTIFS(Red!$K$5:$K$58,$C13,Red!$L$5:$L$58,U$3,Red!$N$5:$N$58,1)&gt;0,1,0)</f>
        <v>0</v>
      </c>
      <c r="V13" s="7">
        <f>IF(COUNTIFS(Red!$K$5:$K$58,$C13,Red!$L$5:$L$58,V$3,Red!$N$5:$N$58,1)&gt;0,1,0)</f>
        <v>0</v>
      </c>
    </row>
    <row r="14" spans="2:23" ht="17.25" customHeight="1" x14ac:dyDescent="0.25">
      <c r="B14" s="15" t="str">
        <f>VLOOKUP(tblMatrizDeAdyacencia[[#This Row],[NodoOrigen \ NodoDestino]],tblNodos[#All],2,FALSE)</f>
        <v>Pagos online</v>
      </c>
      <c r="C14" s="6" t="s">
        <v>82</v>
      </c>
      <c r="D14" s="5">
        <f>IF(COUNTIFS(Red!$K$5:$K$58,$C14,Red!$L$5:$L$58,D$3,Red!$N$5:$N$58,1)&gt;0,1,0)</f>
        <v>0</v>
      </c>
      <c r="E14" s="5">
        <f>IF(COUNTIFS(Red!$K$5:$K$58,$C14,Red!$L$5:$L$58,E$3,Red!$N$5:$N$58,1)&gt;0,1,0)</f>
        <v>0</v>
      </c>
      <c r="F14" s="5">
        <f>IF(COUNTIFS(Red!$K$5:$K$58,$C14,Red!$L$5:$L$58,F$3,Red!$N$5:$N$58,1)&gt;0,1,0)</f>
        <v>0</v>
      </c>
      <c r="G14" s="5">
        <f>IF(COUNTIFS(Red!$K$5:$K$58,$C14,Red!$L$5:$L$58,G$3,Red!$N$5:$N$58,1)&gt;0,1,0)</f>
        <v>0</v>
      </c>
      <c r="H14" s="5">
        <f>IF(COUNTIFS(Red!$K$5:$K$58,$C14,Red!$L$5:$L$58,H$3,Red!$N$5:$N$58,1)&gt;0,1,0)</f>
        <v>0</v>
      </c>
      <c r="I14" s="5">
        <f>IF(COUNTIFS(Red!$K$5:$K$58,$C14,Red!$L$5:$L$58,I$3,Red!$N$5:$N$58,1)&gt;0,1,0)</f>
        <v>0</v>
      </c>
      <c r="J14" s="5">
        <f>IF(COUNTIFS(Red!$K$5:$K$58,$C14,Red!$L$5:$L$58,J$3,Red!$N$5:$N$58,1)&gt;0,1,0)</f>
        <v>0</v>
      </c>
      <c r="K14" s="5">
        <f>IF(COUNTIFS(Red!$K$5:$K$58,$C14,Red!$L$5:$L$58,K$3,Red!$N$5:$N$58,1)&gt;0,1,0)</f>
        <v>0</v>
      </c>
      <c r="L14" s="5">
        <f>IF(COUNTIFS(Red!$K$5:$K$58,$C14,Red!$L$5:$L$58,L$3,Red!$N$5:$N$58,1)&gt;0,1,0)</f>
        <v>0</v>
      </c>
      <c r="M14" s="5">
        <f>IF(COUNTIFS(Red!$K$5:$K$58,$C14,Red!$L$5:$L$58,M$3,Red!$N$5:$N$58,1)&gt;0,1,0)</f>
        <v>0</v>
      </c>
      <c r="N14" s="5">
        <f>IF(COUNTIFS(Red!$K$5:$K$58,$C14,Red!$L$5:$L$58,N$3,Red!$N$5:$N$58,1)&gt;0,1,0)</f>
        <v>0</v>
      </c>
      <c r="O14" s="5">
        <f>IF(COUNTIFS(Red!$K$5:$K$58,$C14,Red!$L$5:$L$58,O$3,Red!$N$5:$N$58,1)&gt;0,1,0)</f>
        <v>0</v>
      </c>
      <c r="P14" s="5">
        <f>IF(COUNTIFS(Red!$K$5:$K$58,$C14,Red!$L$5:$L$58,P$3,Red!$N$5:$N$58,1)&gt;0,1,0)</f>
        <v>0</v>
      </c>
      <c r="Q14" s="5">
        <f>IF(COUNTIFS(Red!$K$5:$K$58,$C14,Red!$L$5:$L$58,Q$3,Red!$N$5:$N$58,1)&gt;0,1,0)</f>
        <v>0</v>
      </c>
      <c r="R14" s="5">
        <f>IF(COUNTIFS(Red!$K$5:$K$58,$C14,Red!$L$5:$L$58,R$3,Red!$N$5:$N$58,1)&gt;0,1,0)</f>
        <v>0</v>
      </c>
      <c r="S14" s="5">
        <f>IF(COUNTIFS(Red!$K$5:$K$58,$C14,Red!$L$5:$L$58,S$3,Red!$N$5:$N$58,1)&gt;0,1,0)</f>
        <v>0</v>
      </c>
      <c r="T14" s="5">
        <f>IF(COUNTIFS(Red!$K$5:$K$58,$C14,Red!$L$5:$L$58,T$3,Red!$N$5:$N$58,1)&gt;0,1,0)</f>
        <v>1</v>
      </c>
      <c r="U14" s="5">
        <f>IF(COUNTIFS(Red!$K$5:$K$58,$C14,Red!$L$5:$L$58,U$3,Red!$N$5:$N$58,1)&gt;0,1,0)</f>
        <v>1</v>
      </c>
      <c r="V14" s="7">
        <f>IF(COUNTIFS(Red!$K$5:$K$58,$C14,Red!$L$5:$L$58,V$3,Red!$N$5:$N$58,1)&gt;0,1,0)</f>
        <v>0</v>
      </c>
    </row>
    <row r="15" spans="2:23" ht="17.25" customHeight="1" x14ac:dyDescent="0.25">
      <c r="B15" s="15" t="str">
        <f>VLOOKUP(tblMatrizDeAdyacencia[[#This Row],[NodoOrigen \ NodoDestino]],tblNodos[#All],2,FALSE)</f>
        <v>Servicios bancarios</v>
      </c>
      <c r="C15" s="6" t="s">
        <v>86</v>
      </c>
      <c r="D15" s="5">
        <f>IF(COUNTIFS(Red!$K$5:$K$58,$C15,Red!$L$5:$L$58,D$3,Red!$N$5:$N$58,1)&gt;0,1,0)</f>
        <v>0</v>
      </c>
      <c r="E15" s="5">
        <f>IF(COUNTIFS(Red!$K$5:$K$58,$C15,Red!$L$5:$L$58,E$3,Red!$N$5:$N$58,1)&gt;0,1,0)</f>
        <v>0</v>
      </c>
      <c r="F15" s="5">
        <f>IF(COUNTIFS(Red!$K$5:$K$58,$C15,Red!$L$5:$L$58,F$3,Red!$N$5:$N$58,1)&gt;0,1,0)</f>
        <v>0</v>
      </c>
      <c r="G15" s="5">
        <f>IF(COUNTIFS(Red!$K$5:$K$58,$C15,Red!$L$5:$L$58,G$3,Red!$N$5:$N$58,1)&gt;0,1,0)</f>
        <v>0</v>
      </c>
      <c r="H15" s="5">
        <f>IF(COUNTIFS(Red!$K$5:$K$58,$C15,Red!$L$5:$L$58,H$3,Red!$N$5:$N$58,1)&gt;0,1,0)</f>
        <v>0</v>
      </c>
      <c r="I15" s="5">
        <f>IF(COUNTIFS(Red!$K$5:$K$58,$C15,Red!$L$5:$L$58,I$3,Red!$N$5:$N$58,1)&gt;0,1,0)</f>
        <v>0</v>
      </c>
      <c r="J15" s="5">
        <f>IF(COUNTIFS(Red!$K$5:$K$58,$C15,Red!$L$5:$L$58,J$3,Red!$N$5:$N$58,1)&gt;0,1,0)</f>
        <v>0</v>
      </c>
      <c r="K15" s="5">
        <f>IF(COUNTIFS(Red!$K$5:$K$58,$C15,Red!$L$5:$L$58,K$3,Red!$N$5:$N$58,1)&gt;0,1,0)</f>
        <v>0</v>
      </c>
      <c r="L15" s="5">
        <f>IF(COUNTIFS(Red!$K$5:$K$58,$C15,Red!$L$5:$L$58,L$3,Red!$N$5:$N$58,1)&gt;0,1,0)</f>
        <v>0</v>
      </c>
      <c r="M15" s="5">
        <f>IF(COUNTIFS(Red!$K$5:$K$58,$C15,Red!$L$5:$L$58,M$3,Red!$N$5:$N$58,1)&gt;0,1,0)</f>
        <v>0</v>
      </c>
      <c r="N15" s="5">
        <f>IF(COUNTIFS(Red!$K$5:$K$58,$C15,Red!$L$5:$L$58,N$3,Red!$N$5:$N$58,1)&gt;0,1,0)</f>
        <v>0</v>
      </c>
      <c r="O15" s="5">
        <f>IF(COUNTIFS(Red!$K$5:$K$58,$C15,Red!$L$5:$L$58,O$3,Red!$N$5:$N$58,1)&gt;0,1,0)</f>
        <v>0</v>
      </c>
      <c r="P15" s="5">
        <f>IF(COUNTIFS(Red!$K$5:$K$58,$C15,Red!$L$5:$L$58,P$3,Red!$N$5:$N$58,1)&gt;0,1,0)</f>
        <v>0</v>
      </c>
      <c r="Q15" s="5">
        <f>IF(COUNTIFS(Red!$K$5:$K$58,$C15,Red!$L$5:$L$58,Q$3,Red!$N$5:$N$58,1)&gt;0,1,0)</f>
        <v>0</v>
      </c>
      <c r="R15" s="5">
        <f>IF(COUNTIFS(Red!$K$5:$K$58,$C15,Red!$L$5:$L$58,R$3,Red!$N$5:$N$58,1)&gt;0,1,0)</f>
        <v>0</v>
      </c>
      <c r="S15" s="5">
        <f>IF(COUNTIFS(Red!$K$5:$K$58,$C15,Red!$L$5:$L$58,S$3,Red!$N$5:$N$58,1)&gt;0,1,0)</f>
        <v>1</v>
      </c>
      <c r="T15" s="5">
        <f>IF(COUNTIFS(Red!$K$5:$K$58,$C15,Red!$L$5:$L$58,T$3,Red!$N$5:$N$58,1)&gt;0,1,0)</f>
        <v>0</v>
      </c>
      <c r="U15" s="5">
        <f>IF(COUNTIFS(Red!$K$5:$K$58,$C15,Red!$L$5:$L$58,U$3,Red!$N$5:$N$58,1)&gt;0,1,0)</f>
        <v>1</v>
      </c>
      <c r="V15" s="7">
        <f>IF(COUNTIFS(Red!$K$5:$K$58,$C15,Red!$L$5:$L$58,V$3,Red!$N$5:$N$58,1)&gt;0,1,0)</f>
        <v>0</v>
      </c>
    </row>
    <row r="16" spans="2:23" ht="17.25" customHeight="1" x14ac:dyDescent="0.25">
      <c r="B16" s="15" t="str">
        <f>VLOOKUP(tblMatrizDeAdyacencia[[#This Row],[NodoOrigen \ NodoDestino]],tblNodos[#All],2,FALSE)</f>
        <v>Tarjetas prepago / e-wallets</v>
      </c>
      <c r="C16" s="6" t="s">
        <v>90</v>
      </c>
      <c r="D16" s="5">
        <f>IF(COUNTIFS(Red!$K$5:$K$58,$C16,Red!$L$5:$L$58,D$3,Red!$N$5:$N$58,1)&gt;0,1,0)</f>
        <v>0</v>
      </c>
      <c r="E16" s="5">
        <f>IF(COUNTIFS(Red!$K$5:$K$58,$C16,Red!$L$5:$L$58,E$3,Red!$N$5:$N$58,1)&gt;0,1,0)</f>
        <v>0</v>
      </c>
      <c r="F16" s="5">
        <f>IF(COUNTIFS(Red!$K$5:$K$58,$C16,Red!$L$5:$L$58,F$3,Red!$N$5:$N$58,1)&gt;0,1,0)</f>
        <v>0</v>
      </c>
      <c r="G16" s="5">
        <f>IF(COUNTIFS(Red!$K$5:$K$58,$C16,Red!$L$5:$L$58,G$3,Red!$N$5:$N$58,1)&gt;0,1,0)</f>
        <v>0</v>
      </c>
      <c r="H16" s="5">
        <f>IF(COUNTIFS(Red!$K$5:$K$58,$C16,Red!$L$5:$L$58,H$3,Red!$N$5:$N$58,1)&gt;0,1,0)</f>
        <v>0</v>
      </c>
      <c r="I16" s="5">
        <f>IF(COUNTIFS(Red!$K$5:$K$58,$C16,Red!$L$5:$L$58,I$3,Red!$N$5:$N$58,1)&gt;0,1,0)</f>
        <v>0</v>
      </c>
      <c r="J16" s="5">
        <f>IF(COUNTIFS(Red!$K$5:$K$58,$C16,Red!$L$5:$L$58,J$3,Red!$N$5:$N$58,1)&gt;0,1,0)</f>
        <v>0</v>
      </c>
      <c r="K16" s="5">
        <f>IF(COUNTIFS(Red!$K$5:$K$58,$C16,Red!$L$5:$L$58,K$3,Red!$N$5:$N$58,1)&gt;0,1,0)</f>
        <v>0</v>
      </c>
      <c r="L16" s="5">
        <f>IF(COUNTIFS(Red!$K$5:$K$58,$C16,Red!$L$5:$L$58,L$3,Red!$N$5:$N$58,1)&gt;0,1,0)</f>
        <v>0</v>
      </c>
      <c r="M16" s="5">
        <f>IF(COUNTIFS(Red!$K$5:$K$58,$C16,Red!$L$5:$L$58,M$3,Red!$N$5:$N$58,1)&gt;0,1,0)</f>
        <v>0</v>
      </c>
      <c r="N16" s="5">
        <f>IF(COUNTIFS(Red!$K$5:$K$58,$C16,Red!$L$5:$L$58,N$3,Red!$N$5:$N$58,1)&gt;0,1,0)</f>
        <v>0</v>
      </c>
      <c r="O16" s="5">
        <f>IF(COUNTIFS(Red!$K$5:$K$58,$C16,Red!$L$5:$L$58,O$3,Red!$N$5:$N$58,1)&gt;0,1,0)</f>
        <v>0</v>
      </c>
      <c r="P16" s="5">
        <f>IF(COUNTIFS(Red!$K$5:$K$58,$C16,Red!$L$5:$L$58,P$3,Red!$N$5:$N$58,1)&gt;0,1,0)</f>
        <v>0</v>
      </c>
      <c r="Q16" s="5">
        <f>IF(COUNTIFS(Red!$K$5:$K$58,$C16,Red!$L$5:$L$58,Q$3,Red!$N$5:$N$58,1)&gt;0,1,0)</f>
        <v>0</v>
      </c>
      <c r="R16" s="5">
        <f>IF(COUNTIFS(Red!$K$5:$K$58,$C16,Red!$L$5:$L$58,R$3,Red!$N$5:$N$58,1)&gt;0,1,0)</f>
        <v>0</v>
      </c>
      <c r="S16" s="5">
        <f>IF(COUNTIFS(Red!$K$5:$K$58,$C16,Red!$L$5:$L$58,S$3,Red!$N$5:$N$58,1)&gt;0,1,0)</f>
        <v>0</v>
      </c>
      <c r="T16" s="5">
        <f>IF(COUNTIFS(Red!$K$5:$K$58,$C16,Red!$L$5:$L$58,T$3,Red!$N$5:$N$58,1)&gt;0,1,0)</f>
        <v>1</v>
      </c>
      <c r="U16" s="5">
        <f>IF(COUNTIFS(Red!$K$5:$K$58,$C16,Red!$L$5:$L$58,U$3,Red!$N$5:$N$58,1)&gt;0,1,0)</f>
        <v>0</v>
      </c>
      <c r="V16" s="7">
        <f>IF(COUNTIFS(Red!$K$5:$K$58,$C16,Red!$L$5:$L$58,V$3,Red!$N$5:$N$58,1)&gt;0,1,0)</f>
        <v>0</v>
      </c>
    </row>
    <row r="17" spans="2:22" ht="17.25" customHeight="1" x14ac:dyDescent="0.25">
      <c r="B17" s="15" t="str">
        <f>VLOOKUP(tblMatrizDeAdyacencia[[#This Row],[NodoOrigen \ NodoDestino]],tblNodos[#All],2,FALSE)</f>
        <v>Plataformas digitales</v>
      </c>
      <c r="C17" s="6" t="s">
        <v>94</v>
      </c>
      <c r="D17" s="5">
        <f>IF(COUNTIFS(Red!$K$5:$K$58,$C17,Red!$L$5:$L$58,D$3,Red!$N$5:$N$58,1)&gt;0,1,0)</f>
        <v>0</v>
      </c>
      <c r="E17" s="5">
        <f>IF(COUNTIFS(Red!$K$5:$K$58,$C17,Red!$L$5:$L$58,E$3,Red!$N$5:$N$58,1)&gt;0,1,0)</f>
        <v>0</v>
      </c>
      <c r="F17" s="5">
        <f>IF(COUNTIFS(Red!$K$5:$K$58,$C17,Red!$L$5:$L$58,F$3,Red!$N$5:$N$58,1)&gt;0,1,0)</f>
        <v>0</v>
      </c>
      <c r="G17" s="5">
        <f>IF(COUNTIFS(Red!$K$5:$K$58,$C17,Red!$L$5:$L$58,G$3,Red!$N$5:$N$58,1)&gt;0,1,0)</f>
        <v>0</v>
      </c>
      <c r="H17" s="5">
        <f>IF(COUNTIFS(Red!$K$5:$K$58,$C17,Red!$L$5:$L$58,H$3,Red!$N$5:$N$58,1)&gt;0,1,0)</f>
        <v>0</v>
      </c>
      <c r="I17" s="5">
        <f>IF(COUNTIFS(Red!$K$5:$K$58,$C17,Red!$L$5:$L$58,I$3,Red!$N$5:$N$58,1)&gt;0,1,0)</f>
        <v>0</v>
      </c>
      <c r="J17" s="5">
        <f>IF(COUNTIFS(Red!$K$5:$K$58,$C17,Red!$L$5:$L$58,J$3,Red!$N$5:$N$58,1)&gt;0,1,0)</f>
        <v>0</v>
      </c>
      <c r="K17" s="5">
        <f>IF(COUNTIFS(Red!$K$5:$K$58,$C17,Red!$L$5:$L$58,K$3,Red!$N$5:$N$58,1)&gt;0,1,0)</f>
        <v>0</v>
      </c>
      <c r="L17" s="5">
        <f>IF(COUNTIFS(Red!$K$5:$K$58,$C17,Red!$L$5:$L$58,L$3,Red!$N$5:$N$58,1)&gt;0,1,0)</f>
        <v>0</v>
      </c>
      <c r="M17" s="5">
        <f>IF(COUNTIFS(Red!$K$5:$K$58,$C17,Red!$L$5:$L$58,M$3,Red!$N$5:$N$58,1)&gt;0,1,0)</f>
        <v>0</v>
      </c>
      <c r="N17" s="5">
        <f>IF(COUNTIFS(Red!$K$5:$K$58,$C17,Red!$L$5:$L$58,N$3,Red!$N$5:$N$58,1)&gt;0,1,0)</f>
        <v>0</v>
      </c>
      <c r="O17" s="5">
        <f>IF(COUNTIFS(Red!$K$5:$K$58,$C17,Red!$L$5:$L$58,O$3,Red!$N$5:$N$58,1)&gt;0,1,0)</f>
        <v>0</v>
      </c>
      <c r="P17" s="5">
        <f>IF(COUNTIFS(Red!$K$5:$K$58,$C17,Red!$L$5:$L$58,P$3,Red!$N$5:$N$58,1)&gt;0,1,0)</f>
        <v>0</v>
      </c>
      <c r="Q17" s="5">
        <f>IF(COUNTIFS(Red!$K$5:$K$58,$C17,Red!$L$5:$L$58,Q$3,Red!$N$5:$N$58,1)&gt;0,1,0)</f>
        <v>0</v>
      </c>
      <c r="R17" s="5">
        <f>IF(COUNTIFS(Red!$K$5:$K$58,$C17,Red!$L$5:$L$58,R$3,Red!$N$5:$N$58,1)&gt;0,1,0)</f>
        <v>0</v>
      </c>
      <c r="S17" s="5">
        <f>IF(COUNTIFS(Red!$K$5:$K$58,$C17,Red!$L$5:$L$58,S$3,Red!$N$5:$N$58,1)&gt;0,1,0)</f>
        <v>0</v>
      </c>
      <c r="T17" s="5">
        <f>IF(COUNTIFS(Red!$K$5:$K$58,$C17,Red!$L$5:$L$58,T$3,Red!$N$5:$N$58,1)&gt;0,1,0)</f>
        <v>1</v>
      </c>
      <c r="U17" s="5">
        <f>IF(COUNTIFS(Red!$K$5:$K$58,$C17,Red!$L$5:$L$58,U$3,Red!$N$5:$N$58,1)&gt;0,1,0)</f>
        <v>1</v>
      </c>
      <c r="V17" s="7">
        <f>IF(COUNTIFS(Red!$K$5:$K$58,$C17,Red!$L$5:$L$58,V$3,Red!$N$5:$N$58,1)&gt;0,1,0)</f>
        <v>0</v>
      </c>
    </row>
    <row r="18" spans="2:22" ht="17.25" customHeight="1" x14ac:dyDescent="0.25">
      <c r="B18" s="15" t="str">
        <f>VLOOKUP(tblMatrizDeAdyacencia[[#This Row],[NodoOrigen \ NodoDestino]],tblNodos[#All],2,FALSE)</f>
        <v>Activos virtuales</v>
      </c>
      <c r="C18" s="6" t="s">
        <v>63</v>
      </c>
      <c r="D18" s="5">
        <f>IF(COUNTIFS(Red!$K$5:$K$58,$C18,Red!$L$5:$L$58,D$3,Red!$N$5:$N$58,1)&gt;0,1,0)</f>
        <v>0</v>
      </c>
      <c r="E18" s="5">
        <f>IF(COUNTIFS(Red!$K$5:$K$58,$C18,Red!$L$5:$L$58,E$3,Red!$N$5:$N$58,1)&gt;0,1,0)</f>
        <v>0</v>
      </c>
      <c r="F18" s="5">
        <f>IF(COUNTIFS(Red!$K$5:$K$58,$C18,Red!$L$5:$L$58,F$3,Red!$N$5:$N$58,1)&gt;0,1,0)</f>
        <v>0</v>
      </c>
      <c r="G18" s="5">
        <f>IF(COUNTIFS(Red!$K$5:$K$58,$C18,Red!$L$5:$L$58,G$3,Red!$N$5:$N$58,1)&gt;0,1,0)</f>
        <v>0</v>
      </c>
      <c r="H18" s="5">
        <f>IF(COUNTIFS(Red!$K$5:$K$58,$C18,Red!$L$5:$L$58,H$3,Red!$N$5:$N$58,1)&gt;0,1,0)</f>
        <v>0</v>
      </c>
      <c r="I18" s="5">
        <f>IF(COUNTIFS(Red!$K$5:$K$58,$C18,Red!$L$5:$L$58,I$3,Red!$N$5:$N$58,1)&gt;0,1,0)</f>
        <v>0</v>
      </c>
      <c r="J18" s="5">
        <f>IF(COUNTIFS(Red!$K$5:$K$58,$C18,Red!$L$5:$L$58,J$3,Red!$N$5:$N$58,1)&gt;0,1,0)</f>
        <v>0</v>
      </c>
      <c r="K18" s="5">
        <f>IF(COUNTIFS(Red!$K$5:$K$58,$C18,Red!$L$5:$L$58,K$3,Red!$N$5:$N$58,1)&gt;0,1,0)</f>
        <v>0</v>
      </c>
      <c r="L18" s="5">
        <f>IF(COUNTIFS(Red!$K$5:$K$58,$C18,Red!$L$5:$L$58,L$3,Red!$N$5:$N$58,1)&gt;0,1,0)</f>
        <v>0</v>
      </c>
      <c r="M18" s="5">
        <f>IF(COUNTIFS(Red!$K$5:$K$58,$C18,Red!$L$5:$L$58,M$3,Red!$N$5:$N$58,1)&gt;0,1,0)</f>
        <v>0</v>
      </c>
      <c r="N18" s="5">
        <f>IF(COUNTIFS(Red!$K$5:$K$58,$C18,Red!$L$5:$L$58,N$3,Red!$N$5:$N$58,1)&gt;0,1,0)</f>
        <v>0</v>
      </c>
      <c r="O18" s="5">
        <f>IF(COUNTIFS(Red!$K$5:$K$58,$C18,Red!$L$5:$L$58,O$3,Red!$N$5:$N$58,1)&gt;0,1,0)</f>
        <v>0</v>
      </c>
      <c r="P18" s="5">
        <f>IF(COUNTIFS(Red!$K$5:$K$58,$C18,Red!$L$5:$L$58,P$3,Red!$N$5:$N$58,1)&gt;0,1,0)</f>
        <v>0</v>
      </c>
      <c r="Q18" s="5">
        <f>IF(COUNTIFS(Red!$K$5:$K$58,$C18,Red!$L$5:$L$58,Q$3,Red!$N$5:$N$58,1)&gt;0,1,0)</f>
        <v>0</v>
      </c>
      <c r="R18" s="5">
        <f>IF(COUNTIFS(Red!$K$5:$K$58,$C18,Red!$L$5:$L$58,R$3,Red!$N$5:$N$58,1)&gt;0,1,0)</f>
        <v>0</v>
      </c>
      <c r="S18" s="5">
        <f>IF(COUNTIFS(Red!$K$5:$K$58,$C18,Red!$L$5:$L$58,S$3,Red!$N$5:$N$58,1)&gt;0,1,0)</f>
        <v>0</v>
      </c>
      <c r="T18" s="5">
        <f>IF(COUNTIFS(Red!$K$5:$K$58,$C18,Red!$L$5:$L$58,T$3,Red!$N$5:$N$58,1)&gt;0,1,0)</f>
        <v>1</v>
      </c>
      <c r="U18" s="5">
        <f>IF(COUNTIFS(Red!$K$5:$K$58,$C18,Red!$L$5:$L$58,U$3,Red!$N$5:$N$58,1)&gt;0,1,0)</f>
        <v>1</v>
      </c>
      <c r="V18" s="7">
        <f>IF(COUNTIFS(Red!$K$5:$K$58,$C18,Red!$L$5:$L$58,V$3,Red!$N$5:$N$58,1)&gt;0,1,0)</f>
        <v>0</v>
      </c>
    </row>
    <row r="19" spans="2:22" ht="17.25" customHeight="1" x14ac:dyDescent="0.25">
      <c r="B19" s="15" t="str">
        <f>VLOOKUP(tblMatrizDeAdyacencia[[#This Row],[NodoOrigen \ NodoDestino]],tblNodos[#All],2,FALSE)</f>
        <v>Tesorería central</v>
      </c>
      <c r="C19" s="6" t="s">
        <v>101</v>
      </c>
      <c r="D19" s="5">
        <f>IF(COUNTIFS(Red!$K$5:$K$58,$C19,Red!$L$5:$L$58,D$3,Red!$N$5:$N$58,1)&gt;0,1,0)</f>
        <v>0</v>
      </c>
      <c r="E19" s="5">
        <f>IF(COUNTIFS(Red!$K$5:$K$58,$C19,Red!$L$5:$L$58,E$3,Red!$N$5:$N$58,1)&gt;0,1,0)</f>
        <v>0</v>
      </c>
      <c r="F19" s="5">
        <f>IF(COUNTIFS(Red!$K$5:$K$58,$C19,Red!$L$5:$L$58,F$3,Red!$N$5:$N$58,1)&gt;0,1,0)</f>
        <v>0</v>
      </c>
      <c r="G19" s="5">
        <f>IF(COUNTIFS(Red!$K$5:$K$58,$C19,Red!$L$5:$L$58,G$3,Red!$N$5:$N$58,1)&gt;0,1,0)</f>
        <v>0</v>
      </c>
      <c r="H19" s="5">
        <f>IF(COUNTIFS(Red!$K$5:$K$58,$C19,Red!$L$5:$L$58,H$3,Red!$N$5:$N$58,1)&gt;0,1,0)</f>
        <v>0</v>
      </c>
      <c r="I19" s="5">
        <f>IF(COUNTIFS(Red!$K$5:$K$58,$C19,Red!$L$5:$L$58,I$3,Red!$N$5:$N$58,1)&gt;0,1,0)</f>
        <v>0</v>
      </c>
      <c r="J19" s="5">
        <f>IF(COUNTIFS(Red!$K$5:$K$58,$C19,Red!$L$5:$L$58,J$3,Red!$N$5:$N$58,1)&gt;0,1,0)</f>
        <v>1</v>
      </c>
      <c r="K19" s="5">
        <f>IF(COUNTIFS(Red!$K$5:$K$58,$C19,Red!$L$5:$L$58,K$3,Red!$N$5:$N$58,1)&gt;0,1,0)</f>
        <v>0</v>
      </c>
      <c r="L19" s="5">
        <f>IF(COUNTIFS(Red!$K$5:$K$58,$C19,Red!$L$5:$L$58,L$3,Red!$N$5:$N$58,1)&gt;0,1,0)</f>
        <v>0</v>
      </c>
      <c r="M19" s="5">
        <f>IF(COUNTIFS(Red!$K$5:$K$58,$C19,Red!$L$5:$L$58,M$3,Red!$N$5:$N$58,1)&gt;0,1,0)</f>
        <v>0</v>
      </c>
      <c r="N19" s="5">
        <f>IF(COUNTIFS(Red!$K$5:$K$58,$C19,Red!$L$5:$L$58,N$3,Red!$N$5:$N$58,1)&gt;0,1,0)</f>
        <v>0</v>
      </c>
      <c r="O19" s="5">
        <f>IF(COUNTIFS(Red!$K$5:$K$58,$C19,Red!$L$5:$L$58,O$3,Red!$N$5:$N$58,1)&gt;0,1,0)</f>
        <v>1</v>
      </c>
      <c r="P19" s="5">
        <f>IF(COUNTIFS(Red!$K$5:$K$58,$C19,Red!$L$5:$L$58,P$3,Red!$N$5:$N$58,1)&gt;0,1,0)</f>
        <v>0</v>
      </c>
      <c r="Q19" s="5">
        <f>IF(COUNTIFS(Red!$K$5:$K$58,$C19,Red!$L$5:$L$58,Q$3,Red!$N$5:$N$58,1)&gt;0,1,0)</f>
        <v>0</v>
      </c>
      <c r="R19" s="5">
        <f>IF(COUNTIFS(Red!$K$5:$K$58,$C19,Red!$L$5:$L$58,R$3,Red!$N$5:$N$58,1)&gt;0,1,0)</f>
        <v>0</v>
      </c>
      <c r="S19" s="5">
        <f>IF(COUNTIFS(Red!$K$5:$K$58,$C19,Red!$L$5:$L$58,S$3,Red!$N$5:$N$58,1)&gt;0,1,0)</f>
        <v>0</v>
      </c>
      <c r="T19" s="5">
        <f>IF(COUNTIFS(Red!$K$5:$K$58,$C19,Red!$L$5:$L$58,T$3,Red!$N$5:$N$58,1)&gt;0,1,0)</f>
        <v>0</v>
      </c>
      <c r="U19" s="5">
        <f>IF(COUNTIFS(Red!$K$5:$K$58,$C19,Red!$L$5:$L$58,U$3,Red!$N$5:$N$58,1)&gt;0,1,0)</f>
        <v>0</v>
      </c>
      <c r="V19" s="7">
        <f>IF(COUNTIFS(Red!$K$5:$K$58,$C19,Red!$L$5:$L$58,V$3,Red!$N$5:$N$58,1)&gt;0,1,0)</f>
        <v>1</v>
      </c>
    </row>
    <row r="20" spans="2:22" ht="17.25" customHeight="1" x14ac:dyDescent="0.25">
      <c r="B20" s="15" t="str">
        <f>VLOOKUP(tblMatrizDeAdyacencia[[#This Row],[NodoOrigen \ NodoDestino]],tblNodos[#All],2,FALSE)</f>
        <v>Centro financiero regional / célula</v>
      </c>
      <c r="C20" s="6" t="s">
        <v>105</v>
      </c>
      <c r="D20" s="5">
        <f>IF(COUNTIFS(Red!$K$5:$K$58,$C20,Red!$L$5:$L$58,D$3,Red!$N$5:$N$58,1)&gt;0,1,0)</f>
        <v>0</v>
      </c>
      <c r="E20" s="5">
        <f>IF(COUNTIFS(Red!$K$5:$K$58,$C20,Red!$L$5:$L$58,E$3,Red!$N$5:$N$58,1)&gt;0,1,0)</f>
        <v>0</v>
      </c>
      <c r="F20" s="5">
        <f>IF(COUNTIFS(Red!$K$5:$K$58,$C20,Red!$L$5:$L$58,F$3,Red!$N$5:$N$58,1)&gt;0,1,0)</f>
        <v>0</v>
      </c>
      <c r="G20" s="5">
        <f>IF(COUNTIFS(Red!$K$5:$K$58,$C20,Red!$L$5:$L$58,G$3,Red!$N$5:$N$58,1)&gt;0,1,0)</f>
        <v>0</v>
      </c>
      <c r="H20" s="5">
        <f>IF(COUNTIFS(Red!$K$5:$K$58,$C20,Red!$L$5:$L$58,H$3,Red!$N$5:$N$58,1)&gt;0,1,0)</f>
        <v>0</v>
      </c>
      <c r="I20" s="5">
        <f>IF(COUNTIFS(Red!$K$5:$K$58,$C20,Red!$L$5:$L$58,I$3,Red!$N$5:$N$58,1)&gt;0,1,0)</f>
        <v>0</v>
      </c>
      <c r="J20" s="5">
        <f>IF(COUNTIFS(Red!$K$5:$K$58,$C20,Red!$L$5:$L$58,J$3,Red!$N$5:$N$58,1)&gt;0,1,0)</f>
        <v>1</v>
      </c>
      <c r="K20" s="5">
        <f>IF(COUNTIFS(Red!$K$5:$K$58,$C20,Red!$L$5:$L$58,K$3,Red!$N$5:$N$58,1)&gt;0,1,0)</f>
        <v>1</v>
      </c>
      <c r="L20" s="5">
        <f>IF(COUNTIFS(Red!$K$5:$K$58,$C20,Red!$L$5:$L$58,L$3,Red!$N$5:$N$58,1)&gt;0,1,0)</f>
        <v>1</v>
      </c>
      <c r="M20" s="5">
        <f>IF(COUNTIFS(Red!$K$5:$K$58,$C20,Red!$L$5:$L$58,M$3,Red!$N$5:$N$58,1)&gt;0,1,0)</f>
        <v>1</v>
      </c>
      <c r="N20" s="5">
        <f>IF(COUNTIFS(Red!$K$5:$K$58,$C20,Red!$L$5:$L$58,N$3,Red!$N$5:$N$58,1)&gt;0,1,0)</f>
        <v>0</v>
      </c>
      <c r="O20" s="5">
        <f>IF(COUNTIFS(Red!$K$5:$K$58,$C20,Red!$L$5:$L$58,O$3,Red!$N$5:$N$58,1)&gt;0,1,0)</f>
        <v>0</v>
      </c>
      <c r="P20" s="5">
        <f>IF(COUNTIFS(Red!$K$5:$K$58,$C20,Red!$L$5:$L$58,P$3,Red!$N$5:$N$58,1)&gt;0,1,0)</f>
        <v>0</v>
      </c>
      <c r="Q20" s="5">
        <f>IF(COUNTIFS(Red!$K$5:$K$58,$C20,Red!$L$5:$L$58,Q$3,Red!$N$5:$N$58,1)&gt;0,1,0)</f>
        <v>0</v>
      </c>
      <c r="R20" s="5">
        <f>IF(COUNTIFS(Red!$K$5:$K$58,$C20,Red!$L$5:$L$58,R$3,Red!$N$5:$N$58,1)&gt;0,1,0)</f>
        <v>0</v>
      </c>
      <c r="S20" s="5">
        <f>IF(COUNTIFS(Red!$K$5:$K$58,$C20,Red!$L$5:$L$58,S$3,Red!$N$5:$N$58,1)&gt;0,1,0)</f>
        <v>0</v>
      </c>
      <c r="T20" s="5">
        <f>IF(COUNTIFS(Red!$K$5:$K$58,$C20,Red!$L$5:$L$58,T$3,Red!$N$5:$N$58,1)&gt;0,1,0)</f>
        <v>0</v>
      </c>
      <c r="U20" s="5">
        <f>IF(COUNTIFS(Red!$K$5:$K$58,$C20,Red!$L$5:$L$58,U$3,Red!$N$5:$N$58,1)&gt;0,1,0)</f>
        <v>0</v>
      </c>
      <c r="V20" s="7">
        <f>IF(COUNTIFS(Red!$K$5:$K$58,$C20,Red!$L$5:$L$58,V$3,Red!$N$5:$N$58,1)&gt;0,1,0)</f>
        <v>1</v>
      </c>
    </row>
    <row r="21" spans="2:22" ht="17.25" customHeight="1" x14ac:dyDescent="0.25">
      <c r="B21" s="15" t="str">
        <f>VLOOKUP(tblMatrizDeAdyacencia[[#This Row],[NodoOrigen \ NodoDestino]],tblNodos[#All],2,FALSE)</f>
        <v>Facilitador externo / entidad instrumental</v>
      </c>
      <c r="C21" s="6" t="s">
        <v>109</v>
      </c>
      <c r="D21" s="5">
        <f>IF(COUNTIFS(Red!$K$5:$K$58,$C21,Red!$L$5:$L$58,D$3,Red!$N$5:$N$58,1)&gt;0,1,0)</f>
        <v>0</v>
      </c>
      <c r="E21" s="5">
        <f>IF(COUNTIFS(Red!$K$5:$K$58,$C21,Red!$L$5:$L$58,E$3,Red!$N$5:$N$58,1)&gt;0,1,0)</f>
        <v>0</v>
      </c>
      <c r="F21" s="5">
        <f>IF(COUNTIFS(Red!$K$5:$K$58,$C21,Red!$L$5:$L$58,F$3,Red!$N$5:$N$58,1)&gt;0,1,0)</f>
        <v>0</v>
      </c>
      <c r="G21" s="5">
        <f>IF(COUNTIFS(Red!$K$5:$K$58,$C21,Red!$L$5:$L$58,G$3,Red!$N$5:$N$58,1)&gt;0,1,0)</f>
        <v>0</v>
      </c>
      <c r="H21" s="5">
        <f>IF(COUNTIFS(Red!$K$5:$K$58,$C21,Red!$L$5:$L$58,H$3,Red!$N$5:$N$58,1)&gt;0,1,0)</f>
        <v>0</v>
      </c>
      <c r="I21" s="5">
        <f>IF(COUNTIFS(Red!$K$5:$K$58,$C21,Red!$L$5:$L$58,I$3,Red!$N$5:$N$58,1)&gt;0,1,0)</f>
        <v>0</v>
      </c>
      <c r="J21" s="5">
        <f>IF(COUNTIFS(Red!$K$5:$K$58,$C21,Red!$L$5:$L$58,J$3,Red!$N$5:$N$58,1)&gt;0,1,0)</f>
        <v>0</v>
      </c>
      <c r="K21" s="5">
        <f>IF(COUNTIFS(Red!$K$5:$K$58,$C21,Red!$L$5:$L$58,K$3,Red!$N$5:$N$58,1)&gt;0,1,0)</f>
        <v>0</v>
      </c>
      <c r="L21" s="5">
        <f>IF(COUNTIFS(Red!$K$5:$K$58,$C21,Red!$L$5:$L$58,L$3,Red!$N$5:$N$58,1)&gt;0,1,0)</f>
        <v>0</v>
      </c>
      <c r="M21" s="5">
        <f>IF(COUNTIFS(Red!$K$5:$K$58,$C21,Red!$L$5:$L$58,M$3,Red!$N$5:$N$58,1)&gt;0,1,0)</f>
        <v>0</v>
      </c>
      <c r="N21" s="5">
        <f>IF(COUNTIFS(Red!$K$5:$K$58,$C21,Red!$L$5:$L$58,N$3,Red!$N$5:$N$58,1)&gt;0,1,0)</f>
        <v>1</v>
      </c>
      <c r="O21" s="5">
        <f>IF(COUNTIFS(Red!$K$5:$K$58,$C21,Red!$L$5:$L$58,O$3,Red!$N$5:$N$58,1)&gt;0,1,0)</f>
        <v>1</v>
      </c>
      <c r="P21" s="5">
        <f>IF(COUNTIFS(Red!$K$5:$K$58,$C21,Red!$L$5:$L$58,P$3,Red!$N$5:$N$58,1)&gt;0,1,0)</f>
        <v>0</v>
      </c>
      <c r="Q21" s="5">
        <f>IF(COUNTIFS(Red!$K$5:$K$58,$C21,Red!$L$5:$L$58,Q$3,Red!$N$5:$N$58,1)&gt;0,1,0)</f>
        <v>0</v>
      </c>
      <c r="R21" s="5">
        <f>IF(COUNTIFS(Red!$K$5:$K$58,$C21,Red!$L$5:$L$58,R$3,Red!$N$5:$N$58,1)&gt;0,1,0)</f>
        <v>1</v>
      </c>
      <c r="S21" s="5">
        <f>IF(COUNTIFS(Red!$K$5:$K$58,$C21,Red!$L$5:$L$58,S$3,Red!$N$5:$N$58,1)&gt;0,1,0)</f>
        <v>0</v>
      </c>
      <c r="T21" s="5">
        <f>IF(COUNTIFS(Red!$K$5:$K$58,$C21,Red!$L$5:$L$58,T$3,Red!$N$5:$N$58,1)&gt;0,1,0)</f>
        <v>0</v>
      </c>
      <c r="U21" s="5">
        <f>IF(COUNTIFS(Red!$K$5:$K$58,$C21,Red!$L$5:$L$58,U$3,Red!$N$5:$N$58,1)&gt;0,1,0)</f>
        <v>0</v>
      </c>
      <c r="V21" s="7">
        <f>IF(COUNTIFS(Red!$K$5:$K$58,$C21,Red!$L$5:$L$58,V$3,Red!$N$5:$N$58,1)&gt;0,1,0)</f>
        <v>1</v>
      </c>
    </row>
    <row r="22" spans="2:22" ht="17.25" customHeight="1" x14ac:dyDescent="0.25">
      <c r="B22" s="16" t="str">
        <f>VLOOKUP(tblMatrizDeAdyacencia[[#This Row],[NodoOrigen \ NodoDestino]],tblNodos[#All],2,FALSE)</f>
        <v>Destino operativo</v>
      </c>
      <c r="C22" s="11" t="s">
        <v>51</v>
      </c>
      <c r="D22" s="12">
        <f>IF(COUNTIFS(Red!$K$5:$K$58,$C22,Red!$L$5:$L$58,D$3,Red!$N$5:$N$58,1)&gt;0,1,0)</f>
        <v>0</v>
      </c>
      <c r="E22" s="12">
        <f>IF(COUNTIFS(Red!$K$5:$K$58,$C22,Red!$L$5:$L$58,E$3,Red!$N$5:$N$58,1)&gt;0,1,0)</f>
        <v>0</v>
      </c>
      <c r="F22" s="12">
        <f>IF(COUNTIFS(Red!$K$5:$K$58,$C22,Red!$L$5:$L$58,F$3,Red!$N$5:$N$58,1)&gt;0,1,0)</f>
        <v>0</v>
      </c>
      <c r="G22" s="12">
        <f>IF(COUNTIFS(Red!$K$5:$K$58,$C22,Red!$L$5:$L$58,G$3,Red!$N$5:$N$58,1)&gt;0,1,0)</f>
        <v>0</v>
      </c>
      <c r="H22" s="12">
        <f>IF(COUNTIFS(Red!$K$5:$K$58,$C22,Red!$L$5:$L$58,H$3,Red!$N$5:$N$58,1)&gt;0,1,0)</f>
        <v>0</v>
      </c>
      <c r="I22" s="12">
        <f>IF(COUNTIFS(Red!$K$5:$K$58,$C22,Red!$L$5:$L$58,I$3,Red!$N$5:$N$58,1)&gt;0,1,0)</f>
        <v>0</v>
      </c>
      <c r="J22" s="12">
        <f>IF(COUNTIFS(Red!$K$5:$K$58,$C22,Red!$L$5:$L$58,J$3,Red!$N$5:$N$58,1)&gt;0,1,0)</f>
        <v>0</v>
      </c>
      <c r="K22" s="12">
        <f>IF(COUNTIFS(Red!$K$5:$K$58,$C22,Red!$L$5:$L$58,K$3,Red!$N$5:$N$58,1)&gt;0,1,0)</f>
        <v>0</v>
      </c>
      <c r="L22" s="12">
        <f>IF(COUNTIFS(Red!$K$5:$K$58,$C22,Red!$L$5:$L$58,L$3,Red!$N$5:$N$58,1)&gt;0,1,0)</f>
        <v>0</v>
      </c>
      <c r="M22" s="12">
        <f>IF(COUNTIFS(Red!$K$5:$K$58,$C22,Red!$L$5:$L$58,M$3,Red!$N$5:$N$58,1)&gt;0,1,0)</f>
        <v>0</v>
      </c>
      <c r="N22" s="12">
        <f>IF(COUNTIFS(Red!$K$5:$K$58,$C22,Red!$L$5:$L$58,N$3,Red!$N$5:$N$58,1)&gt;0,1,0)</f>
        <v>0</v>
      </c>
      <c r="O22" s="12">
        <f>IF(COUNTIFS(Red!$K$5:$K$58,$C22,Red!$L$5:$L$58,O$3,Red!$N$5:$N$58,1)&gt;0,1,0)</f>
        <v>0</v>
      </c>
      <c r="P22" s="12">
        <f>IF(COUNTIFS(Red!$K$5:$K$58,$C22,Red!$L$5:$L$58,P$3,Red!$N$5:$N$58,1)&gt;0,1,0)</f>
        <v>0</v>
      </c>
      <c r="Q22" s="12">
        <f>IF(COUNTIFS(Red!$K$5:$K$58,$C22,Red!$L$5:$L$58,Q$3,Red!$N$5:$N$58,1)&gt;0,1,0)</f>
        <v>0</v>
      </c>
      <c r="R22" s="12">
        <f>IF(COUNTIFS(Red!$K$5:$K$58,$C22,Red!$L$5:$L$58,R$3,Red!$N$5:$N$58,1)&gt;0,1,0)</f>
        <v>0</v>
      </c>
      <c r="S22" s="12">
        <f>IF(COUNTIFS(Red!$K$5:$K$58,$C22,Red!$L$5:$L$58,S$3,Red!$N$5:$N$58,1)&gt;0,1,0)</f>
        <v>0</v>
      </c>
      <c r="T22" s="12">
        <f>IF(COUNTIFS(Red!$K$5:$K$58,$C22,Red!$L$5:$L$58,T$3,Red!$N$5:$N$58,1)&gt;0,1,0)</f>
        <v>0</v>
      </c>
      <c r="U22" s="12">
        <f>IF(COUNTIFS(Red!$K$5:$K$58,$C22,Red!$L$5:$L$58,U$3,Red!$N$5:$N$58,1)&gt;0,1,0)</f>
        <v>0</v>
      </c>
      <c r="V22" s="13">
        <f>IF(COUNTIFS(Red!$K$5:$K$58,$C22,Red!$L$5:$L$58,V$3,Red!$N$5:$N$58,1)&gt;0,1,0)</f>
        <v>0</v>
      </c>
    </row>
    <row r="25" spans="2:22" ht="17.25" customHeight="1" x14ac:dyDescent="0.25">
      <c r="B25" s="46" t="s">
        <v>191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</row>
    <row r="26" spans="2:22" ht="17.25" customHeight="1" x14ac:dyDescent="0.25">
      <c r="B26" s="46" t="s">
        <v>192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</row>
  </sheetData>
  <mergeCells count="2">
    <mergeCell ref="B26:U26"/>
    <mergeCell ref="B25:U25"/>
  </mergeCells>
  <conditionalFormatting sqref="D4:V22">
    <cfRule type="cellIs" dxfId="42" priority="1" operator="equal">
      <formula>0</formula>
    </cfRule>
    <cfRule type="cellIs" dxfId="41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Red</vt:lpstr>
      <vt:lpstr>Grafo Visual</vt:lpstr>
      <vt:lpstr>MatrizDeAdyacencia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dcterms:created xsi:type="dcterms:W3CDTF">2026-03-18T17:42:29Z</dcterms:created>
  <dcterms:modified xsi:type="dcterms:W3CDTF">2026-03-18T20:34:30Z</dcterms:modified>
</cp:coreProperties>
</file>