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0_repositorios_GitHub\TFG-AFT\"/>
    </mc:Choice>
  </mc:AlternateContent>
  <xr:revisionPtr revIDLastSave="0" documentId="13_ncr:1_{C3FE5D5E-E12D-4DFC-9AB4-5689D8E5B541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Red" sheetId="1" r:id="rId1"/>
    <sheet name="Grafo Visual" sheetId="2" r:id="rId2"/>
    <sheet name="MatrizDeAdyacencia" sheetId="3" r:id="rId3"/>
    <sheet name="MatrizPonderadaCostes" sheetId="4" r:id="rId4"/>
    <sheet name="MatrizPonderadaValorOperativo" sheetId="5" r:id="rId5"/>
    <sheet name="MatrizTradeOff Valor Op-Coste" sheetId="6" r:id="rId6"/>
    <sheet name="Métric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6" l="1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X22" i="6" l="1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4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J7" i="5"/>
  <c r="J9" i="5"/>
  <c r="J10" i="5"/>
  <c r="J11" i="5"/>
  <c r="J12" i="5"/>
  <c r="J13" i="5"/>
  <c r="J14" i="5"/>
  <c r="J15" i="5"/>
  <c r="J16" i="5"/>
  <c r="J17" i="5"/>
  <c r="J18" i="5"/>
  <c r="J21" i="5"/>
  <c r="J22" i="5"/>
  <c r="K7" i="5"/>
  <c r="K8" i="5"/>
  <c r="K9" i="5"/>
  <c r="K11" i="5"/>
  <c r="K12" i="5"/>
  <c r="K13" i="5"/>
  <c r="K14" i="5"/>
  <c r="K15" i="5"/>
  <c r="K16" i="5"/>
  <c r="K17" i="5"/>
  <c r="K18" i="5"/>
  <c r="K19" i="5"/>
  <c r="K21" i="5"/>
  <c r="K22" i="5"/>
  <c r="L7" i="5"/>
  <c r="L8" i="5"/>
  <c r="L10" i="5"/>
  <c r="L11" i="5"/>
  <c r="L12" i="5"/>
  <c r="L13" i="5"/>
  <c r="L14" i="5"/>
  <c r="L15" i="5"/>
  <c r="L16" i="5"/>
  <c r="L17" i="5"/>
  <c r="L18" i="5"/>
  <c r="L19" i="5"/>
  <c r="L21" i="5"/>
  <c r="L22" i="5"/>
  <c r="M4" i="5"/>
  <c r="M5" i="5"/>
  <c r="M6" i="5"/>
  <c r="M8" i="5"/>
  <c r="M9" i="5"/>
  <c r="M11" i="5"/>
  <c r="M12" i="5"/>
  <c r="M13" i="5"/>
  <c r="M14" i="5"/>
  <c r="M15" i="5"/>
  <c r="M16" i="5"/>
  <c r="M17" i="5"/>
  <c r="M18" i="5"/>
  <c r="M19" i="5"/>
  <c r="M21" i="5"/>
  <c r="M22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2" i="5"/>
  <c r="O4" i="5"/>
  <c r="O5" i="5"/>
  <c r="O6" i="5"/>
  <c r="O9" i="5"/>
  <c r="O10" i="5"/>
  <c r="O11" i="5"/>
  <c r="O12" i="5"/>
  <c r="O13" i="5"/>
  <c r="O14" i="5"/>
  <c r="O15" i="5"/>
  <c r="O16" i="5"/>
  <c r="O17" i="5"/>
  <c r="O18" i="5"/>
  <c r="O20" i="5"/>
  <c r="O22" i="5"/>
  <c r="P4" i="5"/>
  <c r="P5" i="5"/>
  <c r="P6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Q4" i="5"/>
  <c r="Q5" i="5"/>
  <c r="Q6" i="5"/>
  <c r="Q7" i="5"/>
  <c r="Q8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R5" i="5"/>
  <c r="R6" i="5"/>
  <c r="R7" i="5"/>
  <c r="R8" i="5"/>
  <c r="R11" i="5"/>
  <c r="R12" i="5"/>
  <c r="R13" i="5"/>
  <c r="R14" i="5"/>
  <c r="R15" i="5"/>
  <c r="R16" i="5"/>
  <c r="R17" i="5"/>
  <c r="R18" i="5"/>
  <c r="R19" i="5"/>
  <c r="R20" i="5"/>
  <c r="R21" i="5"/>
  <c r="R22" i="5"/>
  <c r="S4" i="5"/>
  <c r="S5" i="5"/>
  <c r="S6" i="5"/>
  <c r="S7" i="5"/>
  <c r="S8" i="5"/>
  <c r="S9" i="5"/>
  <c r="S10" i="5"/>
  <c r="S12" i="5"/>
  <c r="S13" i="5"/>
  <c r="S14" i="5"/>
  <c r="S16" i="5"/>
  <c r="S17" i="5"/>
  <c r="S18" i="5"/>
  <c r="S19" i="5"/>
  <c r="S20" i="5"/>
  <c r="S21" i="5"/>
  <c r="S22" i="5"/>
  <c r="T4" i="5"/>
  <c r="T5" i="5"/>
  <c r="T6" i="5"/>
  <c r="T7" i="5"/>
  <c r="T8" i="5"/>
  <c r="T9" i="5"/>
  <c r="T10" i="5"/>
  <c r="T15" i="5"/>
  <c r="T19" i="5"/>
  <c r="T20" i="5"/>
  <c r="T21" i="5"/>
  <c r="T22" i="5"/>
  <c r="U4" i="5"/>
  <c r="U5" i="5"/>
  <c r="U6" i="5"/>
  <c r="U7" i="5"/>
  <c r="U8" i="5"/>
  <c r="U9" i="5"/>
  <c r="U10" i="5"/>
  <c r="U11" i="5"/>
  <c r="U13" i="5"/>
  <c r="U16" i="5"/>
  <c r="U19" i="5"/>
  <c r="U20" i="5"/>
  <c r="U21" i="5"/>
  <c r="U22" i="5"/>
  <c r="V4" i="5"/>
  <c r="V5" i="5"/>
  <c r="V6" i="5"/>
  <c r="V7" i="5"/>
  <c r="V8" i="5"/>
  <c r="V9" i="5"/>
  <c r="V12" i="5"/>
  <c r="V13" i="5"/>
  <c r="V14" i="5"/>
  <c r="V15" i="5"/>
  <c r="V16" i="5"/>
  <c r="V17" i="5"/>
  <c r="V18" i="5"/>
  <c r="V22" i="5"/>
  <c r="AC10" i="1"/>
  <c r="AC11" i="1"/>
  <c r="T13" i="5" s="1"/>
  <c r="AC12" i="1"/>
  <c r="M20" i="5" s="1"/>
  <c r="AC13" i="1"/>
  <c r="AC14" i="1"/>
  <c r="AC15" i="1"/>
  <c r="AC16" i="1"/>
  <c r="T14" i="5" s="1"/>
  <c r="AC17" i="1"/>
  <c r="O8" i="5" s="1"/>
  <c r="AC32" i="1"/>
  <c r="L9" i="5" s="1"/>
  <c r="AC33" i="1"/>
  <c r="U12" i="5" s="1"/>
  <c r="AC34" i="1"/>
  <c r="L20" i="5" s="1"/>
  <c r="AC35" i="1"/>
  <c r="AC36" i="1"/>
  <c r="L6" i="5" s="1"/>
  <c r="AC37" i="1"/>
  <c r="T12" i="5" s="1"/>
  <c r="AC38" i="1"/>
  <c r="U14" i="5" s="1"/>
  <c r="AC39" i="1"/>
  <c r="N21" i="5" s="1"/>
  <c r="AC54" i="1"/>
  <c r="T18" i="5" s="1"/>
  <c r="AC55" i="1"/>
  <c r="U18" i="5" s="1"/>
  <c r="AC56" i="1"/>
  <c r="AC57" i="1"/>
  <c r="R10" i="5" s="1"/>
  <c r="AC58" i="1"/>
  <c r="M10" i="5" s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Z5" i="1"/>
  <c r="Z6" i="1"/>
  <c r="Z7" i="1"/>
  <c r="AC7" i="1" s="1"/>
  <c r="V20" i="5" s="1"/>
  <c r="Z8" i="1"/>
  <c r="Z9" i="1"/>
  <c r="AC9" i="1" s="1"/>
  <c r="O19" i="5" s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AC29" i="1" s="1"/>
  <c r="S11" i="5" s="1"/>
  <c r="Z30" i="1"/>
  <c r="Z31" i="1"/>
  <c r="AC31" i="1" s="1"/>
  <c r="L5" i="5" s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AC51" i="1" s="1"/>
  <c r="T16" i="5" s="1"/>
  <c r="Z52" i="1"/>
  <c r="Z53" i="1"/>
  <c r="Z54" i="1"/>
  <c r="Z55" i="1"/>
  <c r="Z56" i="1"/>
  <c r="Z57" i="1"/>
  <c r="Z58" i="1"/>
  <c r="Y5" i="1"/>
  <c r="AC5" i="1" s="1"/>
  <c r="V19" i="5" s="1"/>
  <c r="Y6" i="1"/>
  <c r="AC6" i="1" s="1"/>
  <c r="M7" i="5" s="1"/>
  <c r="Y7" i="1"/>
  <c r="Y8" i="1"/>
  <c r="AC8" i="1" s="1"/>
  <c r="V21" i="5" s="1"/>
  <c r="Y9" i="1"/>
  <c r="Y10" i="1"/>
  <c r="Y11" i="1"/>
  <c r="Y12" i="1"/>
  <c r="Y13" i="1"/>
  <c r="Y14" i="1"/>
  <c r="Y15" i="1"/>
  <c r="Y16" i="1"/>
  <c r="Y17" i="1"/>
  <c r="Y18" i="1"/>
  <c r="AC18" i="1" s="1"/>
  <c r="S15" i="5" s="1"/>
  <c r="Y19" i="1"/>
  <c r="AC19" i="1" s="1"/>
  <c r="U15" i="5" s="1"/>
  <c r="Y20" i="1"/>
  <c r="AC20" i="1" s="1"/>
  <c r="O21" i="5" s="1"/>
  <c r="Y21" i="1"/>
  <c r="AC21" i="1" s="1"/>
  <c r="O7" i="5" s="1"/>
  <c r="Y22" i="1"/>
  <c r="AC22" i="1" s="1"/>
  <c r="K4" i="5" s="1"/>
  <c r="Y23" i="1"/>
  <c r="AC23" i="1" s="1"/>
  <c r="K10" i="5" s="1"/>
  <c r="Y24" i="1"/>
  <c r="AC24" i="1" s="1"/>
  <c r="K20" i="5" s="1"/>
  <c r="Y25" i="1"/>
  <c r="AC25" i="1" s="1"/>
  <c r="V11" i="5" s="1"/>
  <c r="Y26" i="1"/>
  <c r="AC26" i="1" s="1"/>
  <c r="K5" i="5" s="1"/>
  <c r="Y27" i="1"/>
  <c r="AC27" i="1" s="1"/>
  <c r="K6" i="5" s="1"/>
  <c r="Y28" i="1"/>
  <c r="AC28" i="1" s="1"/>
  <c r="T11" i="5" s="1"/>
  <c r="Y29" i="1"/>
  <c r="Y30" i="1"/>
  <c r="AC30" i="1" s="1"/>
  <c r="L4" i="5" s="1"/>
  <c r="Y31" i="1"/>
  <c r="Y32" i="1"/>
  <c r="Y33" i="1"/>
  <c r="Y34" i="1"/>
  <c r="Y35" i="1"/>
  <c r="Y36" i="1"/>
  <c r="Y37" i="1"/>
  <c r="Y38" i="1"/>
  <c r="Y39" i="1"/>
  <c r="Y40" i="1"/>
  <c r="AC40" i="1" s="1"/>
  <c r="J4" i="5" s="1"/>
  <c r="Y41" i="1"/>
  <c r="AC41" i="1" s="1"/>
  <c r="J20" i="5" s="1"/>
  <c r="Y42" i="1"/>
  <c r="AC42" i="1" s="1"/>
  <c r="V10" i="5" s="1"/>
  <c r="Y43" i="1"/>
  <c r="AC43" i="1" s="1"/>
  <c r="J5" i="5" s="1"/>
  <c r="Y44" i="1"/>
  <c r="AC44" i="1" s="1"/>
  <c r="J6" i="5" s="1"/>
  <c r="Y45" i="1"/>
  <c r="AC45" i="1" s="1"/>
  <c r="J8" i="5" s="1"/>
  <c r="Y46" i="1"/>
  <c r="AC46" i="1" s="1"/>
  <c r="Q9" i="5" s="1"/>
  <c r="Y47" i="1"/>
  <c r="AC47" i="1" s="1"/>
  <c r="T17" i="5" s="1"/>
  <c r="Y48" i="1"/>
  <c r="AC48" i="1" s="1"/>
  <c r="U17" i="5" s="1"/>
  <c r="Y49" i="1"/>
  <c r="AC49" i="1" s="1"/>
  <c r="J19" i="5" s="1"/>
  <c r="Y50" i="1"/>
  <c r="AC50" i="1" s="1"/>
  <c r="P7" i="5" s="1"/>
  <c r="Y51" i="1"/>
  <c r="Y52" i="1"/>
  <c r="AC52" i="1" s="1"/>
  <c r="R4" i="5" s="1"/>
  <c r="Y53" i="1"/>
  <c r="AC53" i="1" s="1"/>
  <c r="R9" i="5" s="1"/>
  <c r="Y54" i="1"/>
  <c r="Y55" i="1"/>
  <c r="Y56" i="1"/>
  <c r="Y57" i="1"/>
  <c r="Y58" i="1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H7" i="4"/>
  <c r="F7" i="4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Z13" i="4"/>
  <c r="Z14" i="4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22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21" i="3"/>
  <c r="V20" i="3"/>
  <c r="U20" i="3"/>
  <c r="U20" i="4" s="1"/>
  <c r="T20" i="3"/>
  <c r="T20" i="4" s="1"/>
  <c r="S20" i="3"/>
  <c r="S20" i="4" s="1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20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19" i="3"/>
  <c r="V18" i="3"/>
  <c r="U18" i="3"/>
  <c r="U18" i="4" s="1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18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17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15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14" i="3"/>
  <c r="V13" i="3"/>
  <c r="U13" i="3"/>
  <c r="T13" i="3"/>
  <c r="T13" i="4" s="1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12" i="3"/>
  <c r="V11" i="3"/>
  <c r="U11" i="3"/>
  <c r="T11" i="3"/>
  <c r="T11" i="4" s="1"/>
  <c r="S11" i="3"/>
  <c r="R11" i="3"/>
  <c r="Q11" i="3"/>
  <c r="P11" i="3"/>
  <c r="O11" i="3"/>
  <c r="N11" i="3"/>
  <c r="M11" i="3"/>
  <c r="L11" i="3"/>
  <c r="K11" i="3"/>
  <c r="J11" i="3"/>
  <c r="I11" i="3"/>
  <c r="I11" i="4" s="1"/>
  <c r="H11" i="3"/>
  <c r="H11" i="4" s="1"/>
  <c r="G11" i="3"/>
  <c r="G11" i="4" s="1"/>
  <c r="F11" i="3"/>
  <c r="E11" i="3"/>
  <c r="D11" i="3"/>
  <c r="B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10" i="3"/>
  <c r="V9" i="3"/>
  <c r="U9" i="3"/>
  <c r="T9" i="3"/>
  <c r="S9" i="3"/>
  <c r="R9" i="3"/>
  <c r="Q9" i="3"/>
  <c r="Q9" i="4" s="1"/>
  <c r="P9" i="3"/>
  <c r="O9" i="3"/>
  <c r="N9" i="3"/>
  <c r="M9" i="3"/>
  <c r="L9" i="3"/>
  <c r="K9" i="3"/>
  <c r="J9" i="3"/>
  <c r="I9" i="3"/>
  <c r="H9" i="3"/>
  <c r="G9" i="3"/>
  <c r="F9" i="3"/>
  <c r="E9" i="3"/>
  <c r="E9" i="4" s="1"/>
  <c r="D9" i="3"/>
  <c r="B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B7" i="3"/>
  <c r="V6" i="3"/>
  <c r="U6" i="3"/>
  <c r="T6" i="3"/>
  <c r="S6" i="3"/>
  <c r="R6" i="3"/>
  <c r="R6" i="4" s="1"/>
  <c r="Q6" i="3"/>
  <c r="P6" i="3"/>
  <c r="P6" i="4" s="1"/>
  <c r="O6" i="3"/>
  <c r="N6" i="3"/>
  <c r="M6" i="3"/>
  <c r="L6" i="3"/>
  <c r="K6" i="3"/>
  <c r="J6" i="3"/>
  <c r="I6" i="3"/>
  <c r="H6" i="3"/>
  <c r="G6" i="3"/>
  <c r="F6" i="3"/>
  <c r="E6" i="3"/>
  <c r="D6" i="3"/>
  <c r="B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B5" i="3"/>
  <c r="V4" i="3"/>
  <c r="U4" i="3"/>
  <c r="T4" i="3"/>
  <c r="S4" i="3"/>
  <c r="R4" i="3"/>
  <c r="R4" i="4" s="1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B4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E9" i="7" l="1"/>
  <c r="D11" i="7"/>
  <c r="D5" i="7"/>
  <c r="E22" i="7"/>
  <c r="D9" i="7"/>
  <c r="G9" i="7" s="1"/>
  <c r="E19" i="7"/>
  <c r="E11" i="7"/>
  <c r="F11" i="7" s="1"/>
  <c r="E13" i="7"/>
  <c r="D12" i="7"/>
  <c r="D8" i="7"/>
  <c r="D6" i="7"/>
  <c r="E20" i="7"/>
  <c r="E6" i="7"/>
  <c r="D20" i="7"/>
  <c r="D10" i="7"/>
  <c r="E4" i="7"/>
  <c r="D19" i="7"/>
  <c r="F19" i="7" s="1"/>
  <c r="D21" i="7"/>
  <c r="F21" i="7" s="1"/>
  <c r="D7" i="7"/>
  <c r="E7" i="7"/>
  <c r="D17" i="7"/>
  <c r="D13" i="7"/>
  <c r="F13" i="7" s="1"/>
  <c r="E17" i="7"/>
  <c r="E18" i="7"/>
  <c r="E21" i="7"/>
  <c r="D18" i="7"/>
  <c r="F18" i="7" s="1"/>
  <c r="D16" i="7"/>
  <c r="E15" i="7"/>
  <c r="D15" i="7"/>
  <c r="E10" i="7"/>
  <c r="E5" i="7"/>
  <c r="E14" i="7"/>
  <c r="D14" i="7"/>
  <c r="F14" i="7" s="1"/>
  <c r="D22" i="7"/>
  <c r="G22" i="7" s="1"/>
  <c r="E16" i="7"/>
  <c r="G16" i="7" s="1"/>
  <c r="E12" i="7"/>
  <c r="D4" i="7"/>
  <c r="E8" i="7"/>
  <c r="F8" i="7" s="1"/>
  <c r="G15" i="7"/>
  <c r="G10" i="7"/>
  <c r="G5" i="7"/>
  <c r="F9" i="7"/>
  <c r="F20" i="7"/>
  <c r="G20" i="7"/>
  <c r="M10" i="4"/>
  <c r="N8" i="4"/>
  <c r="F6" i="4"/>
  <c r="G6" i="4"/>
  <c r="H6" i="4"/>
  <c r="I6" i="4"/>
  <c r="E7" i="4"/>
  <c r="G7" i="4"/>
  <c r="U11" i="4"/>
  <c r="O12" i="4"/>
  <c r="T12" i="4"/>
  <c r="V11" i="4"/>
  <c r="V12" i="4"/>
  <c r="H4" i="4"/>
  <c r="D13" i="4"/>
  <c r="D14" i="4"/>
  <c r="E14" i="4"/>
  <c r="J6" i="4"/>
  <c r="S15" i="4"/>
  <c r="I7" i="4"/>
  <c r="F14" i="4"/>
  <c r="J7" i="4"/>
  <c r="D19" i="4"/>
  <c r="U15" i="4"/>
  <c r="P8" i="4"/>
  <c r="E19" i="4"/>
  <c r="T14" i="4"/>
  <c r="Q8" i="4"/>
  <c r="F19" i="4"/>
  <c r="E13" i="4"/>
  <c r="K9" i="4"/>
  <c r="I19" i="4"/>
  <c r="L9" i="4"/>
  <c r="M9" i="4"/>
  <c r="N19" i="4"/>
  <c r="R9" i="4"/>
  <c r="N9" i="4"/>
  <c r="I21" i="4"/>
  <c r="O9" i="4"/>
  <c r="J21" i="4"/>
  <c r="P9" i="4"/>
  <c r="K21" i="4"/>
  <c r="M7" i="4"/>
  <c r="O21" i="4"/>
  <c r="T17" i="4"/>
  <c r="K6" i="4"/>
  <c r="S9" i="4"/>
  <c r="T21" i="4"/>
  <c r="K5" i="4"/>
  <c r="D4" i="4"/>
  <c r="N10" i="4"/>
  <c r="M4" i="4"/>
  <c r="S19" i="4"/>
  <c r="U19" i="4"/>
  <c r="H22" i="4"/>
  <c r="T4" i="4"/>
  <c r="K22" i="4"/>
  <c r="U4" i="4"/>
  <c r="K7" i="4"/>
  <c r="O10" i="4"/>
  <c r="G14" i="4"/>
  <c r="F20" i="4"/>
  <c r="L22" i="4"/>
  <c r="S4" i="4"/>
  <c r="J22" i="4"/>
  <c r="V4" i="4"/>
  <c r="L7" i="4"/>
  <c r="P10" i="4"/>
  <c r="U14" i="4"/>
  <c r="G20" i="4"/>
  <c r="M22" i="4"/>
  <c r="D5" i="4"/>
  <c r="N7" i="4"/>
  <c r="Q10" i="4"/>
  <c r="G15" i="4"/>
  <c r="H20" i="4"/>
  <c r="N22" i="4"/>
  <c r="L4" i="4"/>
  <c r="E20" i="4"/>
  <c r="E5" i="4"/>
  <c r="H8" i="4"/>
  <c r="R10" i="4"/>
  <c r="H15" i="4"/>
  <c r="I20" i="4"/>
  <c r="O22" i="4"/>
  <c r="K10" i="4"/>
  <c r="F5" i="4"/>
  <c r="I8" i="4"/>
  <c r="S10" i="4"/>
  <c r="I15" i="4"/>
  <c r="Q20" i="4"/>
  <c r="R22" i="4"/>
  <c r="G22" i="4"/>
  <c r="G5" i="4"/>
  <c r="J8" i="4"/>
  <c r="T10" i="4"/>
  <c r="E16" i="4"/>
  <c r="V20" i="4"/>
  <c r="F22" i="4"/>
  <c r="I22" i="4"/>
  <c r="H5" i="4"/>
  <c r="K8" i="4"/>
  <c r="U10" i="4"/>
  <c r="J16" i="4"/>
  <c r="D21" i="4"/>
  <c r="V19" i="4"/>
  <c r="U5" i="4"/>
  <c r="L8" i="4"/>
  <c r="L11" i="4"/>
  <c r="K16" i="4"/>
  <c r="E21" i="4"/>
  <c r="V5" i="4"/>
  <c r="M8" i="4"/>
  <c r="Q11" i="4"/>
  <c r="V16" i="4"/>
  <c r="F21" i="4"/>
  <c r="L20" i="4"/>
  <c r="D6" i="4"/>
  <c r="R11" i="4"/>
  <c r="H17" i="4"/>
  <c r="G21" i="4"/>
  <c r="T19" i="4"/>
  <c r="D20" i="4"/>
  <c r="U12" i="4"/>
  <c r="E6" i="4"/>
  <c r="O8" i="4"/>
  <c r="S11" i="4"/>
  <c r="M17" i="4"/>
  <c r="H21" i="4"/>
  <c r="P18" i="4"/>
  <c r="T18" i="4"/>
  <c r="D12" i="4"/>
  <c r="J14" i="4"/>
  <c r="M15" i="4"/>
  <c r="P16" i="4"/>
  <c r="S17" i="4"/>
  <c r="E12" i="4"/>
  <c r="T9" i="4"/>
  <c r="D11" i="4"/>
  <c r="G12" i="4"/>
  <c r="J13" i="4"/>
  <c r="M14" i="4"/>
  <c r="P15" i="4"/>
  <c r="S16" i="4"/>
  <c r="V17" i="4"/>
  <c r="L21" i="4"/>
  <c r="F4" i="4"/>
  <c r="I5" i="4"/>
  <c r="L6" i="4"/>
  <c r="O7" i="4"/>
  <c r="R8" i="4"/>
  <c r="U9" i="4"/>
  <c r="E11" i="4"/>
  <c r="H12" i="4"/>
  <c r="K13" i="4"/>
  <c r="N14" i="4"/>
  <c r="Q15" i="4"/>
  <c r="T16" i="4"/>
  <c r="D18" i="4"/>
  <c r="G19" i="4"/>
  <c r="J20" i="4"/>
  <c r="M21" i="4"/>
  <c r="P22" i="4"/>
  <c r="F12" i="4"/>
  <c r="U17" i="4"/>
  <c r="E4" i="4"/>
  <c r="G4" i="4"/>
  <c r="J5" i="4"/>
  <c r="M6" i="4"/>
  <c r="P7" i="4"/>
  <c r="S8" i="4"/>
  <c r="V9" i="4"/>
  <c r="F11" i="4"/>
  <c r="I12" i="4"/>
  <c r="L13" i="4"/>
  <c r="O14" i="4"/>
  <c r="R15" i="4"/>
  <c r="U16" i="4"/>
  <c r="E18" i="4"/>
  <c r="H19" i="4"/>
  <c r="K20" i="4"/>
  <c r="N21" i="4"/>
  <c r="Q22" i="4"/>
  <c r="H13" i="4"/>
  <c r="N15" i="4"/>
  <c r="Q16" i="4"/>
  <c r="N6" i="4"/>
  <c r="Q7" i="4"/>
  <c r="T8" i="4"/>
  <c r="D10" i="4"/>
  <c r="J12" i="4"/>
  <c r="M13" i="4"/>
  <c r="P14" i="4"/>
  <c r="F18" i="4"/>
  <c r="I4" i="4"/>
  <c r="L5" i="4"/>
  <c r="O6" i="4"/>
  <c r="R7" i="4"/>
  <c r="U8" i="4"/>
  <c r="E10" i="4"/>
  <c r="K12" i="4"/>
  <c r="N13" i="4"/>
  <c r="Q14" i="4"/>
  <c r="T15" i="4"/>
  <c r="D17" i="4"/>
  <c r="G18" i="4"/>
  <c r="J19" i="4"/>
  <c r="M20" i="4"/>
  <c r="P21" i="4"/>
  <c r="S22" i="4"/>
  <c r="K15" i="4"/>
  <c r="N16" i="4"/>
  <c r="Q17" i="4"/>
  <c r="F13" i="4"/>
  <c r="O15" i="4"/>
  <c r="J4" i="4"/>
  <c r="M5" i="4"/>
  <c r="S7" i="4"/>
  <c r="V8" i="4"/>
  <c r="F10" i="4"/>
  <c r="L12" i="4"/>
  <c r="O13" i="4"/>
  <c r="R14" i="4"/>
  <c r="E17" i="4"/>
  <c r="H18" i="4"/>
  <c r="K19" i="4"/>
  <c r="N20" i="4"/>
  <c r="Q21" i="4"/>
  <c r="T22" i="4"/>
  <c r="Q18" i="4"/>
  <c r="K4" i="4"/>
  <c r="N5" i="4"/>
  <c r="Q6" i="4"/>
  <c r="T7" i="4"/>
  <c r="D9" i="4"/>
  <c r="G10" i="4"/>
  <c r="J11" i="4"/>
  <c r="M12" i="4"/>
  <c r="P13" i="4"/>
  <c r="S14" i="4"/>
  <c r="V15" i="4"/>
  <c r="F17" i="4"/>
  <c r="I18" i="4"/>
  <c r="L19" i="4"/>
  <c r="O20" i="4"/>
  <c r="R21" i="4"/>
  <c r="U22" i="4"/>
  <c r="O17" i="4"/>
  <c r="R18" i="4"/>
  <c r="V10" i="4"/>
  <c r="I13" i="4"/>
  <c r="R16" i="4"/>
  <c r="O5" i="4"/>
  <c r="U7" i="4"/>
  <c r="H10" i="4"/>
  <c r="K11" i="4"/>
  <c r="N12" i="4"/>
  <c r="Q13" i="4"/>
  <c r="D16" i="4"/>
  <c r="G17" i="4"/>
  <c r="J18" i="4"/>
  <c r="M19" i="4"/>
  <c r="P20" i="4"/>
  <c r="S21" i="4"/>
  <c r="V22" i="4"/>
  <c r="L16" i="4"/>
  <c r="J15" i="4"/>
  <c r="M16" i="4"/>
  <c r="P17" i="4"/>
  <c r="S18" i="4"/>
  <c r="V18" i="4"/>
  <c r="K18" i="4"/>
  <c r="N4" i="4"/>
  <c r="Q5" i="4"/>
  <c r="T6" i="4"/>
  <c r="D8" i="4"/>
  <c r="G9" i="4"/>
  <c r="J10" i="4"/>
  <c r="M11" i="4"/>
  <c r="P12" i="4"/>
  <c r="S13" i="4"/>
  <c r="V14" i="4"/>
  <c r="F16" i="4"/>
  <c r="I17" i="4"/>
  <c r="L18" i="4"/>
  <c r="O19" i="4"/>
  <c r="R20" i="4"/>
  <c r="U21" i="4"/>
  <c r="G13" i="4"/>
  <c r="O4" i="4"/>
  <c r="R5" i="4"/>
  <c r="U6" i="4"/>
  <c r="E8" i="4"/>
  <c r="H9" i="4"/>
  <c r="N11" i="4"/>
  <c r="Q12" i="4"/>
  <c r="D15" i="4"/>
  <c r="G16" i="4"/>
  <c r="J17" i="4"/>
  <c r="M18" i="4"/>
  <c r="P19" i="4"/>
  <c r="V21" i="4"/>
  <c r="H14" i="4"/>
  <c r="R17" i="4"/>
  <c r="K14" i="4"/>
  <c r="P4" i="4"/>
  <c r="S5" i="4"/>
  <c r="V6" i="4"/>
  <c r="F8" i="4"/>
  <c r="I9" i="4"/>
  <c r="L10" i="4"/>
  <c r="O11" i="4"/>
  <c r="R12" i="4"/>
  <c r="U13" i="4"/>
  <c r="E15" i="4"/>
  <c r="H16" i="4"/>
  <c r="K17" i="4"/>
  <c r="N18" i="4"/>
  <c r="Q19" i="4"/>
  <c r="D22" i="4"/>
  <c r="N17" i="4"/>
  <c r="I14" i="4"/>
  <c r="L15" i="4"/>
  <c r="O16" i="4"/>
  <c r="L14" i="4"/>
  <c r="P5" i="4"/>
  <c r="S6" i="4"/>
  <c r="V7" i="4"/>
  <c r="F9" i="4"/>
  <c r="I10" i="4"/>
  <c r="R13" i="4"/>
  <c r="Q4" i="4"/>
  <c r="T5" i="4"/>
  <c r="D7" i="4"/>
  <c r="G8" i="4"/>
  <c r="J9" i="4"/>
  <c r="P11" i="4"/>
  <c r="S12" i="4"/>
  <c r="V13" i="4"/>
  <c r="F15" i="4"/>
  <c r="I16" i="4"/>
  <c r="L17" i="4"/>
  <c r="O18" i="4"/>
  <c r="R19" i="4"/>
  <c r="E22" i="4"/>
  <c r="F5" i="7" l="1"/>
  <c r="G7" i="7"/>
  <c r="F10" i="7"/>
  <c r="G12" i="7"/>
  <c r="F15" i="7"/>
  <c r="F12" i="7"/>
  <c r="G18" i="7"/>
  <c r="G21" i="7"/>
  <c r="F6" i="7"/>
  <c r="F17" i="7"/>
  <c r="G13" i="7"/>
  <c r="F7" i="7"/>
  <c r="F22" i="7"/>
  <c r="G17" i="7"/>
  <c r="G19" i="7"/>
  <c r="G14" i="7"/>
  <c r="G11" i="7"/>
  <c r="G6" i="7"/>
  <c r="G4" i="7"/>
  <c r="F16" i="7"/>
  <c r="G8" i="7"/>
  <c r="F4" i="7"/>
  <c r="F23" i="7" l="1"/>
  <c r="H4" i="7" s="1"/>
  <c r="H8" i="7" l="1"/>
  <c r="H18" i="7"/>
  <c r="H17" i="7"/>
  <c r="H12" i="7"/>
  <c r="H5" i="7"/>
  <c r="H11" i="7"/>
  <c r="H15" i="7"/>
  <c r="H16" i="7"/>
  <c r="H19" i="7"/>
  <c r="H21" i="7"/>
  <c r="H13" i="7"/>
  <c r="H7" i="7"/>
  <c r="H22" i="7"/>
  <c r="H9" i="7"/>
  <c r="H20" i="7"/>
  <c r="H10" i="7"/>
  <c r="H14" i="7"/>
  <c r="H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Sarti Fernandez</author>
  </authors>
  <commentList>
    <comment ref="M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Principal - Canal habitual / estructural
Secundario - Canal alternativo / complementario
Opcional - Canal poco frecuente o contingente</t>
        </r>
      </text>
    </comment>
    <comment ref="N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ON / OFF</t>
        </r>
      </text>
    </comment>
    <comment ref="O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E - Explícito (casos reales o afirmación directa en GAFI)
T - Tendencia general del informe
I - Inferencia modelada (mínima, controlada)
</t>
        </r>
      </text>
    </comment>
  </commentList>
</comments>
</file>

<file path=xl/sharedStrings.xml><?xml version="1.0" encoding="utf-8"?>
<sst xmlns="http://schemas.openxmlformats.org/spreadsheetml/2006/main" count="1019" uniqueCount="225">
  <si>
    <t>GENERADOR DE MODELOS DE REDES SINTÉTICAS DE FINANCIACIÓN DEL TERRORISMO</t>
  </si>
  <si>
    <t>Marina Sarti Pineda - marzo 2026</t>
  </si>
  <si>
    <t>TIPOS DE NODO</t>
  </si>
  <si>
    <t>NODOS</t>
  </si>
  <si>
    <t>ENLACES ENTRE NODOS</t>
  </si>
  <si>
    <t>Tipo</t>
  </si>
  <si>
    <t>Descripción</t>
  </si>
  <si>
    <t>Capa</t>
  </si>
  <si>
    <t>NodoID</t>
  </si>
  <si>
    <t>Nombre</t>
  </si>
  <si>
    <t>Activo</t>
  </si>
  <si>
    <t>EdgeID</t>
  </si>
  <si>
    <t>Nodo Origen</t>
  </si>
  <si>
    <t>Nodo Destino</t>
  </si>
  <si>
    <t>Tipo de Enlace</t>
  </si>
  <si>
    <t>Tipo de Justificación</t>
  </si>
  <si>
    <t>Coste</t>
  </si>
  <si>
    <t>Eficiencia</t>
  </si>
  <si>
    <t>Exposición</t>
  </si>
  <si>
    <t>Capacidad</t>
  </si>
  <si>
    <t>Resiliencia</t>
  </si>
  <si>
    <t>Fuente GAFI</t>
  </si>
  <si>
    <t>Observaciones</t>
  </si>
  <si>
    <t>O</t>
  </si>
  <si>
    <t>Origen</t>
  </si>
  <si>
    <t>O1</t>
  </si>
  <si>
    <t>Coerción y cobros forzosos</t>
  </si>
  <si>
    <t>E001</t>
  </si>
  <si>
    <t>I1</t>
  </si>
  <si>
    <t>principal</t>
  </si>
  <si>
    <t>T</t>
  </si>
  <si>
    <t>Bajo</t>
  </si>
  <si>
    <t>Medio</t>
  </si>
  <si>
    <t>Alto</t>
  </si>
  <si>
    <t>GAFI - FT risks</t>
  </si>
  <si>
    <t>Coerción/extorsión y uso intensivo de efectivo</t>
  </si>
  <si>
    <t>I</t>
  </si>
  <si>
    <t>Intermediario</t>
  </si>
  <si>
    <t>O2</t>
  </si>
  <si>
    <t>Contrabando / tráfico / comercio ilícito</t>
  </si>
  <si>
    <t>E002</t>
  </si>
  <si>
    <t>I2</t>
  </si>
  <si>
    <t>E</t>
  </si>
  <si>
    <t>Cobros y transferencias vía hawala/HOSSP</t>
  </si>
  <si>
    <t>G</t>
  </si>
  <si>
    <t>Gestión</t>
  </si>
  <si>
    <t>O3</t>
  </si>
  <si>
    <t>Explotación de recursos naturales</t>
  </si>
  <si>
    <t>E003</t>
  </si>
  <si>
    <t>I3</t>
  </si>
  <si>
    <t>Uso de MVTS/remesas en casos ISIL</t>
  </si>
  <si>
    <t>D</t>
  </si>
  <si>
    <t>Destino</t>
  </si>
  <si>
    <t>O4</t>
  </si>
  <si>
    <t>Autofinanciación lícita / microfinanciación</t>
  </si>
  <si>
    <t>E004</t>
  </si>
  <si>
    <t>I4</t>
  </si>
  <si>
    <t>secundario</t>
  </si>
  <si>
    <t>Bajo-Medio</t>
  </si>
  <si>
    <t>Cobros con dinero móvil</t>
  </si>
  <si>
    <t>O5</t>
  </si>
  <si>
    <t>Actividades económicas formales / negocios</t>
  </si>
  <si>
    <t>E005</t>
  </si>
  <si>
    <t>I9</t>
  </si>
  <si>
    <t>Cobros/transferencias con AV en casos</t>
  </si>
  <si>
    <t>O6</t>
  </si>
  <si>
    <t>Donaciones / crowdfunding / apoyo online</t>
  </si>
  <si>
    <t>E006</t>
  </si>
  <si>
    <t>Contrabando/comercio ilícito intensivo en efectivo</t>
  </si>
  <si>
    <t>Efectivo</t>
  </si>
  <si>
    <t>E007</t>
  </si>
  <si>
    <t>Medio-Alto</t>
  </si>
  <si>
    <t>Flujos transfronterizos vía hawala/HOSSP</t>
  </si>
  <si>
    <t>Hawala / HOSSP</t>
  </si>
  <si>
    <t>E008</t>
  </si>
  <si>
    <t>Remesas/MVTS asociadas a beneficios delictivos</t>
  </si>
  <si>
    <t>MVTS / remesas</t>
  </si>
  <si>
    <t>E009</t>
  </si>
  <si>
    <t>Recursos naturales vinculados a efectivo</t>
  </si>
  <si>
    <t>Dinero móvil</t>
  </si>
  <si>
    <t>E010</t>
  </si>
  <si>
    <t>Recursos naturales → hawala en casos</t>
  </si>
  <si>
    <t>I5</t>
  </si>
  <si>
    <t>Pagos online</t>
  </si>
  <si>
    <t>E011</t>
  </si>
  <si>
    <t>Recursos naturales → remesas online/MVTS</t>
  </si>
  <si>
    <t>I6</t>
  </si>
  <si>
    <t>Servicios bancarios</t>
  </si>
  <si>
    <t>E012</t>
  </si>
  <si>
    <t>Microfinanciación y dinero móvil</t>
  </si>
  <si>
    <t>I7</t>
  </si>
  <si>
    <t>Tarjetas prepago / e-wallets</t>
  </si>
  <si>
    <t>E013</t>
  </si>
  <si>
    <t>Microfinanciación y pagos online</t>
  </si>
  <si>
    <t>I8</t>
  </si>
  <si>
    <t>Plataformas digitales</t>
  </si>
  <si>
    <t>E014</t>
  </si>
  <si>
    <t>Servicios financieros formales</t>
  </si>
  <si>
    <t>Activos virtuales</t>
  </si>
  <si>
    <t>E015</t>
  </si>
  <si>
    <t>Prepago/e-wallets en casos</t>
  </si>
  <si>
    <t>G1</t>
  </si>
  <si>
    <t>Tesorería central</t>
  </si>
  <si>
    <t>E016</t>
  </si>
  <si>
    <t>Negocios intensivos en efectivo</t>
  </si>
  <si>
    <t>G2</t>
  </si>
  <si>
    <t>Centro financiero regional / célula</t>
  </si>
  <si>
    <t>E017</t>
  </si>
  <si>
    <t>Pagos online en actividad comercial</t>
  </si>
  <si>
    <t>G3</t>
  </si>
  <si>
    <t>Facilitador externo / entidad instrumental</t>
  </si>
  <si>
    <t>E018</t>
  </si>
  <si>
    <t>Banca y transferencias</t>
  </si>
  <si>
    <t>Destino operativo</t>
  </si>
  <si>
    <t>E019</t>
  </si>
  <si>
    <t>ISIL: MVTS/remesas</t>
  </si>
  <si>
    <t>E020</t>
  </si>
  <si>
    <t>Pagos integrados online</t>
  </si>
  <si>
    <t>E021</t>
  </si>
  <si>
    <t>Redes sociales/mensajería/crowdfunding</t>
  </si>
  <si>
    <t>E022</t>
  </si>
  <si>
    <t>Uso creciente de AV</t>
  </si>
  <si>
    <t>E023</t>
  </si>
  <si>
    <t>Efectivo combinado con hawala</t>
  </si>
  <si>
    <t>FLUJOS POSIBLES</t>
  </si>
  <si>
    <t>E024</t>
  </si>
  <si>
    <t>Efectivo combinado con dinero móvil</t>
  </si>
  <si>
    <t>Origen → Intermediario → Gestión → Intermediario → Destino</t>
  </si>
  <si>
    <t>E025</t>
  </si>
  <si>
    <t>Efectivo combinado con AV</t>
  </si>
  <si>
    <t>(ej. Extorsión → efectivo → hawala → centro regional → efectivo → combatiente)</t>
  </si>
  <si>
    <t>E026</t>
  </si>
  <si>
    <t>Hawala alimenta gestión central</t>
  </si>
  <si>
    <t>E027</t>
  </si>
  <si>
    <t>Hawala y centros regionales</t>
  </si>
  <si>
    <t>E028</t>
  </si>
  <si>
    <t>MVTS/remesas y facilitadores regionales</t>
  </si>
  <si>
    <t>E029</t>
  </si>
  <si>
    <t>MVTS y facilitadores externos</t>
  </si>
  <si>
    <t>E030</t>
  </si>
  <si>
    <t>Dinero móvil y células</t>
  </si>
  <si>
    <t>E031</t>
  </si>
  <si>
    <t>Pagos online y estructuras descentralizadas</t>
  </si>
  <si>
    <t>E032</t>
  </si>
  <si>
    <t>Pagos online y facilitadores</t>
  </si>
  <si>
    <t>E033</t>
  </si>
  <si>
    <t>Banca y tesorería central</t>
  </si>
  <si>
    <t>E034</t>
  </si>
  <si>
    <t>Cuentas legítimas/entidades registradas</t>
  </si>
  <si>
    <t>E035</t>
  </si>
  <si>
    <t>Fragmentación vía prepago/e-wallets</t>
  </si>
  <si>
    <t>E036</t>
  </si>
  <si>
    <t>Recaudación digital descentralizada</t>
  </si>
  <si>
    <t>E037</t>
  </si>
  <si>
    <t>Capas instrumentales</t>
  </si>
  <si>
    <t>E038</t>
  </si>
  <si>
    <t>AV y células flexibles</t>
  </si>
  <si>
    <t>E039</t>
  </si>
  <si>
    <t>AV y facilitadores externos</t>
  </si>
  <si>
    <t>E040</t>
  </si>
  <si>
    <t>Redistribución en efectivo</t>
  </si>
  <si>
    <t>E041</t>
  </si>
  <si>
    <t>Gestión central + banca</t>
  </si>
  <si>
    <t>E042</t>
  </si>
  <si>
    <t>Centros regionales y efectivo</t>
  </si>
  <si>
    <t>E043</t>
  </si>
  <si>
    <t>Centros regionales y hawala</t>
  </si>
  <si>
    <t>E044</t>
  </si>
  <si>
    <t>Centros regionales y MVTS</t>
  </si>
  <si>
    <t>E045</t>
  </si>
  <si>
    <t>Centros regionales y dinero móvil</t>
  </si>
  <si>
    <t>E046</t>
  </si>
  <si>
    <t>Células/centros regionales → destino</t>
  </si>
  <si>
    <t>E047</t>
  </si>
  <si>
    <t>Facilitador → pagos online</t>
  </si>
  <si>
    <t>E048</t>
  </si>
  <si>
    <t>Facilitador → banca</t>
  </si>
  <si>
    <t>E049</t>
  </si>
  <si>
    <t>Facilitador → AV</t>
  </si>
  <si>
    <t>E050</t>
  </si>
  <si>
    <t>Facilitador → destino</t>
  </si>
  <si>
    <t>E051</t>
  </si>
  <si>
    <t>Tesorería central → destino</t>
  </si>
  <si>
    <t>E052</t>
  </si>
  <si>
    <t>Ruta directa en redes descentralizadas</t>
  </si>
  <si>
    <t>E053</t>
  </si>
  <si>
    <t>Hawala directa al receptor final</t>
  </si>
  <si>
    <t>E054</t>
  </si>
  <si>
    <t>MVTS/remesas directas al receptor</t>
  </si>
  <si>
    <t>Nombre Nodo</t>
  </si>
  <si>
    <t>NodoOrigen \ NodoDestino</t>
  </si>
  <si>
    <t>La matriz es dirigida y binaria: 1 = enlace activo, 0 = no enlace.</t>
  </si>
  <si>
    <t>La hoja ENLACES es la fuente de verdad de la red.</t>
  </si>
  <si>
    <t>Pesos por Propiedad del Enlace</t>
  </si>
  <si>
    <t>Valor</t>
  </si>
  <si>
    <t>Peso</t>
  </si>
  <si>
    <t>Rango del Enlace</t>
  </si>
  <si>
    <t>Total</t>
  </si>
  <si>
    <t>Mínimo posible</t>
  </si>
  <si>
    <t>Máximo posible</t>
  </si>
  <si>
    <t>🔎 Rango del valor de un Enlace (según tblPesos)</t>
  </si>
  <si>
    <t>Matriz Ponderada de Costes</t>
  </si>
  <si>
    <t>Coste (peso)</t>
  </si>
  <si>
    <t>Pesos por COSTE del Enlace</t>
  </si>
  <si>
    <t>Eficiencia (peso)</t>
  </si>
  <si>
    <t>Exposición (peso)</t>
  </si>
  <si>
    <t>Capacidad (peso)</t>
  </si>
  <si>
    <t>Resiliencia (peso)</t>
  </si>
  <si>
    <t>ValorOperativo (peso)</t>
  </si>
  <si>
    <t>Matriz Ponderada de Valor Operativo</t>
  </si>
  <si>
    <t>Matriz TRADE-OFF Valor Operativo-Coste</t>
  </si>
  <si>
    <t>Nodo</t>
  </si>
  <si>
    <t>Grado Ponderado de Entrada</t>
  </si>
  <si>
    <t>Grado Ponderado de Salida</t>
  </si>
  <si>
    <t>Grado Ponderado Total</t>
  </si>
  <si>
    <t>Balance Neto</t>
  </si>
  <si>
    <t>Grado Normalizado</t>
  </si>
  <si>
    <t>Totales / Máximos / Mínimos</t>
  </si>
  <si>
    <t>METRICAS</t>
  </si>
  <si>
    <t>Mide la suma de los pesos de todas las conexiones que llegan al nodo.
Un valor alto indica que el nodo actúa como receptor o punto de concentración de relaciones operativamente eficientes dentro de la red.</t>
  </si>
  <si>
    <t>Mide la suma de los pesos de todas las conexiones que salen del nodo.
Un valor alto indica que el nodo actúa como emisor o distribuidor a través de enlaces operativamente favorables.</t>
  </si>
  <si>
    <t>Expresa el grado ponderado total del nodo en relación con el valor máximo observado en la red.
Permite comparar la centralidad relativa de los nodos en una escala común entre 0 y 1, donde 1 representa el nodo con mayor grado ponderado total.</t>
  </si>
  <si>
    <t>Se calcula como salida menos entrada.
Valores positivos indican un perfil emisor neto; valores negativos, un perfil receptor o concentrador neto; y valores próximos a cero, una posición relativamente equilibrada.</t>
  </si>
  <si>
    <t>Se obtiene sumando el grado ponderado de entrada y el de salida.
Refleja la relevancia estructural global del nodo dentro de la red, considerando tanto su capacidad de recibir como de proyectar conexiones eficientes.</t>
  </si>
  <si>
    <t>Matriz de Distancias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</si>
</sst>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7"/>
      <color theme="1"/>
      <name val="Calibri"/>
      <family val="2"/>
      <scheme val="minor"/>
    </font>
    <font>
      <b/>
      <sz val="7"/>
      <color rgb="FFFFFFFF"/>
      <name val="Calibri"/>
      <family val="2"/>
    </font>
    <font>
      <b/>
      <sz val="8"/>
      <color theme="1" tint="0.34998626667073579"/>
      <name val="Calibri"/>
      <family val="2"/>
    </font>
    <font>
      <sz val="8"/>
      <color theme="1" tint="0.34998626667073579"/>
      <name val="Calibri"/>
      <family val="2"/>
    </font>
    <font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 tint="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textRotation="45" wrapText="1"/>
    </xf>
    <xf numFmtId="0" fontId="2" fillId="4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4" fillId="8" borderId="0" xfId="0" applyFont="1" applyFill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3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6" fillId="0" borderId="8" xfId="0" applyNumberFormat="1" applyFont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2" fontId="21" fillId="0" borderId="10" xfId="0" applyNumberFormat="1" applyFont="1" applyBorder="1" applyAlignment="1">
      <alignment horizontal="center" vertical="center" wrapText="1"/>
    </xf>
    <xf numFmtId="2" fontId="22" fillId="0" borderId="21" xfId="0" applyNumberFormat="1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2" xfId="0" applyBorder="1"/>
    <xf numFmtId="0" fontId="11" fillId="0" borderId="19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3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18" xfId="0" applyFont="1" applyBorder="1" applyAlignment="1">
      <alignment horizontal="left" vertical="center"/>
    </xf>
    <xf numFmtId="0" fontId="0" fillId="0" borderId="15" xfId="0" applyBorder="1"/>
    <xf numFmtId="0" fontId="10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1">
    <dxf>
      <font>
        <color theme="0" tint="-0.1498764000366222"/>
      </font>
    </dxf>
    <dxf>
      <font>
        <strike val="0"/>
        <color theme="0" tint="-0.1498458815271462"/>
      </font>
      <numFmt numFmtId="1" formatCode="0"/>
    </dxf>
    <dxf>
      <font>
        <color theme="0" tint="-0.1498764000366222"/>
      </font>
    </dxf>
    <dxf>
      <font>
        <color theme="0" tint="-0.1498764000366222"/>
      </font>
    </dxf>
    <dxf>
      <font>
        <color theme="0" tint="-0.1498764000366222"/>
      </font>
    </dxf>
    <dxf>
      <font>
        <color rgb="FF006100"/>
      </font>
      <fill>
        <patternFill>
          <bgColor rgb="FFC6EFCE"/>
        </patternFill>
      </fill>
    </dxf>
    <dxf>
      <font>
        <color theme="0" tint="-0.1498764000366222"/>
      </font>
    </dxf>
    <dxf>
      <font>
        <color rgb="FFFFFFFF"/>
      </font>
      <fill>
        <patternFill patternType="solid">
          <fgColor indexed="64"/>
          <bgColor rgb="FF006100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ED7D31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6100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ED7D31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6100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ED7D31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6100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ED7D31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6100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FE89F"/>
        </patternFill>
      </fill>
    </dxf>
    <dxf>
      <font>
        <color rgb="FF000000"/>
      </font>
      <fill>
        <patternFill patternType="solid">
          <fgColor indexed="64"/>
          <bgColor rgb="FFED7D31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vertAlign val="baseline"/>
        <sz val="8"/>
        <color theme="1" tint="0.34998626667073579"/>
        <name val="Calibri"/>
        <family val="2"/>
        <scheme val="none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/>
    </dxf>
    <dxf>
      <font>
        <b/>
        <sz val="10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/>
    </dxf>
    <dxf>
      <font>
        <strike val="0"/>
        <outline val="0"/>
        <shadow val="0"/>
        <vertAlign val="baseline"/>
        <sz val="7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  <border outline="0">
        <left style="thin">
          <color rgb="FFD9D9D9"/>
        </left>
        <right/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  <border outline="0">
        <left style="thin">
          <color rgb="FFD9D9D9"/>
        </left>
        <right/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/>
        <vertical/>
        <horizontal/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  <border outline="0">
        <right style="thin">
          <color rgb="FFD9D9D9"/>
        </right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wrapText="1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wrapText="1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212050" cy="11687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517071</xdr:colOff>
      <xdr:row>6</xdr:row>
      <xdr:rowOff>40821</xdr:rowOff>
    </xdr:from>
    <xdr:ext cx="4714875" cy="3581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437428" y="1183821"/>
          <a:ext cx="4714875" cy="35814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iposDeNodo" displayName="tblTiposDeNodo" ref="A4:C8" headerRowDxfId="198" dataDxfId="197" totalsRowDxfId="196">
  <autoFilter ref="A4:C8" xr:uid="{00000000-0009-0000-0100-000001000000}"/>
  <tableColumns count="3">
    <tableColumn id="1" xr3:uid="{00000000-0010-0000-0000-000001000000}" name="Tipo" dataDxfId="195"/>
    <tableColumn id="2" xr3:uid="{00000000-0010-0000-0000-000002000000}" name="Descripción" dataDxfId="194"/>
    <tableColumn id="3" xr3:uid="{00000000-0010-0000-0000-000003000000}" name="Capa" dataDxfId="1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dos" displayName="tblNodos" ref="E4:H23" headerRowDxfId="192" dataDxfId="191" totalsRowDxfId="190">
  <autoFilter ref="E4:H23" xr:uid="{00000000-0009-0000-0100-000002000000}"/>
  <tableColumns count="4">
    <tableColumn id="1" xr3:uid="{00000000-0010-0000-0100-000001000000}" name="NodoID" dataDxfId="189"/>
    <tableColumn id="2" xr3:uid="{00000000-0010-0000-0100-000002000000}" name="Nombre" dataDxfId="188"/>
    <tableColumn id="3" xr3:uid="{00000000-0010-0000-0100-000003000000}" name="Tipo" dataDxfId="187"/>
    <tableColumn id="4" xr3:uid="{00000000-0010-0000-0100-000004000000}" name="Activo" dataDxfId="1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nlaces" displayName="tblEnlaces" ref="J4:AC58" headerRowDxfId="185" dataDxfId="184" totalsRowDxfId="183">
  <autoFilter ref="J4:AC58" xr:uid="{00000000-0009-0000-0100-000003000000}"/>
  <tableColumns count="20">
    <tableColumn id="1" xr3:uid="{00000000-0010-0000-0200-000001000000}" name="EdgeID" dataDxfId="182"/>
    <tableColumn id="2" xr3:uid="{00000000-0010-0000-0200-000002000000}" name="Nodo Origen" dataDxfId="181"/>
    <tableColumn id="3" xr3:uid="{00000000-0010-0000-0200-000003000000}" name="Nodo Destino" dataDxfId="180"/>
    <tableColumn id="4" xr3:uid="{00000000-0010-0000-0200-000004000000}" name="Tipo de Enlace" dataDxfId="179"/>
    <tableColumn id="5" xr3:uid="{00000000-0010-0000-0200-000005000000}" name="Activo" dataDxfId="178"/>
    <tableColumn id="6" xr3:uid="{00000000-0010-0000-0200-000006000000}" name="Tipo de Justificación" dataDxfId="177"/>
    <tableColumn id="11" xr3:uid="{00000000-0010-0000-0200-00000B000000}" name="Coste" dataDxfId="176"/>
    <tableColumn id="13" xr3:uid="{00000000-0010-0000-0200-00000D000000}" name="Eficiencia" dataDxfId="175"/>
    <tableColumn id="12" xr3:uid="{00000000-0010-0000-0200-00000C000000}" name="Exposición" dataDxfId="174"/>
    <tableColumn id="10" xr3:uid="{00000000-0010-0000-0200-00000A000000}" name="Capacidad" dataDxfId="173"/>
    <tableColumn id="9" xr3:uid="{00000000-0010-0000-0200-000009000000}" name="Resiliencia" dataDxfId="172"/>
    <tableColumn id="7" xr3:uid="{00000000-0010-0000-0200-000007000000}" name="Fuente GAFI" dataDxfId="171"/>
    <tableColumn id="8" xr3:uid="{00000000-0010-0000-0200-000008000000}" name="Observaciones" dataDxfId="170"/>
    <tableColumn id="14" xr3:uid="{9DEDFDB7-A2E0-4CB1-947F-B304ED7D5C52}" name="Peso" dataDxfId="169" totalsRowDxfId="168">
      <calculatedColumnFormula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calculatedColumnFormula>
    </tableColumn>
    <tableColumn id="15" xr3:uid="{91CC5AF4-79B4-4956-AA5F-ED66882FD55C}" name="Coste (peso)" dataDxfId="167" totalsRowDxfId="166">
      <calculatedColumnFormula>IFERROR(_xlfn.XLOOKUP(tblEnlaces[[#This Row],[Coste]],tblPesosCoste[Valor],tblPesosCoste[Coste],0),0)</calculatedColumnFormula>
    </tableColumn>
    <tableColumn id="16" xr3:uid="{A9684E2B-EBB7-4A91-A915-62EE8AAE7875}" name="Eficiencia (peso)" dataDxfId="165" totalsRowDxfId="164">
      <calculatedColumnFormula>IFERROR(_xlfn.XLOOKUP(tblEnlaces[[#This Row],[Eficiencia]],tblPesosValorOperativo[Valor],tblPesosValorOperativo[Eficiencia],0),0)</calculatedColumnFormula>
    </tableColumn>
    <tableColumn id="17" xr3:uid="{7D57EB0F-78FF-4D06-BC46-FCB3CEDEA532}" name="Exposición (peso)" dataDxfId="163" totalsRowDxfId="162">
      <calculatedColumnFormula>IFERROR(_xlfn.XLOOKUP(tblEnlaces[[#This Row],[Exposición]],tblPesosValorOperativo[Valor],tblPesosValorOperativo[Exposición],0),0)</calculatedColumnFormula>
    </tableColumn>
    <tableColumn id="18" xr3:uid="{40FAC623-CB85-44BF-95C3-1B3772278BBB}" name="Capacidad (peso)" dataDxfId="161" totalsRowDxfId="160">
      <calculatedColumnFormula>IFERROR(_xlfn.XLOOKUP(tblEnlaces[[#This Row],[Capacidad]],tblPesosValorOperativo[Valor],tblPesosValorOperativo[Capacidad],0),0)</calculatedColumnFormula>
    </tableColumn>
    <tableColumn id="19" xr3:uid="{19ACC6C2-B42C-44DF-984C-9CB7533EF9F8}" name="Resiliencia (peso)" dataDxfId="159" totalsRowDxfId="158">
      <calculatedColumnFormula>IFERROR(_xlfn.XLOOKUP(tblEnlaces[[#This Row],[Resiliencia]],tblPesosValorOperativo[Valor],tblPesosValorOperativo[Resiliencia],0),0)</calculatedColumnFormula>
    </tableColumn>
    <tableColumn id="20" xr3:uid="{4F0E91DC-16E3-4BB5-8933-D0471066AB39}" name="ValorOperativo (peso)" dataDxfId="157" totalsRowDxfId="156">
      <calculatedColumnFormula>tblEnlaces[[#This Row],[Eficiencia (peso)]]+tblEnlaces[[#This Row],[Exposición (peso)]]+tblEnlaces[[#This Row],[Capacidad (peso)]]+tblEnlaces[[#This Row],[Resiliencia (peso)]]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atrizDeAdyacencia" displayName="tblMatrizDeAdyacencia" ref="B3:V22" totalsRowShown="0" headerRowDxfId="155" dataDxfId="153" headerRowBorderDxfId="154" tableBorderDxfId="152" totalsRowBorderDxfId="151">
  <tableColumns count="21">
    <tableColumn id="21" xr3:uid="{00000000-0010-0000-0300-000015000000}" name="Nombre Nodo" dataDxfId="150">
      <calculatedColumnFormula>VLOOKUP(tblMatrizDeAdyacencia[[#This Row],[NodoOrigen \ NodoDestino]],tblNodos[#All],2,FALSE)</calculatedColumnFormula>
    </tableColumn>
    <tableColumn id="1" xr3:uid="{00000000-0010-0000-0300-000001000000}" name="NodoOrigen \ NodoDestino" dataDxfId="149"/>
    <tableColumn id="2" xr3:uid="{00000000-0010-0000-0300-000002000000}" name="O1" dataDxfId="148">
      <calculatedColumnFormula>IF(COUNTIFS(Red!$K$5:$K$58,$C4,Red!$L$5:$L$58,D$3,Red!$N$5:$N$58,1)&gt;0,1,0)</calculatedColumnFormula>
    </tableColumn>
    <tableColumn id="3" xr3:uid="{00000000-0010-0000-0300-000003000000}" name="O2" dataDxfId="147">
      <calculatedColumnFormula>IF(COUNTIFS(Red!$K$5:$K$58,$C4,Red!$L$5:$L$58,E$3,Red!$N$5:$N$58,1)&gt;0,1,0)</calculatedColumnFormula>
    </tableColumn>
    <tableColumn id="4" xr3:uid="{00000000-0010-0000-0300-000004000000}" name="O3" dataDxfId="146">
      <calculatedColumnFormula>IF(COUNTIFS(Red!$K$5:$K$58,$C4,Red!$L$5:$L$58,F$3,Red!$N$5:$N$58,1)&gt;0,1,0)</calculatedColumnFormula>
    </tableColumn>
    <tableColumn id="5" xr3:uid="{00000000-0010-0000-0300-000005000000}" name="O4" dataDxfId="145">
      <calculatedColumnFormula>IF(COUNTIFS(Red!$K$5:$K$58,$C4,Red!$L$5:$L$58,G$3,Red!$N$5:$N$58,1)&gt;0,1,0)</calculatedColumnFormula>
    </tableColumn>
    <tableColumn id="6" xr3:uid="{00000000-0010-0000-0300-000006000000}" name="O5" dataDxfId="144">
      <calculatedColumnFormula>IF(COUNTIFS(Red!$K$5:$K$58,$C4,Red!$L$5:$L$58,H$3,Red!$N$5:$N$58,1)&gt;0,1,0)</calculatedColumnFormula>
    </tableColumn>
    <tableColumn id="7" xr3:uid="{00000000-0010-0000-0300-000007000000}" name="O6" dataDxfId="143">
      <calculatedColumnFormula>IF(COUNTIFS(Red!$K$5:$K$58,$C4,Red!$L$5:$L$58,I$3,Red!$N$5:$N$58,1)&gt;0,1,0)</calculatedColumnFormula>
    </tableColumn>
    <tableColumn id="8" xr3:uid="{00000000-0010-0000-0300-000008000000}" name="I1" dataDxfId="142">
      <calculatedColumnFormula>IF(COUNTIFS(Red!$K$5:$K$58,$C4,Red!$L$5:$L$58,J$3,Red!$N$5:$N$58,1)&gt;0,1,0)</calculatedColumnFormula>
    </tableColumn>
    <tableColumn id="9" xr3:uid="{00000000-0010-0000-0300-000009000000}" name="I2" dataDxfId="141">
      <calculatedColumnFormula>IF(COUNTIFS(Red!$K$5:$K$58,$C4,Red!$L$5:$L$58,K$3,Red!$N$5:$N$58,1)&gt;0,1,0)</calculatedColumnFormula>
    </tableColumn>
    <tableColumn id="10" xr3:uid="{00000000-0010-0000-0300-00000A000000}" name="I3" dataDxfId="140">
      <calculatedColumnFormula>IF(COUNTIFS(Red!$K$5:$K$58,$C4,Red!$L$5:$L$58,L$3,Red!$N$5:$N$58,1)&gt;0,1,0)</calculatedColumnFormula>
    </tableColumn>
    <tableColumn id="11" xr3:uid="{00000000-0010-0000-0300-00000B000000}" name="I4" dataDxfId="139">
      <calculatedColumnFormula>IF(COUNTIFS(Red!$K$5:$K$58,$C4,Red!$L$5:$L$58,M$3,Red!$N$5:$N$58,1)&gt;0,1,0)</calculatedColumnFormula>
    </tableColumn>
    <tableColumn id="12" xr3:uid="{00000000-0010-0000-0300-00000C000000}" name="I5" dataDxfId="138">
      <calculatedColumnFormula>IF(COUNTIFS(Red!$K$5:$K$58,$C4,Red!$L$5:$L$58,N$3,Red!$N$5:$N$58,1)&gt;0,1,0)</calculatedColumnFormula>
    </tableColumn>
    <tableColumn id="13" xr3:uid="{00000000-0010-0000-0300-00000D000000}" name="I6" dataDxfId="137">
      <calculatedColumnFormula>IF(COUNTIFS(Red!$K$5:$K$58,$C4,Red!$L$5:$L$58,O$3,Red!$N$5:$N$58,1)&gt;0,1,0)</calculatedColumnFormula>
    </tableColumn>
    <tableColumn id="14" xr3:uid="{00000000-0010-0000-0300-00000E000000}" name="I7" dataDxfId="136">
      <calculatedColumnFormula>IF(COUNTIFS(Red!$K$5:$K$58,$C4,Red!$L$5:$L$58,P$3,Red!$N$5:$N$58,1)&gt;0,1,0)</calculatedColumnFormula>
    </tableColumn>
    <tableColumn id="15" xr3:uid="{00000000-0010-0000-0300-00000F000000}" name="I8" dataDxfId="135">
      <calculatedColumnFormula>IF(COUNTIFS(Red!$K$5:$K$58,$C4,Red!$L$5:$L$58,Q$3,Red!$N$5:$N$58,1)&gt;0,1,0)</calculatedColumnFormula>
    </tableColumn>
    <tableColumn id="16" xr3:uid="{00000000-0010-0000-0300-000010000000}" name="I9" dataDxfId="134">
      <calculatedColumnFormula>IF(COUNTIFS(Red!$K$5:$K$58,$C4,Red!$L$5:$L$58,R$3,Red!$N$5:$N$58,1)&gt;0,1,0)</calculatedColumnFormula>
    </tableColumn>
    <tableColumn id="17" xr3:uid="{00000000-0010-0000-0300-000011000000}" name="G1" dataDxfId="133">
      <calculatedColumnFormula>IF(COUNTIFS(Red!$K$5:$K$58,$C4,Red!$L$5:$L$58,S$3,Red!$N$5:$N$58,1)&gt;0,1,0)</calculatedColumnFormula>
    </tableColumn>
    <tableColumn id="18" xr3:uid="{00000000-0010-0000-0300-000012000000}" name="G2" dataDxfId="132">
      <calculatedColumnFormula>IF(COUNTIFS(Red!$K$5:$K$58,$C4,Red!$L$5:$L$58,T$3,Red!$N$5:$N$58,1)&gt;0,1,0)</calculatedColumnFormula>
    </tableColumn>
    <tableColumn id="19" xr3:uid="{00000000-0010-0000-0300-000013000000}" name="G3" dataDxfId="131">
      <calculatedColumnFormula>IF(COUNTIFS(Red!$K$5:$K$58,$C4,Red!$L$5:$L$58,U$3,Red!$N$5:$N$58,1)&gt;0,1,0)</calculatedColumnFormula>
    </tableColumn>
    <tableColumn id="20" xr3:uid="{00000000-0010-0000-0300-000014000000}" name="D" dataDxfId="130">
      <calculatedColumnFormula>IF(COUNTIFS(Red!$K$5:$K$58,$C4,Red!$L$5:$L$58,V$3,Red!$N$5:$N$58,1)&gt;0,1,0)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9F938E-46CC-49F1-9A1F-6017755965D1}" name="tblMatrizPonderadaCostes" displayName="tblMatrizPonderadaCostes" ref="B3:V22" totalsRowShown="0" headerRowDxfId="129" dataDxfId="127" headerRowBorderDxfId="128" tableBorderDxfId="126" totalsRowBorderDxfId="125">
  <tableColumns count="21">
    <tableColumn id="21" xr3:uid="{2A9AC9D7-CC14-4058-8CF2-7CDFEC15F78F}" name="Nombre Nodo" dataDxfId="124">
      <calculatedColumnFormula>VLOOKUP(tblMatrizPonderadaCostes[[#This Row],[NodoOrigen \ NodoDestino]],tblNodos[#All],2,FALSE)</calculatedColumnFormula>
    </tableColumn>
    <tableColumn id="1" xr3:uid="{3A911174-7F39-43D0-8D1B-0D1A251C78CF}" name="NodoOrigen \ NodoDestino" dataDxfId="123"/>
    <tableColumn id="2" xr3:uid="{79E6108F-3B54-4663-83BD-0E9A6288B0A8}" name="O1" dataDxfId="122">
      <calculatedColumnFormula>IF(MatrizDeAdyacencia!D4=1,SUMIFS(tblEnlaces[Coste (peso)],tblEnlaces[Nodo Origen],$C4,tblEnlaces[Nodo Destino],D$3,tblEnlaces[Activo],1),0)</calculatedColumnFormula>
    </tableColumn>
    <tableColumn id="3" xr3:uid="{74BBA163-10F6-4D74-863C-C4517633500F}" name="O2" dataDxfId="121">
      <calculatedColumnFormula>IF(MatrizDeAdyacencia!E4=1,SUMIFS(tblEnlaces[Coste (peso)],tblEnlaces[Nodo Origen],$C4,tblEnlaces[Nodo Destino],E$3,tblEnlaces[Activo],1),0)</calculatedColumnFormula>
    </tableColumn>
    <tableColumn id="4" xr3:uid="{5D6ADA5C-E165-41EC-803D-18F7A270611C}" name="O3" dataDxfId="120">
      <calculatedColumnFormula>IF(MatrizDeAdyacencia!F4=1,SUMIFS(tblEnlaces[Coste (peso)],tblEnlaces[Nodo Origen],$C4,tblEnlaces[Nodo Destino],F$3,tblEnlaces[Activo],1),0)</calculatedColumnFormula>
    </tableColumn>
    <tableColumn id="5" xr3:uid="{035B34FA-1623-4B86-B0EE-0CC6694FFD7C}" name="O4" dataDxfId="119">
      <calculatedColumnFormula>IF(MatrizDeAdyacencia!G4=1,SUMIFS(tblEnlaces[Coste (peso)],tblEnlaces[Nodo Origen],$C4,tblEnlaces[Nodo Destino],G$3,tblEnlaces[Activo],1),0)</calculatedColumnFormula>
    </tableColumn>
    <tableColumn id="6" xr3:uid="{27739639-E082-4698-9A4C-15EDA8612A83}" name="O5" dataDxfId="118">
      <calculatedColumnFormula>IF(MatrizDeAdyacencia!H4=1,SUMIFS(tblEnlaces[Coste (peso)],tblEnlaces[Nodo Origen],$C4,tblEnlaces[Nodo Destino],H$3,tblEnlaces[Activo],1),0)</calculatedColumnFormula>
    </tableColumn>
    <tableColumn id="7" xr3:uid="{ED768978-7E7B-49CD-A202-FE8EBE9E64E0}" name="O6" dataDxfId="117">
      <calculatedColumnFormula>IF(MatrizDeAdyacencia!I4=1,SUMIFS(tblEnlaces[Coste (peso)],tblEnlaces[Nodo Origen],$C4,tblEnlaces[Nodo Destino],I$3,tblEnlaces[Activo],1),0)</calculatedColumnFormula>
    </tableColumn>
    <tableColumn id="8" xr3:uid="{37684012-4DC0-48DA-8E67-185403ABB81C}" name="I1" dataDxfId="116">
      <calculatedColumnFormula>IF(MatrizDeAdyacencia!J4=1,SUMIFS(tblEnlaces[Coste (peso)],tblEnlaces[Nodo Origen],$C4,tblEnlaces[Nodo Destino],J$3,tblEnlaces[Activo],1),0)</calculatedColumnFormula>
    </tableColumn>
    <tableColumn id="9" xr3:uid="{E3684910-7769-4AEF-8800-33DC2F8D7ABC}" name="I2" dataDxfId="115">
      <calculatedColumnFormula>IF(MatrizDeAdyacencia!K4=1,SUMIFS(tblEnlaces[Coste (peso)],tblEnlaces[Nodo Origen],$C4,tblEnlaces[Nodo Destino],K$3,tblEnlaces[Activo],1),0)</calculatedColumnFormula>
    </tableColumn>
    <tableColumn id="10" xr3:uid="{A095B3C4-5019-4082-93A5-E12BDE733061}" name="I3" dataDxfId="114">
      <calculatedColumnFormula>IF(MatrizDeAdyacencia!L4=1,SUMIFS(tblEnlaces[Coste (peso)],tblEnlaces[Nodo Origen],$C4,tblEnlaces[Nodo Destino],L$3,tblEnlaces[Activo],1),0)</calculatedColumnFormula>
    </tableColumn>
    <tableColumn id="11" xr3:uid="{C5072B89-856A-4694-9D8B-17C4DB67DFF8}" name="I4" dataDxfId="113">
      <calculatedColumnFormula>IF(MatrizDeAdyacencia!M4=1,SUMIFS(tblEnlaces[Coste (peso)],tblEnlaces[Nodo Origen],$C4,tblEnlaces[Nodo Destino],M$3,tblEnlaces[Activo],1),0)</calculatedColumnFormula>
    </tableColumn>
    <tableColumn id="12" xr3:uid="{0BD76649-1EE0-46D9-8718-F9A6F67BE379}" name="I5" dataDxfId="112">
      <calculatedColumnFormula>IF(MatrizDeAdyacencia!N4=1,SUMIFS(tblEnlaces[Coste (peso)],tblEnlaces[Nodo Origen],$C4,tblEnlaces[Nodo Destino],N$3,tblEnlaces[Activo],1),0)</calculatedColumnFormula>
    </tableColumn>
    <tableColumn id="13" xr3:uid="{263255E9-BE7D-4E45-A463-5AD358998CB9}" name="I6" dataDxfId="111">
      <calculatedColumnFormula>IF(MatrizDeAdyacencia!O4=1,SUMIFS(tblEnlaces[Coste (peso)],tblEnlaces[Nodo Origen],$C4,tblEnlaces[Nodo Destino],O$3,tblEnlaces[Activo],1),0)</calculatedColumnFormula>
    </tableColumn>
    <tableColumn id="14" xr3:uid="{7AF510BB-CB1B-461F-8746-C7133DC25996}" name="I7" dataDxfId="110">
      <calculatedColumnFormula>IF(MatrizDeAdyacencia!P4=1,SUMIFS(tblEnlaces[Coste (peso)],tblEnlaces[Nodo Origen],$C4,tblEnlaces[Nodo Destino],P$3,tblEnlaces[Activo],1),0)</calculatedColumnFormula>
    </tableColumn>
    <tableColumn id="15" xr3:uid="{42A7B19E-8A6C-4FA9-A2E9-2B83EC8917D4}" name="I8" dataDxfId="109">
      <calculatedColumnFormula>IF(MatrizDeAdyacencia!Q4=1,SUMIFS(tblEnlaces[Coste (peso)],tblEnlaces[Nodo Origen],$C4,tblEnlaces[Nodo Destino],Q$3,tblEnlaces[Activo],1),0)</calculatedColumnFormula>
    </tableColumn>
    <tableColumn id="16" xr3:uid="{C9AE28B0-4117-4A3D-8381-F7E9417F1616}" name="I9" dataDxfId="108">
      <calculatedColumnFormula>IF(MatrizDeAdyacencia!R4=1,SUMIFS(tblEnlaces[Coste (peso)],tblEnlaces[Nodo Origen],$C4,tblEnlaces[Nodo Destino],R$3,tblEnlaces[Activo],1),0)</calculatedColumnFormula>
    </tableColumn>
    <tableColumn id="17" xr3:uid="{92A0B734-1347-429D-A2CB-8D857E4CD34E}" name="G1" dataDxfId="107">
      <calculatedColumnFormula>IF(MatrizDeAdyacencia!S4=1,SUMIFS(tblEnlaces[Coste (peso)],tblEnlaces[Nodo Origen],$C4,tblEnlaces[Nodo Destino],S$3,tblEnlaces[Activo],1),0)</calculatedColumnFormula>
    </tableColumn>
    <tableColumn id="18" xr3:uid="{667134D2-C221-4A4D-9FB1-909ACDC0DDB5}" name="G2" dataDxfId="106">
      <calculatedColumnFormula>IF(MatrizDeAdyacencia!T4=1,SUMIFS(tblEnlaces[Coste (peso)],tblEnlaces[Nodo Origen],$C4,tblEnlaces[Nodo Destino],T$3,tblEnlaces[Activo],1),0)</calculatedColumnFormula>
    </tableColumn>
    <tableColumn id="19" xr3:uid="{338C87EB-B9DD-49EE-9C5C-4BCE63EF4744}" name="G3" dataDxfId="105">
      <calculatedColumnFormula>IF(MatrizDeAdyacencia!U4=1,SUMIFS(tblEnlaces[Coste (peso)],tblEnlaces[Nodo Origen],$C4,tblEnlaces[Nodo Destino],U$3,tblEnlaces[Activo],1),0)</calculatedColumnFormula>
    </tableColumn>
    <tableColumn id="20" xr3:uid="{6E3807F5-486A-4D01-9C7A-D8CBDABFB157}" name="D" dataDxfId="104">
      <calculatedColumnFormula>IF(MatrizDeAdyacencia!V4=1,SUMIFS(tblEnlaces[Coste (peso)],tblEnlaces[Nodo Origen],$C4,tblEnlaces[Nodo Destino],V$3,tblEnlaces[Activo],1),0)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A860C4-F3F6-438A-94ED-DFA95D98100E}" name="tblPesosCoste" displayName="tblPesosCoste" ref="Y4:Z9" totalsRowShown="0" headerRowDxfId="103" dataDxfId="101" headerRowBorderDxfId="102" tableBorderDxfId="100">
  <autoFilter ref="Y4:Z9" xr:uid="{53A860C4-F3F6-438A-94ED-DFA95D98100E}">
    <filterColumn colId="0" hiddenButton="1"/>
    <filterColumn colId="1" hiddenButton="1"/>
  </autoFilter>
  <tableColumns count="2">
    <tableColumn id="1" xr3:uid="{E1E6CBAC-71D7-49B4-97B4-D7CD1992E449}" name="Valor" dataDxfId="99"/>
    <tableColumn id="4" xr3:uid="{5D97B706-55F4-46C7-B8B4-663F39805E8B}" name="Coste" dataDxfId="98"/>
  </tableColumns>
  <tableStyleInfo name="TableStyleMedium1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EEA98C-81AE-44A3-B7B7-DDC02BD7FDF3}" name="tblRangoEnlace" displayName="tblRangoEnlace" ref="Y12:Z14" totalsRowShown="0" headerRowDxfId="97" headerRowBorderDxfId="96">
  <tableColumns count="2">
    <tableColumn id="1" xr3:uid="{241E10B4-3B7B-4E19-92EA-AA4D53964641}" name="Rango del Enlace" dataDxfId="95"/>
    <tableColumn id="2" xr3:uid="{20B4E6FB-3DB7-4113-AD20-5780FA4D1775}" name="Coste" dataDxfId="94"/>
  </tableColumns>
  <tableStyleInfo name="TableStyleMedium16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3AE3-0C07-44F8-B723-CD50D544B597}" name="tblMatrizPonderadaValorOperativo" displayName="tblMatrizPonderadaValorOperativo" ref="B3:V40" totalsRowShown="0" headerRowDxfId="93" dataDxfId="91" headerRowBorderDxfId="92" tableBorderDxfId="90" totalsRowBorderDxfId="89">
  <tableColumns count="21">
    <tableColumn id="21" xr3:uid="{AB0E4632-ED12-49C5-876A-D0C45597103C}" name="Nombre Nodo" dataDxfId="88">
      <calculatedColumnFormula>VLOOKUP(tblMatrizPonderadaValorOperativo[[#This Row],[NodoOrigen \ NodoDestino]],tblNodos[#All],2,FALSE)</calculatedColumnFormula>
    </tableColumn>
    <tableColumn id="1" xr3:uid="{1F5E2E88-3C78-4615-A934-EA38CE88F1DA}" name="NodoOrigen \ NodoDestino" dataDxfId="87"/>
    <tableColumn id="2" xr3:uid="{7A66295D-CA43-492F-8775-35115F7A44EA}" name="O1" dataDxfId="86">
      <calculatedColumnFormula>IF(MatrizDeAdyacencia!D4=1, SUMIFS(tblEnlaces[ValorOperativo (peso)], tblEnlaces[Nodo Origen], $C4, tblEnlaces[Nodo Destino], D$3, tblEnlaces[Activo], 1), 0)</calculatedColumnFormula>
    </tableColumn>
    <tableColumn id="3" xr3:uid="{B8A230F9-7293-4177-956A-4E8B8C3CDA07}" name="O2" dataDxfId="85">
      <calculatedColumnFormula>IF(MatrizDeAdyacencia!E4=1, SUMIFS(tblEnlaces[ValorOperativo (peso)], tblEnlaces[Nodo Origen], $C4, tblEnlaces[Nodo Destino], E$3, tblEnlaces[Activo], 1), 0)</calculatedColumnFormula>
    </tableColumn>
    <tableColumn id="4" xr3:uid="{58464D2B-4CD6-441D-AB43-966A10F72197}" name="O3" dataDxfId="84">
      <calculatedColumnFormula>IF(MatrizDeAdyacencia!F4=1, SUMIFS(tblEnlaces[ValorOperativo (peso)], tblEnlaces[Nodo Origen], $C4, tblEnlaces[Nodo Destino], F$3, tblEnlaces[Activo], 1), 0)</calculatedColumnFormula>
    </tableColumn>
    <tableColumn id="5" xr3:uid="{B54A5E25-CEE0-4DA6-8517-04ED3BBF73C6}" name="O4" dataDxfId="83">
      <calculatedColumnFormula>IF(MatrizDeAdyacencia!G4=1, SUMIFS(tblEnlaces[ValorOperativo (peso)], tblEnlaces[Nodo Origen], $C4, tblEnlaces[Nodo Destino], G$3, tblEnlaces[Activo], 1), 0)</calculatedColumnFormula>
    </tableColumn>
    <tableColumn id="6" xr3:uid="{6A0BB34B-830D-4E04-B8C9-46624641D569}" name="O5" dataDxfId="82">
      <calculatedColumnFormula>IF(MatrizDeAdyacencia!H4=1, SUMIFS(tblEnlaces[ValorOperativo (peso)], tblEnlaces[Nodo Origen], $C4, tblEnlaces[Nodo Destino], H$3, tblEnlaces[Activo], 1), 0)</calculatedColumnFormula>
    </tableColumn>
    <tableColumn id="7" xr3:uid="{00DB80CE-0309-4FD9-950E-24D1DFDD9FFF}" name="O6" dataDxfId="81">
      <calculatedColumnFormula>IF(MatrizDeAdyacencia!I4=1, SUMIFS(tblEnlaces[ValorOperativo (peso)], tblEnlaces[Nodo Origen], $C4, tblEnlaces[Nodo Destino], I$3, tblEnlaces[Activo], 1), 0)</calculatedColumnFormula>
    </tableColumn>
    <tableColumn id="8" xr3:uid="{7AA5A8CA-1E8D-4093-864B-7D03F5756DC4}" name="I1" dataDxfId="80">
      <calculatedColumnFormula>IF(MatrizDeAdyacencia!J4=1, SUMIFS(tblEnlaces[ValorOperativo (peso)], tblEnlaces[Nodo Origen], $C4, tblEnlaces[Nodo Destino], J$3, tblEnlaces[Activo], 1), 0)</calculatedColumnFormula>
    </tableColumn>
    <tableColumn id="9" xr3:uid="{03497B6C-E6A2-42BB-B97E-C56E12C9418F}" name="I2" dataDxfId="79">
      <calculatedColumnFormula>IF(MatrizDeAdyacencia!K4=1, SUMIFS(tblEnlaces[ValorOperativo (peso)], tblEnlaces[Nodo Origen], $C4, tblEnlaces[Nodo Destino], K$3, tblEnlaces[Activo], 1), 0)</calculatedColumnFormula>
    </tableColumn>
    <tableColumn id="10" xr3:uid="{0FA96BFD-FC30-4C99-86C3-1B3F7728768B}" name="I3" dataDxfId="78">
      <calculatedColumnFormula>IF(MatrizDeAdyacencia!L4=1, SUMIFS(tblEnlaces[ValorOperativo (peso)], tblEnlaces[Nodo Origen], $C4, tblEnlaces[Nodo Destino], L$3, tblEnlaces[Activo], 1), 0)</calculatedColumnFormula>
    </tableColumn>
    <tableColumn id="11" xr3:uid="{F3EDBB22-EAE5-496E-8608-9EED6CF8096A}" name="I4" dataDxfId="77">
      <calculatedColumnFormula>IF(MatrizDeAdyacencia!M4=1, SUMIFS(tblEnlaces[ValorOperativo (peso)], tblEnlaces[Nodo Origen], $C4, tblEnlaces[Nodo Destino], M$3, tblEnlaces[Activo], 1), 0)</calculatedColumnFormula>
    </tableColumn>
    <tableColumn id="12" xr3:uid="{EE195140-EF30-4914-AEA7-9A979743FE44}" name="I5" dataDxfId="76">
      <calculatedColumnFormula>IF(MatrizDeAdyacencia!N4=1, SUMIFS(tblEnlaces[ValorOperativo (peso)], tblEnlaces[Nodo Origen], $C4, tblEnlaces[Nodo Destino], N$3, tblEnlaces[Activo], 1), 0)</calculatedColumnFormula>
    </tableColumn>
    <tableColumn id="13" xr3:uid="{940C992B-DC9E-4078-B43B-AD2A2ADF88AA}" name="I6" dataDxfId="75">
      <calculatedColumnFormula>IF(MatrizDeAdyacencia!O4=1, SUMIFS(tblEnlaces[ValorOperativo (peso)], tblEnlaces[Nodo Origen], $C4, tblEnlaces[Nodo Destino], O$3, tblEnlaces[Activo], 1), 0)</calculatedColumnFormula>
    </tableColumn>
    <tableColumn id="14" xr3:uid="{542FFF8E-DD7B-4C4C-9B1B-C885472540BA}" name="I7" dataDxfId="74">
      <calculatedColumnFormula>IF(MatrizDeAdyacencia!P4=1, SUMIFS(tblEnlaces[ValorOperativo (peso)], tblEnlaces[Nodo Origen], $C4, tblEnlaces[Nodo Destino], P$3, tblEnlaces[Activo], 1), 0)</calculatedColumnFormula>
    </tableColumn>
    <tableColumn id="15" xr3:uid="{054CF94A-1A1E-4D9F-8BA6-8813EF51323B}" name="I8" dataDxfId="73">
      <calculatedColumnFormula>IF(MatrizDeAdyacencia!Q4=1, SUMIFS(tblEnlaces[ValorOperativo (peso)], tblEnlaces[Nodo Origen], $C4, tblEnlaces[Nodo Destino], Q$3, tblEnlaces[Activo], 1), 0)</calculatedColumnFormula>
    </tableColumn>
    <tableColumn id="16" xr3:uid="{7ED93D8E-5836-4A3E-9935-FBC89CD3F932}" name="I9" dataDxfId="72">
      <calculatedColumnFormula>IF(MatrizDeAdyacencia!R4=1, SUMIFS(tblEnlaces[ValorOperativo (peso)], tblEnlaces[Nodo Origen], $C4, tblEnlaces[Nodo Destino], R$3, tblEnlaces[Activo], 1), 0)</calculatedColumnFormula>
    </tableColumn>
    <tableColumn id="17" xr3:uid="{164A5867-1655-4663-992A-899F25195899}" name="G1" dataDxfId="71">
      <calculatedColumnFormula>IF(MatrizDeAdyacencia!S4=1, SUMIFS(tblEnlaces[ValorOperativo (peso)], tblEnlaces[Nodo Origen], $C4, tblEnlaces[Nodo Destino], S$3, tblEnlaces[Activo], 1), 0)</calculatedColumnFormula>
    </tableColumn>
    <tableColumn id="18" xr3:uid="{E33E9D43-CAE7-4043-AE20-D5AC6983C7DD}" name="G2" dataDxfId="70">
      <calculatedColumnFormula>IF(MatrizDeAdyacencia!T4=1, SUMIFS(tblEnlaces[ValorOperativo (peso)], tblEnlaces[Nodo Origen], $C4, tblEnlaces[Nodo Destino], T$3, tblEnlaces[Activo], 1), 0)</calculatedColumnFormula>
    </tableColumn>
    <tableColumn id="19" xr3:uid="{5758BF82-052C-40CF-8505-1FBCD9CE2809}" name="G3" dataDxfId="69">
      <calculatedColumnFormula>IF(MatrizDeAdyacencia!U4=1, SUMIFS(tblEnlaces[ValorOperativo (peso)], tblEnlaces[Nodo Origen], $C4, tblEnlaces[Nodo Destino], U$3, tblEnlaces[Activo], 1), 0)</calculatedColumnFormula>
    </tableColumn>
    <tableColumn id="20" xr3:uid="{B734CB8C-660E-449E-8793-5B1787F00081}" name="D" dataDxfId="68">
      <calculatedColumnFormula>IF(MatrizDeAdyacencia!V4=1, SUMIFS(tblEnlaces[ValorOperativo (peso)], tblEnlaces[Nodo Origen], $C4, tblEnlaces[Nodo Destino], V$3, tblEnlaces[Activo], 1), 0)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156EC0-C7DA-458D-93D7-E916A2987C0A}" name="tblPesosValorOperativo" displayName="tblPesosValorOperativo" ref="Y4:AC9" totalsRowShown="0" headerRowDxfId="67" dataDxfId="65" headerRowBorderDxfId="66">
  <tableColumns count="5">
    <tableColumn id="1" xr3:uid="{B21AD536-482D-4B9A-AB5E-37E015551681}" name="Valor" dataDxfId="64"/>
    <tableColumn id="2" xr3:uid="{F200399A-6022-47BF-9665-7A71F541FDA5}" name="Eficiencia" dataDxfId="63"/>
    <tableColumn id="3" xr3:uid="{FF663B4E-11C8-434F-A1B1-0562E8F7FB14}" name="Exposición" dataDxfId="62"/>
    <tableColumn id="4" xr3:uid="{D5B0977C-E15F-4467-A561-675FCAB097AB}" name="Capacidad" dataDxfId="61"/>
    <tableColumn id="5" xr3:uid="{A82F60D0-C02D-4214-9AB5-F7EDAD97FCF6}" name="Resiliencia" dataDxfId="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18777C-0265-4E44-A0BA-CFC469B6C744}" name="tblRangoEnlace1ValorOpertivo" displayName="tblRangoEnlace1ValorOpertivo" ref="Y12:AD14" totalsRowShown="0" headerRowDxfId="59" dataDxfId="57" headerRowBorderDxfId="58">
  <tableColumns count="6">
    <tableColumn id="1" xr3:uid="{753333F3-816E-431E-BB43-7A7927A7163F}" name="Rango del Enlace" dataDxfId="56"/>
    <tableColumn id="2" xr3:uid="{72E9BB48-4FA1-4371-A282-0262F904FF9A}" name="Eficiencia" dataDxfId="55"/>
    <tableColumn id="3" xr3:uid="{87F86AC7-35A2-437C-87BC-FB7CF221D935}" name="Exposición" dataDxfId="54"/>
    <tableColumn id="4" xr3:uid="{3BA6459E-1C77-4D92-88F9-A4DA307EB1FF}" name="Capacidad" dataDxfId="53"/>
    <tableColumn id="5" xr3:uid="{CED3CA81-A959-4820-A212-1AB6D2F76092}" name="Resiliencia" dataDxfId="52"/>
    <tableColumn id="6" xr3:uid="{AFD0E7F4-AEB0-480B-BEDB-0D56FC9A258D}" name="Total" dataDxfId="5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B388D3-5907-4F27-B1F2-50F7C3CEFD03}" name="tblMatrizTradeOff" displayName="tblMatrizTradeOff" ref="B3:V22" totalsRowShown="0" headerRowDxfId="250" dataDxfId="248" headerRowBorderDxfId="249" tableBorderDxfId="247" totalsRowBorderDxfId="246">
  <tableColumns count="21">
    <tableColumn id="21" xr3:uid="{AA1E6080-4E20-4F11-BF7D-BCF3B7198FDD}" name="Nombre Nodo" dataDxfId="245">
      <calculatedColumnFormula>VLOOKUP(tblMatrizTradeOff[[#This Row],[NodoOrigen \ NodoDestino]],tblNodos[#All],2,FALSE)</calculatedColumnFormula>
    </tableColumn>
    <tableColumn id="1" xr3:uid="{894C4500-CF7B-4D11-8AA7-3C7C1BD512C6}" name="NodoOrigen \ NodoDestino" dataDxfId="244"/>
    <tableColumn id="2" xr3:uid="{9F705910-1DB5-40FC-A6DE-98805525ACF0}" name="O1" dataDxfId="243">
      <calculatedColumnFormula>IF(OR(MatrizPonderadaCostes!D4=0,MatrizPonderadaValorOperativo!D4=0),0,MatrizPonderadaValorOperativo!D4/MatrizPonderadaCostes!D4)</calculatedColumnFormula>
    </tableColumn>
    <tableColumn id="3" xr3:uid="{50058AD6-7468-4AC7-97C5-05F954228EC1}" name="O2" dataDxfId="242">
      <calculatedColumnFormula>IF(OR(MatrizPonderadaCostes!E4=0,MatrizPonderadaValorOperativo!E4=0),0,MatrizPonderadaValorOperativo!E4/MatrizPonderadaCostes!E4)</calculatedColumnFormula>
    </tableColumn>
    <tableColumn id="4" xr3:uid="{7C94D72A-7710-415D-86F3-659E59F93C96}" name="O3" dataDxfId="241">
      <calculatedColumnFormula>IF(OR(MatrizPonderadaCostes!F4=0,MatrizPonderadaValorOperativo!F4=0),0,MatrizPonderadaValorOperativo!F4/MatrizPonderadaCostes!F4)</calculatedColumnFormula>
    </tableColumn>
    <tableColumn id="5" xr3:uid="{532BA85E-D317-4F75-A439-3A5B03302C28}" name="O4" dataDxfId="240">
      <calculatedColumnFormula>IF(OR(MatrizPonderadaCostes!G4=0,MatrizPonderadaValorOperativo!G4=0),0,MatrizPonderadaValorOperativo!G4/MatrizPonderadaCostes!G4)</calculatedColumnFormula>
    </tableColumn>
    <tableColumn id="6" xr3:uid="{063CA99D-B02A-474E-BF88-15CCC8190E67}" name="O5" dataDxfId="239">
      <calculatedColumnFormula>IF(OR(MatrizPonderadaCostes!H4=0,MatrizPonderadaValorOperativo!H4=0),0,MatrizPonderadaValorOperativo!H4/MatrizPonderadaCostes!H4)</calculatedColumnFormula>
    </tableColumn>
    <tableColumn id="7" xr3:uid="{7BAB99D6-E0DD-44E8-812E-F31B042D5A8F}" name="O6" dataDxfId="238">
      <calculatedColumnFormula>IF(OR(MatrizPonderadaCostes!I4=0,MatrizPonderadaValorOperativo!I4=0),0,MatrizPonderadaValorOperativo!I4/MatrizPonderadaCostes!I4)</calculatedColumnFormula>
    </tableColumn>
    <tableColumn id="8" xr3:uid="{7A6532A5-C6A7-497A-9950-E4CF326FB1D0}" name="I1" dataDxfId="237">
      <calculatedColumnFormula>IF(OR(MatrizPonderadaCostes!J4=0,MatrizPonderadaValorOperativo!J4=0),0,MatrizPonderadaValorOperativo!J4/MatrizPonderadaCostes!J4)</calculatedColumnFormula>
    </tableColumn>
    <tableColumn id="9" xr3:uid="{7D782904-1F98-40F1-90DB-B287194DD5EC}" name="I2" dataDxfId="236">
      <calculatedColumnFormula>IF(OR(MatrizPonderadaCostes!K4=0,MatrizPonderadaValorOperativo!K4=0),0,MatrizPonderadaValorOperativo!K4/MatrizPonderadaCostes!K4)</calculatedColumnFormula>
    </tableColumn>
    <tableColumn id="10" xr3:uid="{F8DFA04B-3F58-4A4C-84F2-C08ECA18C8D0}" name="I3" dataDxfId="235">
      <calculatedColumnFormula>IF(OR(MatrizPonderadaCostes!L4=0,MatrizPonderadaValorOperativo!L4=0),0,MatrizPonderadaValorOperativo!L4/MatrizPonderadaCostes!L4)</calculatedColumnFormula>
    </tableColumn>
    <tableColumn id="11" xr3:uid="{BEE1D8C4-0249-4AEB-85C7-3C1964171690}" name="I4" dataDxfId="234">
      <calculatedColumnFormula>IF(OR(MatrizPonderadaCostes!M4=0,MatrizPonderadaValorOperativo!M4=0),0,MatrizPonderadaValorOperativo!M4/MatrizPonderadaCostes!M4)</calculatedColumnFormula>
    </tableColumn>
    <tableColumn id="12" xr3:uid="{5E8D8652-5E54-4316-9F7E-FE077E7F3845}" name="I5" dataDxfId="233">
      <calculatedColumnFormula>IF(OR(MatrizPonderadaCostes!N4=0,MatrizPonderadaValorOperativo!N4=0),0,MatrizPonderadaValorOperativo!N4/MatrizPonderadaCostes!N4)</calculatedColumnFormula>
    </tableColumn>
    <tableColumn id="13" xr3:uid="{19070E8B-9ED0-4B66-9707-071DEBF3C994}" name="I6" dataDxfId="232">
      <calculatedColumnFormula>IF(OR(MatrizPonderadaCostes!O4=0,MatrizPonderadaValorOperativo!O4=0),0,MatrizPonderadaValorOperativo!O4/MatrizPonderadaCostes!O4)</calculatedColumnFormula>
    </tableColumn>
    <tableColumn id="14" xr3:uid="{76F2DA9F-DAF7-439A-84BF-1733FA9657FD}" name="I7" dataDxfId="231">
      <calculatedColumnFormula>IF(OR(MatrizPonderadaCostes!P4=0,MatrizPonderadaValorOperativo!P4=0),0,MatrizPonderadaValorOperativo!P4/MatrizPonderadaCostes!P4)</calculatedColumnFormula>
    </tableColumn>
    <tableColumn id="15" xr3:uid="{7D6FF674-D8C7-4CDC-B88A-E9A853759EB2}" name="I8" dataDxfId="230">
      <calculatedColumnFormula>IF(OR(MatrizPonderadaCostes!Q4=0,MatrizPonderadaValorOperativo!Q4=0),0,MatrizPonderadaValorOperativo!Q4/MatrizPonderadaCostes!Q4)</calculatedColumnFormula>
    </tableColumn>
    <tableColumn id="16" xr3:uid="{4874BEF7-C26F-4D06-BE1E-88E85D5250AC}" name="I9" dataDxfId="229">
      <calculatedColumnFormula>IF(OR(MatrizPonderadaCostes!R4=0,MatrizPonderadaValorOperativo!R4=0),0,MatrizPonderadaValorOperativo!R4/MatrizPonderadaCostes!R4)</calculatedColumnFormula>
    </tableColumn>
    <tableColumn id="17" xr3:uid="{A372A997-A44F-44EB-AAED-77C0B6E13538}" name="G1" dataDxfId="228">
      <calculatedColumnFormula>IF(OR(MatrizPonderadaCostes!S4=0,MatrizPonderadaValorOperativo!S4=0),0,MatrizPonderadaValorOperativo!S4/MatrizPonderadaCostes!S4)</calculatedColumnFormula>
    </tableColumn>
    <tableColumn id="18" xr3:uid="{0F8CF6FF-ABAA-4A01-AD38-A32A28F3744E}" name="G2" dataDxfId="227">
      <calculatedColumnFormula>IF(OR(MatrizPonderadaCostes!T4=0,MatrizPonderadaValorOperativo!T4=0),0,MatrizPonderadaValorOperativo!T4/MatrizPonderadaCostes!T4)</calculatedColumnFormula>
    </tableColumn>
    <tableColumn id="19" xr3:uid="{AB7C5AA0-D767-454C-BA7B-5A2B55F42FB8}" name="G3" dataDxfId="226">
      <calculatedColumnFormula>IF(OR(MatrizPonderadaCostes!U4=0,MatrizPonderadaValorOperativo!U4=0),0,MatrizPonderadaValorOperativo!U4/MatrizPonderadaCostes!U4)</calculatedColumnFormula>
    </tableColumn>
    <tableColumn id="20" xr3:uid="{23B65986-1386-4DD0-B9E1-CF1D12F9896F}" name="D" dataDxfId="225">
      <calculatedColumnFormula>IF(OR(MatrizPonderadaCostes!V4=0,MatrizPonderadaValorOperativo!V4=0),0,MatrizPonderadaValorOperativo!V4/MatrizPonderadaCostes!V4)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73A7B6-81FB-4D79-A0FB-9D6FB64CE88D}" name="tblMatrizDistancias" displayName="tblMatrizDistancias" ref="X3:AR22" totalsRowShown="0" headerRowDxfId="224" dataDxfId="222" headerRowBorderDxfId="223" tableBorderDxfId="221" totalsRowBorderDxfId="220">
  <tableColumns count="21">
    <tableColumn id="21" xr3:uid="{1BAD8E49-23F7-4BE2-B973-AA604F8B446D}" name="Nombre Nodo" dataDxfId="219">
      <calculatedColumnFormula>VLOOKUP(tblMatrizDistancias[[#This Row],[NodoOrigen \ NodoDestino]],tblNodos[#All],2,FALSE)</calculatedColumnFormula>
    </tableColumn>
    <tableColumn id="1" xr3:uid="{CCA43D7E-3A02-4B90-B8B1-A5C2C1770B89}" name="NodoOrigen \ NodoDestino" dataDxfId="218"/>
    <tableColumn id="2" xr3:uid="{258A9219-735F-4D5E-96CD-61C2192DE988}" name="O1" dataDxfId="217">
      <calculatedColumnFormula>IF(tblMatrizDistancias[[#This Row],[NodoOrigen \ NodoDestino]]="O1",0,IF(tblMatrizTradeOff[[#This Row],[O1]]=0,9999,1/tblMatrizTradeOff[[#This Row],[O1]]))</calculatedColumnFormula>
    </tableColumn>
    <tableColumn id="3" xr3:uid="{A742D52A-B21E-494D-9BEC-A3E5CC2D1787}" name="O2" dataDxfId="216">
      <calculatedColumnFormula>IF(tblMatrizDistancias[[#This Row],[NodoOrigen \ NodoDestino]]="O2",0,IF(tblMatrizTradeOff[[#This Row],[O2]]=0,9999,1/tblMatrizTradeOff[[#This Row],[O2]]))</calculatedColumnFormula>
    </tableColumn>
    <tableColumn id="4" xr3:uid="{E3462037-DD10-4D8C-B6A1-5ADBA379FEB1}" name="O3" dataDxfId="215">
      <calculatedColumnFormula>IF(tblMatrizDistancias[[#This Row],[NodoOrigen \ NodoDestino]]="O3",0,IF(tblMatrizTradeOff[[#This Row],[O3]]=0,9999,1/tblMatrizTradeOff[[#This Row],[O3]]))</calculatedColumnFormula>
    </tableColumn>
    <tableColumn id="5" xr3:uid="{E48B988C-DC5A-4772-9E34-F71B68D92DCB}" name="O4" dataDxfId="214">
      <calculatedColumnFormula>IF(tblMatrizDistancias[[#This Row],[NodoOrigen \ NodoDestino]]="O4",0,IF(tblMatrizTradeOff[[#This Row],[O4]]=0,9999,1/tblMatrizTradeOff[[#This Row],[O4]]))</calculatedColumnFormula>
    </tableColumn>
    <tableColumn id="6" xr3:uid="{43CEAEF6-D25A-41BD-B40B-81780EA42997}" name="O5" dataDxfId="213">
      <calculatedColumnFormula>IF(tblMatrizDistancias[[#This Row],[NodoOrigen \ NodoDestino]]="O5",0,IF(tblMatrizTradeOff[[#This Row],[O5]]=0,9999,1/tblMatrizTradeOff[[#This Row],[O5]]))</calculatedColumnFormula>
    </tableColumn>
    <tableColumn id="7" xr3:uid="{3924F7A5-FD83-43F2-A080-29822934E0BE}" name="O6" dataDxfId="212">
      <calculatedColumnFormula>IF(tblMatrizDistancias[[#This Row],[NodoOrigen \ NodoDestino]]="O6",0,IF(tblMatrizTradeOff[[#This Row],[O6]]=0,9999,1/tblMatrizTradeOff[[#This Row],[O6]]))</calculatedColumnFormula>
    </tableColumn>
    <tableColumn id="8" xr3:uid="{7547ECC7-C391-409A-A35D-75672D9B0DFF}" name="I1" dataDxfId="211">
      <calculatedColumnFormula>IF(tblMatrizDistancias[[#This Row],[NodoOrigen \ NodoDestino]]="I1",0,IF(tblMatrizTradeOff[[#This Row],[I1]]=0,9999,1/tblMatrizTradeOff[[#This Row],[I1]]))</calculatedColumnFormula>
    </tableColumn>
    <tableColumn id="9" xr3:uid="{10E4BD07-2311-4179-8574-4C902D93606E}" name="I2" dataDxfId="210">
      <calculatedColumnFormula>IF(tblMatrizDistancias[[#This Row],[NodoOrigen \ NodoDestino]]="I2",0,IF(tblMatrizTradeOff[[#This Row],[I2]]=0,9999,1/tblMatrizTradeOff[[#This Row],[I2]]))</calculatedColumnFormula>
    </tableColumn>
    <tableColumn id="10" xr3:uid="{C7634E23-202A-42C0-8E82-749F13342982}" name="I3" dataDxfId="209">
      <calculatedColumnFormula>IF(tblMatrizDistancias[[#This Row],[NodoOrigen \ NodoDestino]]="I3",0,IF(tblMatrizTradeOff[[#This Row],[I3]]=0,9999,1/tblMatrizTradeOff[[#This Row],[I3]]))</calculatedColumnFormula>
    </tableColumn>
    <tableColumn id="11" xr3:uid="{80F89DAB-DC38-4E1B-8C6E-ABAE0670FA4C}" name="I4" dataDxfId="208">
      <calculatedColumnFormula>IF(tblMatrizDistancias[[#This Row],[NodoOrigen \ NodoDestino]]="I4",0,IF(tblMatrizTradeOff[[#This Row],[I4]]=0,9999,1/tblMatrizTradeOff[[#This Row],[I4]]))</calculatedColumnFormula>
    </tableColumn>
    <tableColumn id="12" xr3:uid="{1690E7CA-C688-4A77-B2E4-78675EA5F6AF}" name="I5" dataDxfId="207">
      <calculatedColumnFormula>IF(tblMatrizDistancias[[#This Row],[NodoOrigen \ NodoDestino]]="I5",0,IF(tblMatrizTradeOff[[#This Row],[I5]]=0,9999,1/tblMatrizTradeOff[[#This Row],[I5]]))</calculatedColumnFormula>
    </tableColumn>
    <tableColumn id="13" xr3:uid="{3A1E36E4-69D3-406F-91FA-CE9683D234A1}" name="I6" dataDxfId="206">
      <calculatedColumnFormula>IF(tblMatrizDistancias[[#This Row],[NodoOrigen \ NodoDestino]]="I6",0,IF(tblMatrizTradeOff[[#This Row],[I6]]=0,9999,1/tblMatrizTradeOff[[#This Row],[I6]]))</calculatedColumnFormula>
    </tableColumn>
    <tableColumn id="14" xr3:uid="{37A3FAD7-64EF-4C10-A216-8F4121D763FE}" name="I7" dataDxfId="205">
      <calculatedColumnFormula>IF(tblMatrizDistancias[[#This Row],[NodoOrigen \ NodoDestino]]="I7",0,IF(tblMatrizTradeOff[[#This Row],[I7]]=0,9999,1/tblMatrizTradeOff[[#This Row],[I7]]))</calculatedColumnFormula>
    </tableColumn>
    <tableColumn id="15" xr3:uid="{C79CE9F5-E392-4C54-A368-4072A211349B}" name="I8" dataDxfId="204">
      <calculatedColumnFormula>IF(tblMatrizDistancias[[#This Row],[NodoOrigen \ NodoDestino]]="I8",0,IF(tblMatrizTradeOff[[#This Row],[I8]]=0,9999,1/tblMatrizTradeOff[[#This Row],[I8]]))</calculatedColumnFormula>
    </tableColumn>
    <tableColumn id="16" xr3:uid="{AF9AF109-E8FC-499B-B541-D049A2CD781D}" name="I9" dataDxfId="203">
      <calculatedColumnFormula>IF(tblMatrizDistancias[[#This Row],[NodoOrigen \ NodoDestino]]="I9",0,IF(tblMatrizTradeOff[[#This Row],[I9]]=0,9999,1/tblMatrizTradeOff[[#This Row],[I9]]))</calculatedColumnFormula>
    </tableColumn>
    <tableColumn id="17" xr3:uid="{C49A9B94-D73C-40C2-9773-A0B40E4AAC62}" name="G1" dataDxfId="202">
      <calculatedColumnFormula>IF(tblMatrizDistancias[[#This Row],[NodoOrigen \ NodoDestino]]="G1",0,IF(tblMatrizTradeOff[[#This Row],[G1]]=0,9999,1/tblMatrizTradeOff[[#This Row],[G1]]))</calculatedColumnFormula>
    </tableColumn>
    <tableColumn id="18" xr3:uid="{37DF13C5-7088-4645-80B8-632B4668B1C6}" name="G2" dataDxfId="201">
      <calculatedColumnFormula>IF(tblMatrizDistancias[[#This Row],[NodoOrigen \ NodoDestino]]="G2",0,IF(tblMatrizTradeOff[[#This Row],[G2]]=0,9999,1/tblMatrizTradeOff[[#This Row],[G2]]))</calculatedColumnFormula>
    </tableColumn>
    <tableColumn id="19" xr3:uid="{0C6F5759-0A04-44DB-ABD3-792D0DD2FD39}" name="G3" dataDxfId="200">
      <calculatedColumnFormula>IF(tblMatrizDistancias[[#This Row],[NodoOrigen \ NodoDestino]]="G3",0,IF(tblMatrizTradeOff[[#This Row],[G3]]=0,9999,1/tblMatrizTradeOff[[#This Row],[G3]]))</calculatedColumnFormula>
    </tableColumn>
    <tableColumn id="20" xr3:uid="{08ECC6AD-B105-48DC-B6EF-5213E3FB7C76}" name="D" dataDxfId="199">
      <calculatedColumnFormula>IF(tblMatrizDistancias[[#This Row],[NodoOrigen \ NodoDestino]]="D",0,IF(tblMatrizTradeOff[[#This Row],[D]]=0,9999,1/tblMatrizTradeOff[[#This Row],[D]]))</calculatedColumn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2B6549-1979-4B25-A35A-52BA4A0A39EE}" name="tblGradoPonderado" displayName="tblGradoPonderado" ref="B3:H23" totalsRowCount="1" headerRowDxfId="50" dataDxfId="48" headerRowBorderDxfId="49" tableBorderDxfId="47" totalsRowBorderDxfId="46">
  <tableColumns count="7">
    <tableColumn id="21" xr3:uid="{77F6B8A9-151C-415D-A901-35466078EF18}" name="Nombre Nodo" totalsRowLabel="Totales / Máximos / Mínimos" dataDxfId="45" totalsRowDxfId="44">
      <calculatedColumnFormula>VLOOKUP(tblGradoPonderado[[#This Row],[Nodo]],tblNodos[#All],2,FALSE)</calculatedColumnFormula>
    </tableColumn>
    <tableColumn id="1" xr3:uid="{253666FE-A069-4260-AC52-8AE7DE9B8F38}" name="Nodo" dataDxfId="43" totalsRowDxfId="42"/>
    <tableColumn id="2" xr3:uid="{AA42A750-6BE0-4870-A26E-410A2BC2C73B}" name="Grado Ponderado de Entrada" dataDxfId="41" totalsRowDxfId="40">
      <calculatedColumnFormula>_xlfn.LET(_xlpm.n,tblGradoPonderado[[#This Row],[Nodo]],_xlpm.col,_xlfn.XLOOKUP(_xlpm.n,tblMatrizTradeOff[#Headers],tblMatrizTradeOff[#Data]),SUM(_xlpm.col))</calculatedColumnFormula>
    </tableColumn>
    <tableColumn id="3" xr3:uid="{378B0278-AE86-49A4-8668-271111E0777E}" name="Grado Ponderado de Salida" dataDxfId="39" totalsRowDxfId="38">
      <calculatedColumnFormula>_xlfn.LET(_xlpm.n,tblGradoPonderado[[#This Row],[Nodo]],_xlpm.row,_xlfn.XLOOKUP(_xlpm.n,tblMatrizTradeOff[NodoOrigen \ NodoDestino],tblMatrizTradeOff[[O1]:[D]]),SUM(_xlpm.row))</calculatedColumnFormula>
    </tableColumn>
    <tableColumn id="4" xr3:uid="{3C52036B-2CF5-484C-8203-C94636D157F9}" name="Grado Ponderado Total" totalsRowFunction="max" dataDxfId="37" totalsRowDxfId="36">
      <calculatedColumnFormula>tblGradoPonderado[[#This Row],[Grado Ponderado de Entrada]]+tblGradoPonderado[[#This Row],[Grado Ponderado de Salida]]</calculatedColumnFormula>
    </tableColumn>
    <tableColumn id="5" xr3:uid="{FFBA1243-72FC-40D4-AE6E-AE5864D502FB}" name="Balance Neto" dataDxfId="35" totalsRowDxfId="34">
      <calculatedColumnFormula>tblGradoPonderado[[#This Row],[Grado Ponderado de Salida]]-tblGradoPonderado[[#This Row],[Grado Ponderado de Entrada]]</calculatedColumnFormula>
    </tableColumn>
    <tableColumn id="6" xr3:uid="{94B10867-99D5-439C-B33C-5612EB83F5A4}" name="Grado Normalizado" dataDxfId="33" totalsRowDxfId="32">
      <calculatedColumnFormula>tblGradoPonderado[[#This Row],[Grado Ponderado Total]]/tblGradoPonderado[[#Totals],[Grado Ponderado Total]]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showGridLines="0" topLeftCell="F1" zoomScaleNormal="100" workbookViewId="0">
      <selection activeCell="N7" sqref="N7"/>
    </sheetView>
  </sheetViews>
  <sheetFormatPr baseColWidth="10" defaultRowHeight="12" x14ac:dyDescent="0.25"/>
  <cols>
    <col min="1" max="1" width="11.42578125" style="17" customWidth="1"/>
    <col min="2" max="2" width="17.42578125" style="17" customWidth="1"/>
    <col min="3" max="3" width="13.28515625" style="17" customWidth="1"/>
    <col min="4" max="4" width="3.5703125" style="17" customWidth="1"/>
    <col min="5" max="5" width="11.42578125" style="17" customWidth="1"/>
    <col min="6" max="6" width="36.7109375" style="17" customWidth="1"/>
    <col min="7" max="7" width="9.7109375" style="17" customWidth="1"/>
    <col min="8" max="8" width="11.85546875" style="17" customWidth="1"/>
    <col min="9" max="9" width="4.5703125" style="17" customWidth="1"/>
    <col min="10" max="10" width="10.7109375" style="17" customWidth="1"/>
    <col min="11" max="11" width="11.5703125" style="17" customWidth="1"/>
    <col min="12" max="12" width="10.7109375" style="17" customWidth="1"/>
    <col min="13" max="13" width="15.140625" style="17" customWidth="1"/>
    <col min="14" max="14" width="9.5703125" style="17" customWidth="1"/>
    <col min="15" max="15" width="13.5703125" style="17" customWidth="1"/>
    <col min="16" max="16" width="16.140625" style="17" bestFit="1" customWidth="1"/>
    <col min="17" max="17" width="12.85546875" style="19" customWidth="1"/>
    <col min="18" max="18" width="14.7109375" style="17" customWidth="1"/>
    <col min="19" max="19" width="13.140625" style="17" customWidth="1"/>
    <col min="20" max="20" width="11.140625" style="17" customWidth="1"/>
    <col min="21" max="21" width="19.42578125" style="17" customWidth="1"/>
    <col min="22" max="22" width="44.28515625" style="17" customWidth="1"/>
    <col min="23" max="25" width="11.42578125" style="17" customWidth="1"/>
    <col min="26" max="16384" width="11.42578125" style="17"/>
  </cols>
  <sheetData>
    <row r="1" spans="1:29" ht="21.75" customHeight="1" x14ac:dyDescent="0.25">
      <c r="A1" s="76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77"/>
      <c r="R1" s="65"/>
      <c r="S1" s="64" t="s">
        <v>1</v>
      </c>
      <c r="T1" s="65"/>
      <c r="U1" s="65"/>
      <c r="V1" s="28"/>
    </row>
    <row r="2" spans="1:29" ht="14.25" customHeight="1" x14ac:dyDescent="0.25"/>
    <row r="3" spans="1:29" ht="15" customHeight="1" x14ac:dyDescent="0.25">
      <c r="A3" s="71" t="s">
        <v>2</v>
      </c>
      <c r="B3" s="72"/>
      <c r="C3" s="73"/>
      <c r="E3" s="66" t="s">
        <v>3</v>
      </c>
      <c r="F3" s="67"/>
      <c r="G3" s="67"/>
      <c r="H3" s="67"/>
      <c r="J3" s="66" t="s">
        <v>4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18"/>
    </row>
    <row r="4" spans="1:29" s="18" customFormat="1" ht="32.25" customHeight="1" x14ac:dyDescent="0.25">
      <c r="A4" s="2" t="s">
        <v>5</v>
      </c>
      <c r="B4" s="2" t="s">
        <v>6</v>
      </c>
      <c r="C4" s="2" t="s">
        <v>7</v>
      </c>
      <c r="E4" s="2" t="s">
        <v>8</v>
      </c>
      <c r="F4" s="2" t="s">
        <v>9</v>
      </c>
      <c r="G4" s="2" t="s">
        <v>5</v>
      </c>
      <c r="H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10</v>
      </c>
      <c r="O4" s="2" t="s">
        <v>15</v>
      </c>
      <c r="P4" s="32" t="s">
        <v>16</v>
      </c>
      <c r="Q4" s="37" t="s">
        <v>17</v>
      </c>
      <c r="R4" s="37" t="s">
        <v>18</v>
      </c>
      <c r="S4" s="37" t="s">
        <v>19</v>
      </c>
      <c r="T4" s="38" t="s">
        <v>20</v>
      </c>
      <c r="U4" s="2" t="s">
        <v>21</v>
      </c>
      <c r="V4" s="3" t="s">
        <v>22</v>
      </c>
      <c r="W4" s="35" t="s">
        <v>195</v>
      </c>
      <c r="X4" s="35" t="s">
        <v>202</v>
      </c>
      <c r="Y4" s="35" t="s">
        <v>204</v>
      </c>
      <c r="Z4" s="35" t="s">
        <v>205</v>
      </c>
      <c r="AA4" s="35" t="s">
        <v>206</v>
      </c>
      <c r="AB4" s="35" t="s">
        <v>207</v>
      </c>
      <c r="AC4" s="35" t="s">
        <v>208</v>
      </c>
    </row>
    <row r="5" spans="1:29" x14ac:dyDescent="0.25">
      <c r="A5" s="1" t="s">
        <v>23</v>
      </c>
      <c r="B5" s="1" t="s">
        <v>24</v>
      </c>
      <c r="C5" s="1">
        <v>1</v>
      </c>
      <c r="E5" s="1" t="s">
        <v>25</v>
      </c>
      <c r="F5" s="1" t="s">
        <v>26</v>
      </c>
      <c r="G5" s="1" t="s">
        <v>23</v>
      </c>
      <c r="H5" s="1">
        <v>1</v>
      </c>
      <c r="J5" s="1" t="s">
        <v>181</v>
      </c>
      <c r="K5" s="1" t="s">
        <v>101</v>
      </c>
      <c r="L5" s="1" t="s">
        <v>51</v>
      </c>
      <c r="M5" s="1" t="s">
        <v>29</v>
      </c>
      <c r="N5" s="1">
        <v>1</v>
      </c>
      <c r="O5" s="1" t="s">
        <v>30</v>
      </c>
      <c r="P5" s="20" t="s">
        <v>31</v>
      </c>
      <c r="Q5" s="20" t="s">
        <v>33</v>
      </c>
      <c r="R5" s="20" t="s">
        <v>32</v>
      </c>
      <c r="S5" s="20" t="s">
        <v>33</v>
      </c>
      <c r="T5" s="21" t="s">
        <v>32</v>
      </c>
      <c r="U5" s="1" t="s">
        <v>34</v>
      </c>
      <c r="V5" s="25" t="s">
        <v>182</v>
      </c>
      <c r="W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5" s="36">
        <f>IFERROR(_xlfn.XLOOKUP(tblEnlaces[[#This Row],[Coste]],tblPesosCoste[Valor],tblPesosCoste[Coste],0),0)</f>
        <v>5</v>
      </c>
      <c r="Y5" s="36">
        <f>IFERROR(_xlfn.XLOOKUP(tblEnlaces[[#This Row],[Eficiencia]],tblPesosValorOperativo[Valor],tblPesosValorOperativo[Eficiencia],0),0)</f>
        <v>5</v>
      </c>
      <c r="Z5" s="36">
        <f>IFERROR(_xlfn.XLOOKUP(tblEnlaces[[#This Row],[Exposición]],tblPesosValorOperativo[Valor],tblPesosValorOperativo[Exposición],0),0)</f>
        <v>3</v>
      </c>
      <c r="AA5" s="36">
        <f>IFERROR(_xlfn.XLOOKUP(tblEnlaces[[#This Row],[Capacidad]],tblPesosValorOperativo[Valor],tblPesosValorOperativo[Capacidad],0),0)</f>
        <v>5</v>
      </c>
      <c r="AB5" s="36">
        <f>IFERROR(_xlfn.XLOOKUP(tblEnlaces[[#This Row],[Resiliencia]],tblPesosValorOperativo[Valor],tblPesosValorOperativo[Resiliencia],0),0)</f>
        <v>3</v>
      </c>
      <c r="AC5" s="36">
        <f>tblEnlaces[[#This Row],[Eficiencia (peso)]]+tblEnlaces[[#This Row],[Exposición (peso)]]+tblEnlaces[[#This Row],[Capacidad (peso)]]+tblEnlaces[[#This Row],[Resiliencia (peso)]]</f>
        <v>16</v>
      </c>
    </row>
    <row r="6" spans="1:29" x14ac:dyDescent="0.25">
      <c r="A6" s="1" t="s">
        <v>36</v>
      </c>
      <c r="B6" s="1" t="s">
        <v>37</v>
      </c>
      <c r="C6" s="1">
        <v>2</v>
      </c>
      <c r="E6" s="1" t="s">
        <v>38</v>
      </c>
      <c r="F6" s="1" t="s">
        <v>39</v>
      </c>
      <c r="G6" s="1" t="s">
        <v>23</v>
      </c>
      <c r="H6" s="1">
        <v>1</v>
      </c>
      <c r="J6" s="1" t="s">
        <v>88</v>
      </c>
      <c r="K6" s="1" t="s">
        <v>53</v>
      </c>
      <c r="L6" s="1" t="s">
        <v>56</v>
      </c>
      <c r="M6" s="1" t="s">
        <v>29</v>
      </c>
      <c r="N6" s="1">
        <v>1</v>
      </c>
      <c r="O6" s="1" t="s">
        <v>30</v>
      </c>
      <c r="P6" s="22" t="s">
        <v>31</v>
      </c>
      <c r="Q6" s="22" t="s">
        <v>33</v>
      </c>
      <c r="R6" s="22" t="s">
        <v>32</v>
      </c>
      <c r="S6" s="22" t="s">
        <v>32</v>
      </c>
      <c r="T6" s="23" t="s">
        <v>32</v>
      </c>
      <c r="U6" s="1" t="s">
        <v>34</v>
      </c>
      <c r="V6" s="25" t="s">
        <v>89</v>
      </c>
      <c r="W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6" s="36">
        <f>IFERROR(_xlfn.XLOOKUP(tblEnlaces[[#This Row],[Coste]],tblPesosCoste[Valor],tblPesosCoste[Coste],0),0)</f>
        <v>5</v>
      </c>
      <c r="Y6" s="36">
        <f>IFERROR(_xlfn.XLOOKUP(tblEnlaces[[#This Row],[Eficiencia]],tblPesosValorOperativo[Valor],tblPesosValorOperativo[Eficiencia],0),0)</f>
        <v>5</v>
      </c>
      <c r="Z6" s="36">
        <f>IFERROR(_xlfn.XLOOKUP(tblEnlaces[[#This Row],[Exposición]],tblPesosValorOperativo[Valor],tblPesosValorOperativo[Exposición],0),0)</f>
        <v>3</v>
      </c>
      <c r="AA6" s="36">
        <f>IFERROR(_xlfn.XLOOKUP(tblEnlaces[[#This Row],[Capacidad]],tblPesosValorOperativo[Valor],tblPesosValorOperativo[Capacidad],0),0)</f>
        <v>3</v>
      </c>
      <c r="AB6" s="36">
        <f>IFERROR(_xlfn.XLOOKUP(tblEnlaces[[#This Row],[Resiliencia]],tblPesosValorOperativo[Valor],tblPesosValorOperativo[Resiliencia],0),0)</f>
        <v>3</v>
      </c>
      <c r="AC6" s="36">
        <f>tblEnlaces[[#This Row],[Eficiencia (peso)]]+tblEnlaces[[#This Row],[Exposición (peso)]]+tblEnlaces[[#This Row],[Capacidad (peso)]]+tblEnlaces[[#This Row],[Resiliencia (peso)]]</f>
        <v>14</v>
      </c>
    </row>
    <row r="7" spans="1:29" x14ac:dyDescent="0.25">
      <c r="A7" s="1" t="s">
        <v>44</v>
      </c>
      <c r="B7" s="1" t="s">
        <v>45</v>
      </c>
      <c r="C7" s="1">
        <v>3</v>
      </c>
      <c r="E7" s="1" t="s">
        <v>46</v>
      </c>
      <c r="F7" s="1" t="s">
        <v>47</v>
      </c>
      <c r="G7" s="1" t="s">
        <v>23</v>
      </c>
      <c r="H7" s="1">
        <v>1</v>
      </c>
      <c r="J7" s="1" t="s">
        <v>171</v>
      </c>
      <c r="K7" s="1" t="s">
        <v>105</v>
      </c>
      <c r="L7" s="1" t="s">
        <v>51</v>
      </c>
      <c r="M7" s="1" t="s">
        <v>29</v>
      </c>
      <c r="N7" s="1">
        <v>1</v>
      </c>
      <c r="O7" s="1" t="s">
        <v>30</v>
      </c>
      <c r="P7" s="22" t="s">
        <v>31</v>
      </c>
      <c r="Q7" s="22" t="s">
        <v>33</v>
      </c>
      <c r="R7" s="22" t="s">
        <v>32</v>
      </c>
      <c r="S7" s="22" t="s">
        <v>32</v>
      </c>
      <c r="T7" s="23" t="s">
        <v>32</v>
      </c>
      <c r="U7" s="1" t="s">
        <v>34</v>
      </c>
      <c r="V7" s="25" t="s">
        <v>172</v>
      </c>
      <c r="W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7" s="36">
        <f>IFERROR(_xlfn.XLOOKUP(tblEnlaces[[#This Row],[Coste]],tblPesosCoste[Valor],tblPesosCoste[Coste],0),0)</f>
        <v>5</v>
      </c>
      <c r="Y7" s="36">
        <f>IFERROR(_xlfn.XLOOKUP(tblEnlaces[[#This Row],[Eficiencia]],tblPesosValorOperativo[Valor],tblPesosValorOperativo[Eficiencia],0),0)</f>
        <v>5</v>
      </c>
      <c r="Z7" s="36">
        <f>IFERROR(_xlfn.XLOOKUP(tblEnlaces[[#This Row],[Exposición]],tblPesosValorOperativo[Valor],tblPesosValorOperativo[Exposición],0),0)</f>
        <v>3</v>
      </c>
      <c r="AA7" s="36">
        <f>IFERROR(_xlfn.XLOOKUP(tblEnlaces[[#This Row],[Capacidad]],tblPesosValorOperativo[Valor],tblPesosValorOperativo[Capacidad],0),0)</f>
        <v>3</v>
      </c>
      <c r="AB7" s="36">
        <f>IFERROR(_xlfn.XLOOKUP(tblEnlaces[[#This Row],[Resiliencia]],tblPesosValorOperativo[Valor],tblPesosValorOperativo[Resiliencia],0),0)</f>
        <v>3</v>
      </c>
      <c r="AC7" s="36">
        <f>tblEnlaces[[#This Row],[Eficiencia (peso)]]+tblEnlaces[[#This Row],[Exposición (peso)]]+tblEnlaces[[#This Row],[Capacidad (peso)]]+tblEnlaces[[#This Row],[Resiliencia (peso)]]</f>
        <v>14</v>
      </c>
    </row>
    <row r="8" spans="1:29" x14ac:dyDescent="0.25">
      <c r="A8" s="1" t="s">
        <v>51</v>
      </c>
      <c r="B8" s="1" t="s">
        <v>52</v>
      </c>
      <c r="C8" s="1">
        <v>4</v>
      </c>
      <c r="E8" s="1" t="s">
        <v>53</v>
      </c>
      <c r="F8" s="1" t="s">
        <v>54</v>
      </c>
      <c r="G8" s="1" t="s">
        <v>23</v>
      </c>
      <c r="H8" s="1">
        <v>1</v>
      </c>
      <c r="J8" s="1" t="s">
        <v>179</v>
      </c>
      <c r="K8" s="1" t="s">
        <v>109</v>
      </c>
      <c r="L8" s="1" t="s">
        <v>51</v>
      </c>
      <c r="M8" s="1" t="s">
        <v>29</v>
      </c>
      <c r="N8" s="1">
        <v>1</v>
      </c>
      <c r="O8" s="1" t="s">
        <v>30</v>
      </c>
      <c r="P8" s="22" t="s">
        <v>31</v>
      </c>
      <c r="Q8" s="22" t="s">
        <v>33</v>
      </c>
      <c r="R8" s="22" t="s">
        <v>32</v>
      </c>
      <c r="S8" s="22" t="s">
        <v>32</v>
      </c>
      <c r="T8" s="23" t="s">
        <v>32</v>
      </c>
      <c r="U8" s="1" t="s">
        <v>34</v>
      </c>
      <c r="V8" s="25" t="s">
        <v>180</v>
      </c>
      <c r="W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8" s="36">
        <f>IFERROR(_xlfn.XLOOKUP(tblEnlaces[[#This Row],[Coste]],tblPesosCoste[Valor],tblPesosCoste[Coste],0),0)</f>
        <v>5</v>
      </c>
      <c r="Y8" s="36">
        <f>IFERROR(_xlfn.XLOOKUP(tblEnlaces[[#This Row],[Eficiencia]],tblPesosValorOperativo[Valor],tblPesosValorOperativo[Eficiencia],0),0)</f>
        <v>5</v>
      </c>
      <c r="Z8" s="36">
        <f>IFERROR(_xlfn.XLOOKUP(tblEnlaces[[#This Row],[Exposición]],tblPesosValorOperativo[Valor],tblPesosValorOperativo[Exposición],0),0)</f>
        <v>3</v>
      </c>
      <c r="AA8" s="36">
        <f>IFERROR(_xlfn.XLOOKUP(tblEnlaces[[#This Row],[Capacidad]],tblPesosValorOperativo[Valor],tblPesosValorOperativo[Capacidad],0),0)</f>
        <v>3</v>
      </c>
      <c r="AB8" s="36">
        <f>IFERROR(_xlfn.XLOOKUP(tblEnlaces[[#This Row],[Resiliencia]],tblPesosValorOperativo[Valor],tblPesosValorOperativo[Resiliencia],0),0)</f>
        <v>3</v>
      </c>
      <c r="AC8" s="36">
        <f>tblEnlaces[[#This Row],[Eficiencia (peso)]]+tblEnlaces[[#This Row],[Exposición (peso)]]+tblEnlaces[[#This Row],[Capacidad (peso)]]+tblEnlaces[[#This Row],[Resiliencia (peso)]]</f>
        <v>14</v>
      </c>
    </row>
    <row r="9" spans="1:29" x14ac:dyDescent="0.25">
      <c r="E9" s="1" t="s">
        <v>60</v>
      </c>
      <c r="F9" s="1" t="s">
        <v>61</v>
      </c>
      <c r="G9" s="1" t="s">
        <v>23</v>
      </c>
      <c r="H9" s="1">
        <v>1</v>
      </c>
      <c r="J9" s="1" t="s">
        <v>161</v>
      </c>
      <c r="K9" s="1" t="s">
        <v>101</v>
      </c>
      <c r="L9" s="1" t="s">
        <v>86</v>
      </c>
      <c r="M9" s="1" t="s">
        <v>29</v>
      </c>
      <c r="N9" s="1">
        <v>1</v>
      </c>
      <c r="O9" s="1" t="s">
        <v>30</v>
      </c>
      <c r="P9" s="20" t="s">
        <v>58</v>
      </c>
      <c r="Q9" s="20" t="s">
        <v>33</v>
      </c>
      <c r="R9" s="20" t="s">
        <v>33</v>
      </c>
      <c r="S9" s="20" t="s">
        <v>33</v>
      </c>
      <c r="T9" s="21" t="s">
        <v>32</v>
      </c>
      <c r="U9" s="1" t="s">
        <v>34</v>
      </c>
      <c r="V9" s="25" t="s">
        <v>162</v>
      </c>
      <c r="W9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9" s="36">
        <f>IFERROR(_xlfn.XLOOKUP(tblEnlaces[[#This Row],[Coste]],tblPesosCoste[Valor],tblPesosCoste[Coste],0),0)</f>
        <v>4</v>
      </c>
      <c r="Y9" s="36">
        <f>IFERROR(_xlfn.XLOOKUP(tblEnlaces[[#This Row],[Eficiencia]],tblPesosValorOperativo[Valor],tblPesosValorOperativo[Eficiencia],0),0)</f>
        <v>5</v>
      </c>
      <c r="Z9" s="36">
        <f>IFERROR(_xlfn.XLOOKUP(tblEnlaces[[#This Row],[Exposición]],tblPesosValorOperativo[Valor],tblPesosValorOperativo[Exposición],0),0)</f>
        <v>1</v>
      </c>
      <c r="AA9" s="36">
        <f>IFERROR(_xlfn.XLOOKUP(tblEnlaces[[#This Row],[Capacidad]],tblPesosValorOperativo[Valor],tblPesosValorOperativo[Capacidad],0),0)</f>
        <v>5</v>
      </c>
      <c r="AB9" s="36">
        <f>IFERROR(_xlfn.XLOOKUP(tblEnlaces[[#This Row],[Resiliencia]],tblPesosValorOperativo[Valor],tblPesosValorOperativo[Resiliencia],0),0)</f>
        <v>3</v>
      </c>
      <c r="AC9" s="36">
        <f>tblEnlaces[[#This Row],[Eficiencia (peso)]]+tblEnlaces[[#This Row],[Exposición (peso)]]+tblEnlaces[[#This Row],[Capacidad (peso)]]+tblEnlaces[[#This Row],[Resiliencia (peso)]]</f>
        <v>14</v>
      </c>
    </row>
    <row r="10" spans="1:29" x14ac:dyDescent="0.25">
      <c r="E10" s="1" t="s">
        <v>65</v>
      </c>
      <c r="F10" s="1" t="s">
        <v>66</v>
      </c>
      <c r="G10" s="1" t="s">
        <v>23</v>
      </c>
      <c r="H10" s="1">
        <v>1</v>
      </c>
      <c r="J10" s="1" t="s">
        <v>55</v>
      </c>
      <c r="K10" s="1" t="s">
        <v>25</v>
      </c>
      <c r="L10" s="1" t="s">
        <v>56</v>
      </c>
      <c r="M10" s="1" t="s">
        <v>57</v>
      </c>
      <c r="N10" s="1">
        <v>1</v>
      </c>
      <c r="O10" s="1" t="s">
        <v>30</v>
      </c>
      <c r="P10" s="22" t="s">
        <v>58</v>
      </c>
      <c r="Q10" s="22" t="s">
        <v>33</v>
      </c>
      <c r="R10" s="22" t="s">
        <v>32</v>
      </c>
      <c r="S10" s="22" t="s">
        <v>32</v>
      </c>
      <c r="T10" s="23" t="s">
        <v>32</v>
      </c>
      <c r="U10" s="1" t="s">
        <v>34</v>
      </c>
      <c r="V10" s="25" t="s">
        <v>59</v>
      </c>
      <c r="W10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0" s="36">
        <f>IFERROR(_xlfn.XLOOKUP(tblEnlaces[[#This Row],[Coste]],tblPesosCoste[Valor],tblPesosCoste[Coste],0),0)</f>
        <v>4</v>
      </c>
      <c r="Y10" s="36">
        <f>IFERROR(_xlfn.XLOOKUP(tblEnlaces[[#This Row],[Eficiencia]],tblPesosValorOperativo[Valor],tblPesosValorOperativo[Eficiencia],0),0)</f>
        <v>5</v>
      </c>
      <c r="Z10" s="36">
        <f>IFERROR(_xlfn.XLOOKUP(tblEnlaces[[#This Row],[Exposición]],tblPesosValorOperativo[Valor],tblPesosValorOperativo[Exposición],0),0)</f>
        <v>3</v>
      </c>
      <c r="AA10" s="36">
        <f>IFERROR(_xlfn.XLOOKUP(tblEnlaces[[#This Row],[Capacidad]],tblPesosValorOperativo[Valor],tblPesosValorOperativo[Capacidad],0),0)</f>
        <v>3</v>
      </c>
      <c r="AB10" s="36">
        <f>IFERROR(_xlfn.XLOOKUP(tblEnlaces[[#This Row],[Resiliencia]],tblPesosValorOperativo[Valor],tblPesosValorOperativo[Resiliencia],0),0)</f>
        <v>3</v>
      </c>
      <c r="AC10" s="36">
        <f>tblEnlaces[[#This Row],[Eficiencia (peso)]]+tblEnlaces[[#This Row],[Exposición (peso)]]+tblEnlaces[[#This Row],[Capacidad (peso)]]+tblEnlaces[[#This Row],[Resiliencia (peso)]]</f>
        <v>14</v>
      </c>
    </row>
    <row r="11" spans="1:29" x14ac:dyDescent="0.25">
      <c r="E11" s="1" t="s">
        <v>28</v>
      </c>
      <c r="F11" s="1" t="s">
        <v>69</v>
      </c>
      <c r="G11" s="1" t="s">
        <v>36</v>
      </c>
      <c r="H11" s="1">
        <v>1</v>
      </c>
      <c r="J11" s="1" t="s">
        <v>139</v>
      </c>
      <c r="K11" s="1" t="s">
        <v>56</v>
      </c>
      <c r="L11" s="1" t="s">
        <v>105</v>
      </c>
      <c r="M11" s="1" t="s">
        <v>29</v>
      </c>
      <c r="N11" s="1">
        <v>1</v>
      </c>
      <c r="O11" s="1" t="s">
        <v>30</v>
      </c>
      <c r="P11" s="22" t="s">
        <v>58</v>
      </c>
      <c r="Q11" s="22" t="s">
        <v>33</v>
      </c>
      <c r="R11" s="22" t="s">
        <v>32</v>
      </c>
      <c r="S11" s="22" t="s">
        <v>32</v>
      </c>
      <c r="T11" s="23" t="s">
        <v>32</v>
      </c>
      <c r="U11" s="1" t="s">
        <v>34</v>
      </c>
      <c r="V11" s="25" t="s">
        <v>140</v>
      </c>
      <c r="W11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1" s="36">
        <f>IFERROR(_xlfn.XLOOKUP(tblEnlaces[[#This Row],[Coste]],tblPesosCoste[Valor],tblPesosCoste[Coste],0),0)</f>
        <v>4</v>
      </c>
      <c r="Y11" s="36">
        <f>IFERROR(_xlfn.XLOOKUP(tblEnlaces[[#This Row],[Eficiencia]],tblPesosValorOperativo[Valor],tblPesosValorOperativo[Eficiencia],0),0)</f>
        <v>5</v>
      </c>
      <c r="Z11" s="36">
        <f>IFERROR(_xlfn.XLOOKUP(tblEnlaces[[#This Row],[Exposición]],tblPesosValorOperativo[Valor],tblPesosValorOperativo[Exposición],0),0)</f>
        <v>3</v>
      </c>
      <c r="AA11" s="36">
        <f>IFERROR(_xlfn.XLOOKUP(tblEnlaces[[#This Row],[Capacidad]],tblPesosValorOperativo[Valor],tblPesosValorOperativo[Capacidad],0),0)</f>
        <v>3</v>
      </c>
      <c r="AB11" s="36">
        <f>IFERROR(_xlfn.XLOOKUP(tblEnlaces[[#This Row],[Resiliencia]],tblPesosValorOperativo[Valor],tblPesosValorOperativo[Resiliencia],0),0)</f>
        <v>3</v>
      </c>
      <c r="AC11" s="36">
        <f>tblEnlaces[[#This Row],[Eficiencia (peso)]]+tblEnlaces[[#This Row],[Exposición (peso)]]+tblEnlaces[[#This Row],[Capacidad (peso)]]+tblEnlaces[[#This Row],[Resiliencia (peso)]]</f>
        <v>14</v>
      </c>
    </row>
    <row r="12" spans="1:29" x14ac:dyDescent="0.25">
      <c r="E12" s="1" t="s">
        <v>41</v>
      </c>
      <c r="F12" s="1" t="s">
        <v>73</v>
      </c>
      <c r="G12" s="1" t="s">
        <v>36</v>
      </c>
      <c r="H12" s="1">
        <v>1</v>
      </c>
      <c r="J12" s="1" t="s">
        <v>169</v>
      </c>
      <c r="K12" s="1" t="s">
        <v>105</v>
      </c>
      <c r="L12" s="1" t="s">
        <v>56</v>
      </c>
      <c r="M12" s="1" t="s">
        <v>29</v>
      </c>
      <c r="N12" s="1">
        <v>1</v>
      </c>
      <c r="O12" s="1" t="s">
        <v>30</v>
      </c>
      <c r="P12" s="20" t="s">
        <v>58</v>
      </c>
      <c r="Q12" s="20" t="s">
        <v>33</v>
      </c>
      <c r="R12" s="20" t="s">
        <v>32</v>
      </c>
      <c r="S12" s="20" t="s">
        <v>32</v>
      </c>
      <c r="T12" s="21" t="s">
        <v>32</v>
      </c>
      <c r="U12" s="1" t="s">
        <v>34</v>
      </c>
      <c r="V12" s="25" t="s">
        <v>170</v>
      </c>
      <c r="W12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2" s="36">
        <f>IFERROR(_xlfn.XLOOKUP(tblEnlaces[[#This Row],[Coste]],tblPesosCoste[Valor],tblPesosCoste[Coste],0),0)</f>
        <v>4</v>
      </c>
      <c r="Y12" s="36">
        <f>IFERROR(_xlfn.XLOOKUP(tblEnlaces[[#This Row],[Eficiencia]],tblPesosValorOperativo[Valor],tblPesosValorOperativo[Eficiencia],0),0)</f>
        <v>5</v>
      </c>
      <c r="Z12" s="36">
        <f>IFERROR(_xlfn.XLOOKUP(tblEnlaces[[#This Row],[Exposición]],tblPesosValorOperativo[Valor],tblPesosValorOperativo[Exposición],0),0)</f>
        <v>3</v>
      </c>
      <c r="AA12" s="36">
        <f>IFERROR(_xlfn.XLOOKUP(tblEnlaces[[#This Row],[Capacidad]],tblPesosValorOperativo[Valor],tblPesosValorOperativo[Capacidad],0),0)</f>
        <v>3</v>
      </c>
      <c r="AB12" s="36">
        <f>IFERROR(_xlfn.XLOOKUP(tblEnlaces[[#This Row],[Resiliencia]],tblPesosValorOperativo[Valor],tblPesosValorOperativo[Resiliencia],0),0)</f>
        <v>3</v>
      </c>
      <c r="AC12" s="36">
        <f>tblEnlaces[[#This Row],[Eficiencia (peso)]]+tblEnlaces[[#This Row],[Exposición (peso)]]+tblEnlaces[[#This Row],[Capacidad (peso)]]+tblEnlaces[[#This Row],[Resiliencia (peso)]]</f>
        <v>14</v>
      </c>
    </row>
    <row r="13" spans="1:29" x14ac:dyDescent="0.25">
      <c r="E13" s="1" t="s">
        <v>49</v>
      </c>
      <c r="F13" s="1" t="s">
        <v>76</v>
      </c>
      <c r="G13" s="1" t="s">
        <v>36</v>
      </c>
      <c r="H13" s="1">
        <v>1</v>
      </c>
      <c r="J13" s="1" t="s">
        <v>92</v>
      </c>
      <c r="K13" s="1" t="s">
        <v>53</v>
      </c>
      <c r="L13" s="1" t="s">
        <v>82</v>
      </c>
      <c r="M13" s="1" t="s">
        <v>29</v>
      </c>
      <c r="N13" s="1">
        <v>1</v>
      </c>
      <c r="O13" s="1" t="s">
        <v>30</v>
      </c>
      <c r="P13" s="20" t="s">
        <v>58</v>
      </c>
      <c r="Q13" s="20" t="s">
        <v>33</v>
      </c>
      <c r="R13" s="20" t="s">
        <v>71</v>
      </c>
      <c r="S13" s="20" t="s">
        <v>32</v>
      </c>
      <c r="T13" s="21" t="s">
        <v>32</v>
      </c>
      <c r="U13" s="1" t="s">
        <v>34</v>
      </c>
      <c r="V13" s="25" t="s">
        <v>93</v>
      </c>
      <c r="W13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3" s="36">
        <f>IFERROR(_xlfn.XLOOKUP(tblEnlaces[[#This Row],[Coste]],tblPesosCoste[Valor],tblPesosCoste[Coste],0),0)</f>
        <v>4</v>
      </c>
      <c r="Y13" s="36">
        <f>IFERROR(_xlfn.XLOOKUP(tblEnlaces[[#This Row],[Eficiencia]],tblPesosValorOperativo[Valor],tblPesosValorOperativo[Eficiencia],0),0)</f>
        <v>5</v>
      </c>
      <c r="Z13" s="36">
        <f>IFERROR(_xlfn.XLOOKUP(tblEnlaces[[#This Row],[Exposición]],tblPesosValorOperativo[Valor],tblPesosValorOperativo[Exposición],0),0)</f>
        <v>2</v>
      </c>
      <c r="AA13" s="36">
        <f>IFERROR(_xlfn.XLOOKUP(tblEnlaces[[#This Row],[Capacidad]],tblPesosValorOperativo[Valor],tblPesosValorOperativo[Capacidad],0),0)</f>
        <v>3</v>
      </c>
      <c r="AB13" s="36">
        <f>IFERROR(_xlfn.XLOOKUP(tblEnlaces[[#This Row],[Resiliencia]],tblPesosValorOperativo[Valor],tblPesosValorOperativo[Resiliencia],0),0)</f>
        <v>3</v>
      </c>
      <c r="AC13" s="36">
        <f>tblEnlaces[[#This Row],[Eficiencia (peso)]]+tblEnlaces[[#This Row],[Exposición (peso)]]+tblEnlaces[[#This Row],[Capacidad (peso)]]+tblEnlaces[[#This Row],[Resiliencia (peso)]]</f>
        <v>13</v>
      </c>
    </row>
    <row r="14" spans="1:29" x14ac:dyDescent="0.25">
      <c r="E14" s="1" t="s">
        <v>56</v>
      </c>
      <c r="F14" s="1" t="s">
        <v>79</v>
      </c>
      <c r="G14" s="1" t="s">
        <v>36</v>
      </c>
      <c r="H14" s="1">
        <v>1</v>
      </c>
      <c r="J14" s="1" t="s">
        <v>107</v>
      </c>
      <c r="K14" s="1" t="s">
        <v>60</v>
      </c>
      <c r="L14" s="1" t="s">
        <v>82</v>
      </c>
      <c r="M14" s="1" t="s">
        <v>57</v>
      </c>
      <c r="N14" s="1">
        <v>1</v>
      </c>
      <c r="O14" s="1" t="s">
        <v>30</v>
      </c>
      <c r="P14" s="20" t="s">
        <v>58</v>
      </c>
      <c r="Q14" s="20" t="s">
        <v>33</v>
      </c>
      <c r="R14" s="20" t="s">
        <v>71</v>
      </c>
      <c r="S14" s="20" t="s">
        <v>32</v>
      </c>
      <c r="T14" s="21" t="s">
        <v>32</v>
      </c>
      <c r="U14" s="1" t="s">
        <v>34</v>
      </c>
      <c r="V14" s="25" t="s">
        <v>108</v>
      </c>
      <c r="W14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4" s="36">
        <f>IFERROR(_xlfn.XLOOKUP(tblEnlaces[[#This Row],[Coste]],tblPesosCoste[Valor],tblPesosCoste[Coste],0),0)</f>
        <v>4</v>
      </c>
      <c r="Y14" s="36">
        <f>IFERROR(_xlfn.XLOOKUP(tblEnlaces[[#This Row],[Eficiencia]],tblPesosValorOperativo[Valor],tblPesosValorOperativo[Eficiencia],0),0)</f>
        <v>5</v>
      </c>
      <c r="Z14" s="36">
        <f>IFERROR(_xlfn.XLOOKUP(tblEnlaces[[#This Row],[Exposición]],tblPesosValorOperativo[Valor],tblPesosValorOperativo[Exposición],0),0)</f>
        <v>2</v>
      </c>
      <c r="AA14" s="36">
        <f>IFERROR(_xlfn.XLOOKUP(tblEnlaces[[#This Row],[Capacidad]],tblPesosValorOperativo[Valor],tblPesosValorOperativo[Capacidad],0),0)</f>
        <v>3</v>
      </c>
      <c r="AB14" s="36">
        <f>IFERROR(_xlfn.XLOOKUP(tblEnlaces[[#This Row],[Resiliencia]],tblPesosValorOperativo[Valor],tblPesosValorOperativo[Resiliencia],0),0)</f>
        <v>3</v>
      </c>
      <c r="AC14" s="36">
        <f>tblEnlaces[[#This Row],[Eficiencia (peso)]]+tblEnlaces[[#This Row],[Exposición (peso)]]+tblEnlaces[[#This Row],[Capacidad (peso)]]+tblEnlaces[[#This Row],[Resiliencia (peso)]]</f>
        <v>13</v>
      </c>
    </row>
    <row r="15" spans="1:29" x14ac:dyDescent="0.25">
      <c r="E15" s="1" t="s">
        <v>82</v>
      </c>
      <c r="F15" s="1" t="s">
        <v>83</v>
      </c>
      <c r="G15" s="1" t="s">
        <v>36</v>
      </c>
      <c r="H15" s="1">
        <v>1</v>
      </c>
      <c r="J15" s="1" t="s">
        <v>116</v>
      </c>
      <c r="K15" s="1" t="s">
        <v>65</v>
      </c>
      <c r="L15" s="1" t="s">
        <v>82</v>
      </c>
      <c r="M15" s="1" t="s">
        <v>29</v>
      </c>
      <c r="N15" s="1">
        <v>1</v>
      </c>
      <c r="O15" s="1" t="s">
        <v>30</v>
      </c>
      <c r="P15" s="22" t="s">
        <v>58</v>
      </c>
      <c r="Q15" s="22" t="s">
        <v>33</v>
      </c>
      <c r="R15" s="22" t="s">
        <v>71</v>
      </c>
      <c r="S15" s="22" t="s">
        <v>32</v>
      </c>
      <c r="T15" s="23" t="s">
        <v>32</v>
      </c>
      <c r="U15" s="1" t="s">
        <v>34</v>
      </c>
      <c r="V15" s="25" t="s">
        <v>117</v>
      </c>
      <c r="W1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5" s="36">
        <f>IFERROR(_xlfn.XLOOKUP(tblEnlaces[[#This Row],[Coste]],tblPesosCoste[Valor],tblPesosCoste[Coste],0),0)</f>
        <v>4</v>
      </c>
      <c r="Y15" s="36">
        <f>IFERROR(_xlfn.XLOOKUP(tblEnlaces[[#This Row],[Eficiencia]],tblPesosValorOperativo[Valor],tblPesosValorOperativo[Eficiencia],0),0)</f>
        <v>5</v>
      </c>
      <c r="Z15" s="36">
        <f>IFERROR(_xlfn.XLOOKUP(tblEnlaces[[#This Row],[Exposición]],tblPesosValorOperativo[Valor],tblPesosValorOperativo[Exposición],0),0)</f>
        <v>2</v>
      </c>
      <c r="AA15" s="36">
        <f>IFERROR(_xlfn.XLOOKUP(tblEnlaces[[#This Row],[Capacidad]],tblPesosValorOperativo[Valor],tblPesosValorOperativo[Capacidad],0),0)</f>
        <v>3</v>
      </c>
      <c r="AB15" s="36">
        <f>IFERROR(_xlfn.XLOOKUP(tblEnlaces[[#This Row],[Resiliencia]],tblPesosValorOperativo[Valor],tblPesosValorOperativo[Resiliencia],0),0)</f>
        <v>3</v>
      </c>
      <c r="AC15" s="36">
        <f>tblEnlaces[[#This Row],[Eficiencia (peso)]]+tblEnlaces[[#This Row],[Exposición (peso)]]+tblEnlaces[[#This Row],[Capacidad (peso)]]+tblEnlaces[[#This Row],[Resiliencia (peso)]]</f>
        <v>13</v>
      </c>
    </row>
    <row r="16" spans="1:29" x14ac:dyDescent="0.25">
      <c r="E16" s="1" t="s">
        <v>86</v>
      </c>
      <c r="F16" s="1" t="s">
        <v>87</v>
      </c>
      <c r="G16" s="1" t="s">
        <v>36</v>
      </c>
      <c r="H16" s="1">
        <v>1</v>
      </c>
      <c r="J16" s="1" t="s">
        <v>141</v>
      </c>
      <c r="K16" s="1" t="s">
        <v>82</v>
      </c>
      <c r="L16" s="1" t="s">
        <v>105</v>
      </c>
      <c r="M16" s="1" t="s">
        <v>29</v>
      </c>
      <c r="N16" s="1">
        <v>1</v>
      </c>
      <c r="O16" s="1" t="s">
        <v>30</v>
      </c>
      <c r="P16" s="20" t="s">
        <v>58</v>
      </c>
      <c r="Q16" s="20" t="s">
        <v>33</v>
      </c>
      <c r="R16" s="20" t="s">
        <v>71</v>
      </c>
      <c r="S16" s="20" t="s">
        <v>32</v>
      </c>
      <c r="T16" s="21" t="s">
        <v>32</v>
      </c>
      <c r="U16" s="1" t="s">
        <v>34</v>
      </c>
      <c r="V16" s="25" t="s">
        <v>142</v>
      </c>
      <c r="W1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16" s="36">
        <f>IFERROR(_xlfn.XLOOKUP(tblEnlaces[[#This Row],[Coste]],tblPesosCoste[Valor],tblPesosCoste[Coste],0),0)</f>
        <v>4</v>
      </c>
      <c r="Y16" s="36">
        <f>IFERROR(_xlfn.XLOOKUP(tblEnlaces[[#This Row],[Eficiencia]],tblPesosValorOperativo[Valor],tblPesosValorOperativo[Eficiencia],0),0)</f>
        <v>5</v>
      </c>
      <c r="Z16" s="36">
        <f>IFERROR(_xlfn.XLOOKUP(tblEnlaces[[#This Row],[Exposición]],tblPesosValorOperativo[Valor],tblPesosValorOperativo[Exposición],0),0)</f>
        <v>2</v>
      </c>
      <c r="AA16" s="36">
        <f>IFERROR(_xlfn.XLOOKUP(tblEnlaces[[#This Row],[Capacidad]],tblPesosValorOperativo[Valor],tblPesosValorOperativo[Capacidad],0),0)</f>
        <v>3</v>
      </c>
      <c r="AB16" s="36">
        <f>IFERROR(_xlfn.XLOOKUP(tblEnlaces[[#This Row],[Resiliencia]],tblPesosValorOperativo[Valor],tblPesosValorOperativo[Resiliencia],0),0)</f>
        <v>3</v>
      </c>
      <c r="AC16" s="36">
        <f>tblEnlaces[[#This Row],[Eficiencia (peso)]]+tblEnlaces[[#This Row],[Exposición (peso)]]+tblEnlaces[[#This Row],[Capacidad (peso)]]+tblEnlaces[[#This Row],[Resiliencia (peso)]]</f>
        <v>13</v>
      </c>
    </row>
    <row r="17" spans="2:29" x14ac:dyDescent="0.25">
      <c r="E17" s="1" t="s">
        <v>90</v>
      </c>
      <c r="F17" s="1" t="s">
        <v>91</v>
      </c>
      <c r="G17" s="1" t="s">
        <v>36</v>
      </c>
      <c r="H17" s="1">
        <v>1</v>
      </c>
      <c r="J17" s="1" t="s">
        <v>111</v>
      </c>
      <c r="K17" s="1" t="s">
        <v>60</v>
      </c>
      <c r="L17" s="1" t="s">
        <v>86</v>
      </c>
      <c r="M17" s="1" t="s">
        <v>29</v>
      </c>
      <c r="N17" s="1">
        <v>1</v>
      </c>
      <c r="O17" s="1" t="s">
        <v>30</v>
      </c>
      <c r="P17" s="22" t="s">
        <v>32</v>
      </c>
      <c r="Q17" s="22" t="s">
        <v>33</v>
      </c>
      <c r="R17" s="22" t="s">
        <v>33</v>
      </c>
      <c r="S17" s="22" t="s">
        <v>33</v>
      </c>
      <c r="T17" s="23" t="s">
        <v>32</v>
      </c>
      <c r="U17" s="1" t="s">
        <v>34</v>
      </c>
      <c r="V17" s="25" t="s">
        <v>112</v>
      </c>
      <c r="W1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17" s="36">
        <f>IFERROR(_xlfn.XLOOKUP(tblEnlaces[[#This Row],[Coste]],tblPesosCoste[Valor],tblPesosCoste[Coste],0),0)</f>
        <v>3</v>
      </c>
      <c r="Y17" s="36">
        <f>IFERROR(_xlfn.XLOOKUP(tblEnlaces[[#This Row],[Eficiencia]],tblPesosValorOperativo[Valor],tblPesosValorOperativo[Eficiencia],0),0)</f>
        <v>5</v>
      </c>
      <c r="Z17" s="36">
        <f>IFERROR(_xlfn.XLOOKUP(tblEnlaces[[#This Row],[Exposición]],tblPesosValorOperativo[Valor],tblPesosValorOperativo[Exposición],0),0)</f>
        <v>1</v>
      </c>
      <c r="AA17" s="36">
        <f>IFERROR(_xlfn.XLOOKUP(tblEnlaces[[#This Row],[Capacidad]],tblPesosValorOperativo[Valor],tblPesosValorOperativo[Capacidad],0),0)</f>
        <v>5</v>
      </c>
      <c r="AB17" s="36">
        <f>IFERROR(_xlfn.XLOOKUP(tblEnlaces[[#This Row],[Resiliencia]],tblPesosValorOperativo[Valor],tblPesosValorOperativo[Resiliencia],0),0)</f>
        <v>3</v>
      </c>
      <c r="AC17" s="36">
        <f>tblEnlaces[[#This Row],[Eficiencia (peso)]]+tblEnlaces[[#This Row],[Exposición (peso)]]+tblEnlaces[[#This Row],[Capacidad (peso)]]+tblEnlaces[[#This Row],[Resiliencia (peso)]]</f>
        <v>14</v>
      </c>
    </row>
    <row r="18" spans="2:29" x14ac:dyDescent="0.25">
      <c r="E18" s="1" t="s">
        <v>94</v>
      </c>
      <c r="F18" s="1" t="s">
        <v>95</v>
      </c>
      <c r="G18" s="1" t="s">
        <v>36</v>
      </c>
      <c r="H18" s="1">
        <v>1</v>
      </c>
      <c r="J18" s="1" t="s">
        <v>145</v>
      </c>
      <c r="K18" s="1" t="s">
        <v>86</v>
      </c>
      <c r="L18" s="1" t="s">
        <v>101</v>
      </c>
      <c r="M18" s="1" t="s">
        <v>29</v>
      </c>
      <c r="N18" s="1">
        <v>1</v>
      </c>
      <c r="O18" s="1" t="s">
        <v>30</v>
      </c>
      <c r="P18" s="20" t="s">
        <v>32</v>
      </c>
      <c r="Q18" s="20" t="s">
        <v>33</v>
      </c>
      <c r="R18" s="20" t="s">
        <v>33</v>
      </c>
      <c r="S18" s="20" t="s">
        <v>33</v>
      </c>
      <c r="T18" s="21" t="s">
        <v>32</v>
      </c>
      <c r="U18" s="1" t="s">
        <v>34</v>
      </c>
      <c r="V18" s="25" t="s">
        <v>146</v>
      </c>
      <c r="W1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18" s="36">
        <f>IFERROR(_xlfn.XLOOKUP(tblEnlaces[[#This Row],[Coste]],tblPesosCoste[Valor],tblPesosCoste[Coste],0),0)</f>
        <v>3</v>
      </c>
      <c r="Y18" s="36">
        <f>IFERROR(_xlfn.XLOOKUP(tblEnlaces[[#This Row],[Eficiencia]],tblPesosValorOperativo[Valor],tblPesosValorOperativo[Eficiencia],0),0)</f>
        <v>5</v>
      </c>
      <c r="Z18" s="36">
        <f>IFERROR(_xlfn.XLOOKUP(tblEnlaces[[#This Row],[Exposición]],tblPesosValorOperativo[Valor],tblPesosValorOperativo[Exposición],0),0)</f>
        <v>1</v>
      </c>
      <c r="AA18" s="36">
        <f>IFERROR(_xlfn.XLOOKUP(tblEnlaces[[#This Row],[Capacidad]],tblPesosValorOperativo[Valor],tblPesosValorOperativo[Capacidad],0),0)</f>
        <v>5</v>
      </c>
      <c r="AB18" s="36">
        <f>IFERROR(_xlfn.XLOOKUP(tblEnlaces[[#This Row],[Resiliencia]],tblPesosValorOperativo[Valor],tblPesosValorOperativo[Resiliencia],0),0)</f>
        <v>3</v>
      </c>
      <c r="AC18" s="36">
        <f>tblEnlaces[[#This Row],[Eficiencia (peso)]]+tblEnlaces[[#This Row],[Exposición (peso)]]+tblEnlaces[[#This Row],[Capacidad (peso)]]+tblEnlaces[[#This Row],[Resiliencia (peso)]]</f>
        <v>14</v>
      </c>
    </row>
    <row r="19" spans="2:29" x14ac:dyDescent="0.25">
      <c r="E19" s="1" t="s">
        <v>63</v>
      </c>
      <c r="F19" s="1" t="s">
        <v>98</v>
      </c>
      <c r="G19" s="1" t="s">
        <v>36</v>
      </c>
      <c r="H19" s="1">
        <v>1</v>
      </c>
      <c r="J19" s="1" t="s">
        <v>147</v>
      </c>
      <c r="K19" s="1" t="s">
        <v>86</v>
      </c>
      <c r="L19" s="1" t="s">
        <v>109</v>
      </c>
      <c r="M19" s="1" t="s">
        <v>29</v>
      </c>
      <c r="N19" s="1">
        <v>1</v>
      </c>
      <c r="O19" s="1" t="s">
        <v>42</v>
      </c>
      <c r="P19" s="22" t="s">
        <v>32</v>
      </c>
      <c r="Q19" s="22" t="s">
        <v>33</v>
      </c>
      <c r="R19" s="22" t="s">
        <v>33</v>
      </c>
      <c r="S19" s="22" t="s">
        <v>33</v>
      </c>
      <c r="T19" s="23" t="s">
        <v>32</v>
      </c>
      <c r="U19" s="1" t="s">
        <v>34</v>
      </c>
      <c r="V19" s="25" t="s">
        <v>148</v>
      </c>
      <c r="W19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19" s="36">
        <f>IFERROR(_xlfn.XLOOKUP(tblEnlaces[[#This Row],[Coste]],tblPesosCoste[Valor],tblPesosCoste[Coste],0),0)</f>
        <v>3</v>
      </c>
      <c r="Y19" s="36">
        <f>IFERROR(_xlfn.XLOOKUP(tblEnlaces[[#This Row],[Eficiencia]],tblPesosValorOperativo[Valor],tblPesosValorOperativo[Eficiencia],0),0)</f>
        <v>5</v>
      </c>
      <c r="Z19" s="36">
        <f>IFERROR(_xlfn.XLOOKUP(tblEnlaces[[#This Row],[Exposición]],tblPesosValorOperativo[Valor],tblPesosValorOperativo[Exposición],0),0)</f>
        <v>1</v>
      </c>
      <c r="AA19" s="36">
        <f>IFERROR(_xlfn.XLOOKUP(tblEnlaces[[#This Row],[Capacidad]],tblPesosValorOperativo[Valor],tblPesosValorOperativo[Capacidad],0),0)</f>
        <v>5</v>
      </c>
      <c r="AB19" s="36">
        <f>IFERROR(_xlfn.XLOOKUP(tblEnlaces[[#This Row],[Resiliencia]],tblPesosValorOperativo[Valor],tblPesosValorOperativo[Resiliencia],0),0)</f>
        <v>3</v>
      </c>
      <c r="AC19" s="36">
        <f>tblEnlaces[[#This Row],[Eficiencia (peso)]]+tblEnlaces[[#This Row],[Exposición (peso)]]+tblEnlaces[[#This Row],[Capacidad (peso)]]+tblEnlaces[[#This Row],[Resiliencia (peso)]]</f>
        <v>14</v>
      </c>
    </row>
    <row r="20" spans="2:29" x14ac:dyDescent="0.25">
      <c r="E20" s="1" t="s">
        <v>101</v>
      </c>
      <c r="F20" s="1" t="s">
        <v>102</v>
      </c>
      <c r="G20" s="1" t="s">
        <v>44</v>
      </c>
      <c r="H20" s="1">
        <v>1</v>
      </c>
      <c r="J20" s="1" t="s">
        <v>175</v>
      </c>
      <c r="K20" s="1" t="s">
        <v>109</v>
      </c>
      <c r="L20" s="1" t="s">
        <v>86</v>
      </c>
      <c r="M20" s="1" t="s">
        <v>29</v>
      </c>
      <c r="N20" s="1">
        <v>1</v>
      </c>
      <c r="O20" s="1" t="s">
        <v>42</v>
      </c>
      <c r="P20" s="22" t="s">
        <v>32</v>
      </c>
      <c r="Q20" s="22" t="s">
        <v>33</v>
      </c>
      <c r="R20" s="22" t="s">
        <v>33</v>
      </c>
      <c r="S20" s="22" t="s">
        <v>33</v>
      </c>
      <c r="T20" s="23" t="s">
        <v>32</v>
      </c>
      <c r="U20" s="1" t="s">
        <v>34</v>
      </c>
      <c r="V20" s="25" t="s">
        <v>176</v>
      </c>
      <c r="W20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0" s="36">
        <f>IFERROR(_xlfn.XLOOKUP(tblEnlaces[[#This Row],[Coste]],tblPesosCoste[Valor],tblPesosCoste[Coste],0),0)</f>
        <v>3</v>
      </c>
      <c r="Y20" s="36">
        <f>IFERROR(_xlfn.XLOOKUP(tblEnlaces[[#This Row],[Eficiencia]],tblPesosValorOperativo[Valor],tblPesosValorOperativo[Eficiencia],0),0)</f>
        <v>5</v>
      </c>
      <c r="Z20" s="36">
        <f>IFERROR(_xlfn.XLOOKUP(tblEnlaces[[#This Row],[Exposición]],tblPesosValorOperativo[Valor],tblPesosValorOperativo[Exposición],0),0)</f>
        <v>1</v>
      </c>
      <c r="AA20" s="36">
        <f>IFERROR(_xlfn.XLOOKUP(tblEnlaces[[#This Row],[Capacidad]],tblPesosValorOperativo[Valor],tblPesosValorOperativo[Capacidad],0),0)</f>
        <v>5</v>
      </c>
      <c r="AB20" s="36">
        <f>IFERROR(_xlfn.XLOOKUP(tblEnlaces[[#This Row],[Resiliencia]],tblPesosValorOperativo[Valor],tblPesosValorOperativo[Resiliencia],0),0)</f>
        <v>3</v>
      </c>
      <c r="AC20" s="36">
        <f>tblEnlaces[[#This Row],[Eficiencia (peso)]]+tblEnlaces[[#This Row],[Exposición (peso)]]+tblEnlaces[[#This Row],[Capacidad (peso)]]+tblEnlaces[[#This Row],[Resiliencia (peso)]]</f>
        <v>14</v>
      </c>
    </row>
    <row r="21" spans="2:29" x14ac:dyDescent="0.25">
      <c r="E21" s="1" t="s">
        <v>105</v>
      </c>
      <c r="F21" s="1" t="s">
        <v>106</v>
      </c>
      <c r="G21" s="1" t="s">
        <v>44</v>
      </c>
      <c r="H21" s="1">
        <v>1</v>
      </c>
      <c r="J21" s="1" t="s">
        <v>96</v>
      </c>
      <c r="K21" s="1" t="s">
        <v>53</v>
      </c>
      <c r="L21" s="1" t="s">
        <v>86</v>
      </c>
      <c r="M21" s="1" t="s">
        <v>29</v>
      </c>
      <c r="N21" s="1">
        <v>1</v>
      </c>
      <c r="O21" s="1" t="s">
        <v>30</v>
      </c>
      <c r="P21" s="22" t="s">
        <v>32</v>
      </c>
      <c r="Q21" s="22" t="s">
        <v>33</v>
      </c>
      <c r="R21" s="22" t="s">
        <v>33</v>
      </c>
      <c r="S21" s="22" t="s">
        <v>32</v>
      </c>
      <c r="T21" s="23" t="s">
        <v>32</v>
      </c>
      <c r="U21" s="1" t="s">
        <v>34</v>
      </c>
      <c r="V21" s="25" t="s">
        <v>97</v>
      </c>
      <c r="W21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1" s="36">
        <f>IFERROR(_xlfn.XLOOKUP(tblEnlaces[[#This Row],[Coste]],tblPesosCoste[Valor],tblPesosCoste[Coste],0),0)</f>
        <v>3</v>
      </c>
      <c r="Y21" s="36">
        <f>IFERROR(_xlfn.XLOOKUP(tblEnlaces[[#This Row],[Eficiencia]],tblPesosValorOperativo[Valor],tblPesosValorOperativo[Eficiencia],0),0)</f>
        <v>5</v>
      </c>
      <c r="Z21" s="36">
        <f>IFERROR(_xlfn.XLOOKUP(tblEnlaces[[#This Row],[Exposición]],tblPesosValorOperativo[Valor],tblPesosValorOperativo[Exposición],0),0)</f>
        <v>1</v>
      </c>
      <c r="AA21" s="36">
        <f>IFERROR(_xlfn.XLOOKUP(tblEnlaces[[#This Row],[Capacidad]],tblPesosValorOperativo[Valor],tblPesosValorOperativo[Capacidad],0),0)</f>
        <v>3</v>
      </c>
      <c r="AB21" s="36">
        <f>IFERROR(_xlfn.XLOOKUP(tblEnlaces[[#This Row],[Resiliencia]],tblPesosValorOperativo[Valor],tblPesosValorOperativo[Resiliencia],0),0)</f>
        <v>3</v>
      </c>
      <c r="AC21" s="36">
        <f>tblEnlaces[[#This Row],[Eficiencia (peso)]]+tblEnlaces[[#This Row],[Exposición (peso)]]+tblEnlaces[[#This Row],[Capacidad (peso)]]+tblEnlaces[[#This Row],[Resiliencia (peso)]]</f>
        <v>12</v>
      </c>
    </row>
    <row r="22" spans="2:29" x14ac:dyDescent="0.25">
      <c r="E22" s="1" t="s">
        <v>109</v>
      </c>
      <c r="F22" s="1" t="s">
        <v>110</v>
      </c>
      <c r="G22" s="1" t="s">
        <v>44</v>
      </c>
      <c r="H22" s="1">
        <v>1</v>
      </c>
      <c r="J22" s="1" t="s">
        <v>40</v>
      </c>
      <c r="K22" s="1" t="s">
        <v>25</v>
      </c>
      <c r="L22" s="1" t="s">
        <v>41</v>
      </c>
      <c r="M22" s="1" t="s">
        <v>29</v>
      </c>
      <c r="N22" s="1">
        <v>1</v>
      </c>
      <c r="O22" s="1" t="s">
        <v>42</v>
      </c>
      <c r="P22" s="22" t="s">
        <v>32</v>
      </c>
      <c r="Q22" s="22" t="s">
        <v>33</v>
      </c>
      <c r="R22" s="22" t="s">
        <v>31</v>
      </c>
      <c r="S22" s="22" t="s">
        <v>32</v>
      </c>
      <c r="T22" s="23" t="s">
        <v>33</v>
      </c>
      <c r="U22" s="1" t="s">
        <v>34</v>
      </c>
      <c r="V22" s="25" t="s">
        <v>43</v>
      </c>
      <c r="W22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2" s="36">
        <f>IFERROR(_xlfn.XLOOKUP(tblEnlaces[[#This Row],[Coste]],tblPesosCoste[Valor],tblPesosCoste[Coste],0),0)</f>
        <v>3</v>
      </c>
      <c r="Y22" s="36">
        <f>IFERROR(_xlfn.XLOOKUP(tblEnlaces[[#This Row],[Eficiencia]],tblPesosValorOperativo[Valor],tblPesosValorOperativo[Eficiencia],0),0)</f>
        <v>5</v>
      </c>
      <c r="Z22" s="36">
        <f>IFERROR(_xlfn.XLOOKUP(tblEnlaces[[#This Row],[Exposición]],tblPesosValorOperativo[Valor],tblPesosValorOperativo[Exposición],0),0)</f>
        <v>5</v>
      </c>
      <c r="AA22" s="36">
        <f>IFERROR(_xlfn.XLOOKUP(tblEnlaces[[#This Row],[Capacidad]],tblPesosValorOperativo[Valor],tblPesosValorOperativo[Capacidad],0),0)</f>
        <v>3</v>
      </c>
      <c r="AB22" s="36">
        <f>IFERROR(_xlfn.XLOOKUP(tblEnlaces[[#This Row],[Resiliencia]],tblPesosValorOperativo[Valor],tblPesosValorOperativo[Resiliencia],0),0)</f>
        <v>5</v>
      </c>
      <c r="AC22" s="36">
        <f>tblEnlaces[[#This Row],[Eficiencia (peso)]]+tblEnlaces[[#This Row],[Exposición (peso)]]+tblEnlaces[[#This Row],[Capacidad (peso)]]+tblEnlaces[[#This Row],[Resiliencia (peso)]]</f>
        <v>18</v>
      </c>
    </row>
    <row r="23" spans="2:29" x14ac:dyDescent="0.25">
      <c r="E23" s="1" t="s">
        <v>51</v>
      </c>
      <c r="F23" s="1" t="s">
        <v>113</v>
      </c>
      <c r="G23" s="1" t="s">
        <v>51</v>
      </c>
      <c r="H23" s="1">
        <v>1</v>
      </c>
      <c r="J23" s="1" t="s">
        <v>122</v>
      </c>
      <c r="K23" s="1" t="s">
        <v>28</v>
      </c>
      <c r="L23" s="1" t="s">
        <v>41</v>
      </c>
      <c r="M23" s="1" t="s">
        <v>29</v>
      </c>
      <c r="N23" s="1">
        <v>1</v>
      </c>
      <c r="O23" s="1" t="s">
        <v>30</v>
      </c>
      <c r="P23" s="20" t="s">
        <v>32</v>
      </c>
      <c r="Q23" s="20" t="s">
        <v>33</v>
      </c>
      <c r="R23" s="20" t="s">
        <v>31</v>
      </c>
      <c r="S23" s="20" t="s">
        <v>32</v>
      </c>
      <c r="T23" s="21" t="s">
        <v>33</v>
      </c>
      <c r="U23" s="1" t="s">
        <v>34</v>
      </c>
      <c r="V23" s="25" t="s">
        <v>123</v>
      </c>
      <c r="W23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3" s="36">
        <f>IFERROR(_xlfn.XLOOKUP(tblEnlaces[[#This Row],[Coste]],tblPesosCoste[Valor],tblPesosCoste[Coste],0),0)</f>
        <v>3</v>
      </c>
      <c r="Y23" s="36">
        <f>IFERROR(_xlfn.XLOOKUP(tblEnlaces[[#This Row],[Eficiencia]],tblPesosValorOperativo[Valor],tblPesosValorOperativo[Eficiencia],0),0)</f>
        <v>5</v>
      </c>
      <c r="Z23" s="36">
        <f>IFERROR(_xlfn.XLOOKUP(tblEnlaces[[#This Row],[Exposición]],tblPesosValorOperativo[Valor],tblPesosValorOperativo[Exposición],0),0)</f>
        <v>5</v>
      </c>
      <c r="AA23" s="36">
        <f>IFERROR(_xlfn.XLOOKUP(tblEnlaces[[#This Row],[Capacidad]],tblPesosValorOperativo[Valor],tblPesosValorOperativo[Capacidad],0),0)</f>
        <v>3</v>
      </c>
      <c r="AB23" s="36">
        <f>IFERROR(_xlfn.XLOOKUP(tblEnlaces[[#This Row],[Resiliencia]],tblPesosValorOperativo[Valor],tblPesosValorOperativo[Resiliencia],0),0)</f>
        <v>5</v>
      </c>
      <c r="AC23" s="36">
        <f>tblEnlaces[[#This Row],[Eficiencia (peso)]]+tblEnlaces[[#This Row],[Exposición (peso)]]+tblEnlaces[[#This Row],[Capacidad (peso)]]+tblEnlaces[[#This Row],[Resiliencia (peso)]]</f>
        <v>18</v>
      </c>
    </row>
    <row r="24" spans="2:29" x14ac:dyDescent="0.25">
      <c r="J24" s="1" t="s">
        <v>165</v>
      </c>
      <c r="K24" s="1" t="s">
        <v>105</v>
      </c>
      <c r="L24" s="1" t="s">
        <v>41</v>
      </c>
      <c r="M24" s="1" t="s">
        <v>29</v>
      </c>
      <c r="N24" s="1">
        <v>1</v>
      </c>
      <c r="O24" s="1" t="s">
        <v>42</v>
      </c>
      <c r="P24" s="20" t="s">
        <v>32</v>
      </c>
      <c r="Q24" s="20" t="s">
        <v>33</v>
      </c>
      <c r="R24" s="20" t="s">
        <v>31</v>
      </c>
      <c r="S24" s="20" t="s">
        <v>32</v>
      </c>
      <c r="T24" s="21" t="s">
        <v>33</v>
      </c>
      <c r="U24" s="1" t="s">
        <v>34</v>
      </c>
      <c r="V24" s="25" t="s">
        <v>166</v>
      </c>
      <c r="W24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4" s="36">
        <f>IFERROR(_xlfn.XLOOKUP(tblEnlaces[[#This Row],[Coste]],tblPesosCoste[Valor],tblPesosCoste[Coste],0),0)</f>
        <v>3</v>
      </c>
      <c r="Y24" s="36">
        <f>IFERROR(_xlfn.XLOOKUP(tblEnlaces[[#This Row],[Eficiencia]],tblPesosValorOperativo[Valor],tblPesosValorOperativo[Eficiencia],0),0)</f>
        <v>5</v>
      </c>
      <c r="Z24" s="36">
        <f>IFERROR(_xlfn.XLOOKUP(tblEnlaces[[#This Row],[Exposición]],tblPesosValorOperativo[Valor],tblPesosValorOperativo[Exposición],0),0)</f>
        <v>5</v>
      </c>
      <c r="AA24" s="36">
        <f>IFERROR(_xlfn.XLOOKUP(tblEnlaces[[#This Row],[Capacidad]],tblPesosValorOperativo[Valor],tblPesosValorOperativo[Capacidad],0),0)</f>
        <v>3</v>
      </c>
      <c r="AB24" s="36">
        <f>IFERROR(_xlfn.XLOOKUP(tblEnlaces[[#This Row],[Resiliencia]],tblPesosValorOperativo[Valor],tblPesosValorOperativo[Resiliencia],0),0)</f>
        <v>5</v>
      </c>
      <c r="AC24" s="36">
        <f>tblEnlaces[[#This Row],[Eficiencia (peso)]]+tblEnlaces[[#This Row],[Exposición (peso)]]+tblEnlaces[[#This Row],[Capacidad (peso)]]+tblEnlaces[[#This Row],[Resiliencia (peso)]]</f>
        <v>18</v>
      </c>
    </row>
    <row r="25" spans="2:29" x14ac:dyDescent="0.25">
      <c r="J25" s="1" t="s">
        <v>185</v>
      </c>
      <c r="K25" s="1" t="s">
        <v>41</v>
      </c>
      <c r="L25" s="1" t="s">
        <v>51</v>
      </c>
      <c r="M25" s="1" t="s">
        <v>57</v>
      </c>
      <c r="N25" s="1">
        <v>1</v>
      </c>
      <c r="O25" s="1" t="s">
        <v>42</v>
      </c>
      <c r="P25" s="20" t="s">
        <v>32</v>
      </c>
      <c r="Q25" s="20" t="s">
        <v>33</v>
      </c>
      <c r="R25" s="20" t="s">
        <v>31</v>
      </c>
      <c r="S25" s="20" t="s">
        <v>32</v>
      </c>
      <c r="T25" s="21" t="s">
        <v>71</v>
      </c>
      <c r="U25" s="1" t="s">
        <v>34</v>
      </c>
      <c r="V25" s="25" t="s">
        <v>186</v>
      </c>
      <c r="W2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5" s="36">
        <f>IFERROR(_xlfn.XLOOKUP(tblEnlaces[[#This Row],[Coste]],tblPesosCoste[Valor],tblPesosCoste[Coste],0),0)</f>
        <v>3</v>
      </c>
      <c r="Y25" s="36">
        <f>IFERROR(_xlfn.XLOOKUP(tblEnlaces[[#This Row],[Eficiencia]],tblPesosValorOperativo[Valor],tblPesosValorOperativo[Eficiencia],0),0)</f>
        <v>5</v>
      </c>
      <c r="Z25" s="36">
        <f>IFERROR(_xlfn.XLOOKUP(tblEnlaces[[#This Row],[Exposición]],tblPesosValorOperativo[Valor],tblPesosValorOperativo[Exposición],0),0)</f>
        <v>5</v>
      </c>
      <c r="AA25" s="36">
        <f>IFERROR(_xlfn.XLOOKUP(tblEnlaces[[#This Row],[Capacidad]],tblPesosValorOperativo[Valor],tblPesosValorOperativo[Capacidad],0),0)</f>
        <v>3</v>
      </c>
      <c r="AB25" s="36">
        <f>IFERROR(_xlfn.XLOOKUP(tblEnlaces[[#This Row],[Resiliencia]],tblPesosValorOperativo[Valor],tblPesosValorOperativo[Resiliencia],0),0)</f>
        <v>4</v>
      </c>
      <c r="AC25" s="36">
        <f>tblEnlaces[[#This Row],[Eficiencia (peso)]]+tblEnlaces[[#This Row],[Exposición (peso)]]+tblEnlaces[[#This Row],[Capacidad (peso)]]+tblEnlaces[[#This Row],[Resiliencia (peso)]]</f>
        <v>17</v>
      </c>
    </row>
    <row r="26" spans="2:29" x14ac:dyDescent="0.25">
      <c r="J26" s="1" t="s">
        <v>70</v>
      </c>
      <c r="K26" s="1" t="s">
        <v>38</v>
      </c>
      <c r="L26" s="1" t="s">
        <v>41</v>
      </c>
      <c r="M26" s="1" t="s">
        <v>29</v>
      </c>
      <c r="N26" s="1">
        <v>1</v>
      </c>
      <c r="O26" s="1" t="s">
        <v>30</v>
      </c>
      <c r="P26" s="20" t="s">
        <v>32</v>
      </c>
      <c r="Q26" s="20" t="s">
        <v>33</v>
      </c>
      <c r="R26" s="20" t="s">
        <v>31</v>
      </c>
      <c r="S26" s="20" t="s">
        <v>71</v>
      </c>
      <c r="T26" s="21" t="s">
        <v>33</v>
      </c>
      <c r="U26" s="1" t="s">
        <v>34</v>
      </c>
      <c r="V26" s="25" t="s">
        <v>72</v>
      </c>
      <c r="W2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6" s="36">
        <f>IFERROR(_xlfn.XLOOKUP(tblEnlaces[[#This Row],[Coste]],tblPesosCoste[Valor],tblPesosCoste[Coste],0),0)</f>
        <v>3</v>
      </c>
      <c r="Y26" s="36">
        <f>IFERROR(_xlfn.XLOOKUP(tblEnlaces[[#This Row],[Eficiencia]],tblPesosValorOperativo[Valor],tblPesosValorOperativo[Eficiencia],0),0)</f>
        <v>5</v>
      </c>
      <c r="Z26" s="36">
        <f>IFERROR(_xlfn.XLOOKUP(tblEnlaces[[#This Row],[Exposición]],tblPesosValorOperativo[Valor],tblPesosValorOperativo[Exposición],0),0)</f>
        <v>5</v>
      </c>
      <c r="AA26" s="36">
        <f>IFERROR(_xlfn.XLOOKUP(tblEnlaces[[#This Row],[Capacidad]],tblPesosValorOperativo[Valor],tblPesosValorOperativo[Capacidad],0),0)</f>
        <v>4</v>
      </c>
      <c r="AB26" s="36">
        <f>IFERROR(_xlfn.XLOOKUP(tblEnlaces[[#This Row],[Resiliencia]],tblPesosValorOperativo[Valor],tblPesosValorOperativo[Resiliencia],0),0)</f>
        <v>5</v>
      </c>
      <c r="AC26" s="36">
        <f>tblEnlaces[[#This Row],[Eficiencia (peso)]]+tblEnlaces[[#This Row],[Exposición (peso)]]+tblEnlaces[[#This Row],[Capacidad (peso)]]+tblEnlaces[[#This Row],[Resiliencia (peso)]]</f>
        <v>19</v>
      </c>
    </row>
    <row r="27" spans="2:29" x14ac:dyDescent="0.25">
      <c r="J27" s="1" t="s">
        <v>80</v>
      </c>
      <c r="K27" s="1" t="s">
        <v>46</v>
      </c>
      <c r="L27" s="1" t="s">
        <v>41</v>
      </c>
      <c r="M27" s="1" t="s">
        <v>29</v>
      </c>
      <c r="N27" s="1">
        <v>1</v>
      </c>
      <c r="O27" s="1" t="s">
        <v>42</v>
      </c>
      <c r="P27" s="22" t="s">
        <v>32</v>
      </c>
      <c r="Q27" s="22" t="s">
        <v>33</v>
      </c>
      <c r="R27" s="22" t="s">
        <v>31</v>
      </c>
      <c r="S27" s="22" t="s">
        <v>71</v>
      </c>
      <c r="T27" s="23" t="s">
        <v>33</v>
      </c>
      <c r="U27" s="1" t="s">
        <v>34</v>
      </c>
      <c r="V27" s="25" t="s">
        <v>81</v>
      </c>
      <c r="W2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7" s="36">
        <f>IFERROR(_xlfn.XLOOKUP(tblEnlaces[[#This Row],[Coste]],tblPesosCoste[Valor],tblPesosCoste[Coste],0),0)</f>
        <v>3</v>
      </c>
      <c r="Y27" s="36">
        <f>IFERROR(_xlfn.XLOOKUP(tblEnlaces[[#This Row],[Eficiencia]],tblPesosValorOperativo[Valor],tblPesosValorOperativo[Eficiencia],0),0)</f>
        <v>5</v>
      </c>
      <c r="Z27" s="36">
        <f>IFERROR(_xlfn.XLOOKUP(tblEnlaces[[#This Row],[Exposición]],tblPesosValorOperativo[Valor],tblPesosValorOperativo[Exposición],0),0)</f>
        <v>5</v>
      </c>
      <c r="AA27" s="36">
        <f>IFERROR(_xlfn.XLOOKUP(tblEnlaces[[#This Row],[Capacidad]],tblPesosValorOperativo[Valor],tblPesosValorOperativo[Capacidad],0),0)</f>
        <v>4</v>
      </c>
      <c r="AB27" s="36">
        <f>IFERROR(_xlfn.XLOOKUP(tblEnlaces[[#This Row],[Resiliencia]],tblPesosValorOperativo[Valor],tblPesosValorOperativo[Resiliencia],0),0)</f>
        <v>5</v>
      </c>
      <c r="AC27" s="36">
        <f>tblEnlaces[[#This Row],[Eficiencia (peso)]]+tblEnlaces[[#This Row],[Exposición (peso)]]+tblEnlaces[[#This Row],[Capacidad (peso)]]+tblEnlaces[[#This Row],[Resiliencia (peso)]]</f>
        <v>19</v>
      </c>
    </row>
    <row r="28" spans="2:29" x14ac:dyDescent="0.25">
      <c r="B28" s="29" t="s">
        <v>124</v>
      </c>
      <c r="C28" s="30"/>
      <c r="D28" s="30"/>
      <c r="E28" s="30"/>
      <c r="F28" s="30"/>
      <c r="G28" s="30"/>
      <c r="H28" s="31"/>
      <c r="J28" s="1" t="s">
        <v>133</v>
      </c>
      <c r="K28" s="1" t="s">
        <v>41</v>
      </c>
      <c r="L28" s="1" t="s">
        <v>105</v>
      </c>
      <c r="M28" s="1" t="s">
        <v>29</v>
      </c>
      <c r="N28" s="1">
        <v>1</v>
      </c>
      <c r="O28" s="1" t="s">
        <v>42</v>
      </c>
      <c r="P28" s="20" t="s">
        <v>32</v>
      </c>
      <c r="Q28" s="20" t="s">
        <v>33</v>
      </c>
      <c r="R28" s="20" t="s">
        <v>31</v>
      </c>
      <c r="S28" s="20" t="s">
        <v>71</v>
      </c>
      <c r="T28" s="21" t="s">
        <v>33</v>
      </c>
      <c r="U28" s="1" t="s">
        <v>34</v>
      </c>
      <c r="V28" s="25" t="s">
        <v>134</v>
      </c>
      <c r="W2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8" s="36">
        <f>IFERROR(_xlfn.XLOOKUP(tblEnlaces[[#This Row],[Coste]],tblPesosCoste[Valor],tblPesosCoste[Coste],0),0)</f>
        <v>3</v>
      </c>
      <c r="Y28" s="36">
        <f>IFERROR(_xlfn.XLOOKUP(tblEnlaces[[#This Row],[Eficiencia]],tblPesosValorOperativo[Valor],tblPesosValorOperativo[Eficiencia],0),0)</f>
        <v>5</v>
      </c>
      <c r="Z28" s="36">
        <f>IFERROR(_xlfn.XLOOKUP(tblEnlaces[[#This Row],[Exposición]],tblPesosValorOperativo[Valor],tblPesosValorOperativo[Exposición],0),0)</f>
        <v>5</v>
      </c>
      <c r="AA28" s="36">
        <f>IFERROR(_xlfn.XLOOKUP(tblEnlaces[[#This Row],[Capacidad]],tblPesosValorOperativo[Valor],tblPesosValorOperativo[Capacidad],0),0)</f>
        <v>4</v>
      </c>
      <c r="AB28" s="36">
        <f>IFERROR(_xlfn.XLOOKUP(tblEnlaces[[#This Row],[Resiliencia]],tblPesosValorOperativo[Valor],tblPesosValorOperativo[Resiliencia],0),0)</f>
        <v>5</v>
      </c>
      <c r="AC28" s="36">
        <f>tblEnlaces[[#This Row],[Eficiencia (peso)]]+tblEnlaces[[#This Row],[Exposición (peso)]]+tblEnlaces[[#This Row],[Capacidad (peso)]]+tblEnlaces[[#This Row],[Resiliencia (peso)]]</f>
        <v>19</v>
      </c>
    </row>
    <row r="29" spans="2:29" ht="15" x14ac:dyDescent="0.25">
      <c r="B29" s="74" t="s">
        <v>127</v>
      </c>
      <c r="C29" s="65"/>
      <c r="D29" s="65"/>
      <c r="E29" s="65"/>
      <c r="F29" s="65"/>
      <c r="G29" s="65"/>
      <c r="H29" s="75"/>
      <c r="J29" s="1" t="s">
        <v>131</v>
      </c>
      <c r="K29" s="1" t="s">
        <v>41</v>
      </c>
      <c r="L29" s="1" t="s">
        <v>101</v>
      </c>
      <c r="M29" s="1" t="s">
        <v>57</v>
      </c>
      <c r="N29" s="1">
        <v>1</v>
      </c>
      <c r="O29" s="1" t="s">
        <v>30</v>
      </c>
      <c r="P29" s="22" t="s">
        <v>32</v>
      </c>
      <c r="Q29" s="22" t="s">
        <v>33</v>
      </c>
      <c r="R29" s="22" t="s">
        <v>58</v>
      </c>
      <c r="S29" s="22" t="s">
        <v>32</v>
      </c>
      <c r="T29" s="23" t="s">
        <v>32</v>
      </c>
      <c r="U29" s="1" t="s">
        <v>34</v>
      </c>
      <c r="V29" s="25" t="s">
        <v>132</v>
      </c>
      <c r="W29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29" s="36">
        <f>IFERROR(_xlfn.XLOOKUP(tblEnlaces[[#This Row],[Coste]],tblPesosCoste[Valor],tblPesosCoste[Coste],0),0)</f>
        <v>3</v>
      </c>
      <c r="Y29" s="36">
        <f>IFERROR(_xlfn.XLOOKUP(tblEnlaces[[#This Row],[Eficiencia]],tblPesosValorOperativo[Valor],tblPesosValorOperativo[Eficiencia],0),0)</f>
        <v>5</v>
      </c>
      <c r="Z29" s="36">
        <f>IFERROR(_xlfn.XLOOKUP(tblEnlaces[[#This Row],[Exposición]],tblPesosValorOperativo[Valor],tblPesosValorOperativo[Exposición],0),0)</f>
        <v>4</v>
      </c>
      <c r="AA29" s="36">
        <f>IFERROR(_xlfn.XLOOKUP(tblEnlaces[[#This Row],[Capacidad]],tblPesosValorOperativo[Valor],tblPesosValorOperativo[Capacidad],0),0)</f>
        <v>3</v>
      </c>
      <c r="AB29" s="36">
        <f>IFERROR(_xlfn.XLOOKUP(tblEnlaces[[#This Row],[Resiliencia]],tblPesosValorOperativo[Valor],tblPesosValorOperativo[Resiliencia],0),0)</f>
        <v>3</v>
      </c>
      <c r="AC29" s="36">
        <f>tblEnlaces[[#This Row],[Eficiencia (peso)]]+tblEnlaces[[#This Row],[Exposición (peso)]]+tblEnlaces[[#This Row],[Capacidad (peso)]]+tblEnlaces[[#This Row],[Resiliencia (peso)]]</f>
        <v>15</v>
      </c>
    </row>
    <row r="30" spans="2:29" ht="15" x14ac:dyDescent="0.25">
      <c r="B30" s="68" t="s">
        <v>130</v>
      </c>
      <c r="C30" s="69"/>
      <c r="D30" s="69"/>
      <c r="E30" s="69"/>
      <c r="F30" s="69"/>
      <c r="G30" s="69"/>
      <c r="H30" s="70"/>
      <c r="J30" s="1" t="s">
        <v>48</v>
      </c>
      <c r="K30" s="1" t="s">
        <v>25</v>
      </c>
      <c r="L30" s="1" t="s">
        <v>49</v>
      </c>
      <c r="M30" s="1" t="s">
        <v>29</v>
      </c>
      <c r="N30" s="1">
        <v>1</v>
      </c>
      <c r="O30" s="1" t="s">
        <v>42</v>
      </c>
      <c r="P30" s="20" t="s">
        <v>32</v>
      </c>
      <c r="Q30" s="20" t="s">
        <v>33</v>
      </c>
      <c r="R30" s="20" t="s">
        <v>32</v>
      </c>
      <c r="S30" s="20" t="s">
        <v>32</v>
      </c>
      <c r="T30" s="21" t="s">
        <v>32</v>
      </c>
      <c r="U30" s="1" t="s">
        <v>34</v>
      </c>
      <c r="V30" s="25" t="s">
        <v>50</v>
      </c>
      <c r="W30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0" s="36">
        <f>IFERROR(_xlfn.XLOOKUP(tblEnlaces[[#This Row],[Coste]],tblPesosCoste[Valor],tblPesosCoste[Coste],0),0)</f>
        <v>3</v>
      </c>
      <c r="Y30" s="36">
        <f>IFERROR(_xlfn.XLOOKUP(tblEnlaces[[#This Row],[Eficiencia]],tblPesosValorOperativo[Valor],tblPesosValorOperativo[Eficiencia],0),0)</f>
        <v>5</v>
      </c>
      <c r="Z30" s="36">
        <f>IFERROR(_xlfn.XLOOKUP(tblEnlaces[[#This Row],[Exposición]],tblPesosValorOperativo[Valor],tblPesosValorOperativo[Exposición],0),0)</f>
        <v>3</v>
      </c>
      <c r="AA30" s="36">
        <f>IFERROR(_xlfn.XLOOKUP(tblEnlaces[[#This Row],[Capacidad]],tblPesosValorOperativo[Valor],tblPesosValorOperativo[Capacidad],0),0)</f>
        <v>3</v>
      </c>
      <c r="AB30" s="36">
        <f>IFERROR(_xlfn.XLOOKUP(tblEnlaces[[#This Row],[Resiliencia]],tblPesosValorOperativo[Valor],tblPesosValorOperativo[Resiliencia],0),0)</f>
        <v>3</v>
      </c>
      <c r="AC30" s="36">
        <f>tblEnlaces[[#This Row],[Eficiencia (peso)]]+tblEnlaces[[#This Row],[Exposición (peso)]]+tblEnlaces[[#This Row],[Capacidad (peso)]]+tblEnlaces[[#This Row],[Resiliencia (peso)]]</f>
        <v>14</v>
      </c>
    </row>
    <row r="31" spans="2:29" x14ac:dyDescent="0.25">
      <c r="J31" s="1" t="s">
        <v>74</v>
      </c>
      <c r="K31" s="1" t="s">
        <v>38</v>
      </c>
      <c r="L31" s="1" t="s">
        <v>49</v>
      </c>
      <c r="M31" s="1" t="s">
        <v>57</v>
      </c>
      <c r="N31" s="1">
        <v>1</v>
      </c>
      <c r="O31" s="1" t="s">
        <v>30</v>
      </c>
      <c r="P31" s="22" t="s">
        <v>32</v>
      </c>
      <c r="Q31" s="22" t="s">
        <v>33</v>
      </c>
      <c r="R31" s="22" t="s">
        <v>32</v>
      </c>
      <c r="S31" s="22" t="s">
        <v>32</v>
      </c>
      <c r="T31" s="23" t="s">
        <v>32</v>
      </c>
      <c r="U31" s="1" t="s">
        <v>34</v>
      </c>
      <c r="V31" s="25" t="s">
        <v>75</v>
      </c>
      <c r="W31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1" s="36">
        <f>IFERROR(_xlfn.XLOOKUP(tblEnlaces[[#This Row],[Coste]],tblPesosCoste[Valor],tblPesosCoste[Coste],0),0)</f>
        <v>3</v>
      </c>
      <c r="Y31" s="36">
        <f>IFERROR(_xlfn.XLOOKUP(tblEnlaces[[#This Row],[Eficiencia]],tblPesosValorOperativo[Valor],tblPesosValorOperativo[Eficiencia],0),0)</f>
        <v>5</v>
      </c>
      <c r="Z31" s="36">
        <f>IFERROR(_xlfn.XLOOKUP(tblEnlaces[[#This Row],[Exposición]],tblPesosValorOperativo[Valor],tblPesosValorOperativo[Exposición],0),0)</f>
        <v>3</v>
      </c>
      <c r="AA31" s="36">
        <f>IFERROR(_xlfn.XLOOKUP(tblEnlaces[[#This Row],[Capacidad]],tblPesosValorOperativo[Valor],tblPesosValorOperativo[Capacidad],0),0)</f>
        <v>3</v>
      </c>
      <c r="AB31" s="36">
        <f>IFERROR(_xlfn.XLOOKUP(tblEnlaces[[#This Row],[Resiliencia]],tblPesosValorOperativo[Valor],tblPesosValorOperativo[Resiliencia],0),0)</f>
        <v>3</v>
      </c>
      <c r="AC31" s="36">
        <f>tblEnlaces[[#This Row],[Eficiencia (peso)]]+tblEnlaces[[#This Row],[Exposición (peso)]]+tblEnlaces[[#This Row],[Capacidad (peso)]]+tblEnlaces[[#This Row],[Resiliencia (peso)]]</f>
        <v>14</v>
      </c>
    </row>
    <row r="32" spans="2:29" x14ac:dyDescent="0.25">
      <c r="J32" s="1" t="s">
        <v>114</v>
      </c>
      <c r="K32" s="1" t="s">
        <v>65</v>
      </c>
      <c r="L32" s="1" t="s">
        <v>49</v>
      </c>
      <c r="M32" s="1" t="s">
        <v>57</v>
      </c>
      <c r="N32" s="1">
        <v>1</v>
      </c>
      <c r="O32" s="1" t="s">
        <v>42</v>
      </c>
      <c r="P32" s="20" t="s">
        <v>32</v>
      </c>
      <c r="Q32" s="20" t="s">
        <v>33</v>
      </c>
      <c r="R32" s="20" t="s">
        <v>32</v>
      </c>
      <c r="S32" s="20" t="s">
        <v>32</v>
      </c>
      <c r="T32" s="21" t="s">
        <v>32</v>
      </c>
      <c r="U32" s="1" t="s">
        <v>34</v>
      </c>
      <c r="V32" s="25" t="s">
        <v>115</v>
      </c>
      <c r="W32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2" s="36">
        <f>IFERROR(_xlfn.XLOOKUP(tblEnlaces[[#This Row],[Coste]],tblPesosCoste[Valor],tblPesosCoste[Coste],0),0)</f>
        <v>3</v>
      </c>
      <c r="Y32" s="36">
        <f>IFERROR(_xlfn.XLOOKUP(tblEnlaces[[#This Row],[Eficiencia]],tblPesosValorOperativo[Valor],tblPesosValorOperativo[Eficiencia],0),0)</f>
        <v>5</v>
      </c>
      <c r="Z32" s="36">
        <f>IFERROR(_xlfn.XLOOKUP(tblEnlaces[[#This Row],[Exposición]],tblPesosValorOperativo[Valor],tblPesosValorOperativo[Exposición],0),0)</f>
        <v>3</v>
      </c>
      <c r="AA32" s="36">
        <f>IFERROR(_xlfn.XLOOKUP(tblEnlaces[[#This Row],[Capacidad]],tblPesosValorOperativo[Valor],tblPesosValorOperativo[Capacidad],0),0)</f>
        <v>3</v>
      </c>
      <c r="AB32" s="36">
        <f>IFERROR(_xlfn.XLOOKUP(tblEnlaces[[#This Row],[Resiliencia]],tblPesosValorOperativo[Valor],tblPesosValorOperativo[Resiliencia],0),0)</f>
        <v>3</v>
      </c>
      <c r="AC32" s="36">
        <f>tblEnlaces[[#This Row],[Eficiencia (peso)]]+tblEnlaces[[#This Row],[Exposición (peso)]]+tblEnlaces[[#This Row],[Capacidad (peso)]]+tblEnlaces[[#This Row],[Resiliencia (peso)]]</f>
        <v>14</v>
      </c>
    </row>
    <row r="33" spans="10:29" x14ac:dyDescent="0.25">
      <c r="J33" s="1" t="s">
        <v>137</v>
      </c>
      <c r="K33" s="1" t="s">
        <v>49</v>
      </c>
      <c r="L33" s="1" t="s">
        <v>109</v>
      </c>
      <c r="M33" s="1" t="s">
        <v>57</v>
      </c>
      <c r="N33" s="1">
        <v>1</v>
      </c>
      <c r="O33" s="1" t="s">
        <v>30</v>
      </c>
      <c r="P33" s="20" t="s">
        <v>32</v>
      </c>
      <c r="Q33" s="20" t="s">
        <v>33</v>
      </c>
      <c r="R33" s="20" t="s">
        <v>32</v>
      </c>
      <c r="S33" s="20" t="s">
        <v>32</v>
      </c>
      <c r="T33" s="21" t="s">
        <v>32</v>
      </c>
      <c r="U33" s="1" t="s">
        <v>34</v>
      </c>
      <c r="V33" s="25" t="s">
        <v>138</v>
      </c>
      <c r="W33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3" s="36">
        <f>IFERROR(_xlfn.XLOOKUP(tblEnlaces[[#This Row],[Coste]],tblPesosCoste[Valor],tblPesosCoste[Coste],0),0)</f>
        <v>3</v>
      </c>
      <c r="Y33" s="36">
        <f>IFERROR(_xlfn.XLOOKUP(tblEnlaces[[#This Row],[Eficiencia]],tblPesosValorOperativo[Valor],tblPesosValorOperativo[Eficiencia],0),0)</f>
        <v>5</v>
      </c>
      <c r="Z33" s="36">
        <f>IFERROR(_xlfn.XLOOKUP(tblEnlaces[[#This Row],[Exposición]],tblPesosValorOperativo[Valor],tblPesosValorOperativo[Exposición],0),0)</f>
        <v>3</v>
      </c>
      <c r="AA33" s="36">
        <f>IFERROR(_xlfn.XLOOKUP(tblEnlaces[[#This Row],[Capacidad]],tblPesosValorOperativo[Valor],tblPesosValorOperativo[Capacidad],0),0)</f>
        <v>3</v>
      </c>
      <c r="AB33" s="36">
        <f>IFERROR(_xlfn.XLOOKUP(tblEnlaces[[#This Row],[Resiliencia]],tblPesosValorOperativo[Valor],tblPesosValorOperativo[Resiliencia],0),0)</f>
        <v>3</v>
      </c>
      <c r="AC33" s="36">
        <f>tblEnlaces[[#This Row],[Eficiencia (peso)]]+tblEnlaces[[#This Row],[Exposición (peso)]]+tblEnlaces[[#This Row],[Capacidad (peso)]]+tblEnlaces[[#This Row],[Resiliencia (peso)]]</f>
        <v>14</v>
      </c>
    </row>
    <row r="34" spans="10:29" x14ac:dyDescent="0.25">
      <c r="J34" s="1" t="s">
        <v>167</v>
      </c>
      <c r="K34" s="1" t="s">
        <v>105</v>
      </c>
      <c r="L34" s="1" t="s">
        <v>49</v>
      </c>
      <c r="M34" s="1" t="s">
        <v>29</v>
      </c>
      <c r="N34" s="1">
        <v>1</v>
      </c>
      <c r="O34" s="1" t="s">
        <v>42</v>
      </c>
      <c r="P34" s="22" t="s">
        <v>32</v>
      </c>
      <c r="Q34" s="22" t="s">
        <v>33</v>
      </c>
      <c r="R34" s="22" t="s">
        <v>32</v>
      </c>
      <c r="S34" s="22" t="s">
        <v>32</v>
      </c>
      <c r="T34" s="23" t="s">
        <v>32</v>
      </c>
      <c r="U34" s="1" t="s">
        <v>34</v>
      </c>
      <c r="V34" s="25" t="s">
        <v>168</v>
      </c>
      <c r="W34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4" s="36">
        <f>IFERROR(_xlfn.XLOOKUP(tblEnlaces[[#This Row],[Coste]],tblPesosCoste[Valor],tblPesosCoste[Coste],0),0)</f>
        <v>3</v>
      </c>
      <c r="Y34" s="36">
        <f>IFERROR(_xlfn.XLOOKUP(tblEnlaces[[#This Row],[Eficiencia]],tblPesosValorOperativo[Valor],tblPesosValorOperativo[Eficiencia],0),0)</f>
        <v>5</v>
      </c>
      <c r="Z34" s="36">
        <f>IFERROR(_xlfn.XLOOKUP(tblEnlaces[[#This Row],[Exposición]],tblPesosValorOperativo[Valor],tblPesosValorOperativo[Exposición],0),0)</f>
        <v>3</v>
      </c>
      <c r="AA34" s="36">
        <f>IFERROR(_xlfn.XLOOKUP(tblEnlaces[[#This Row],[Capacidad]],tblPesosValorOperativo[Valor],tblPesosValorOperativo[Capacidad],0),0)</f>
        <v>3</v>
      </c>
      <c r="AB34" s="36">
        <f>IFERROR(_xlfn.XLOOKUP(tblEnlaces[[#This Row],[Resiliencia]],tblPesosValorOperativo[Valor],tblPesosValorOperativo[Resiliencia],0),0)</f>
        <v>3</v>
      </c>
      <c r="AC34" s="36">
        <f>tblEnlaces[[#This Row],[Eficiencia (peso)]]+tblEnlaces[[#This Row],[Exposición (peso)]]+tblEnlaces[[#This Row],[Capacidad (peso)]]+tblEnlaces[[#This Row],[Resiliencia (peso)]]</f>
        <v>14</v>
      </c>
    </row>
    <row r="35" spans="10:29" x14ac:dyDescent="0.25">
      <c r="J35" s="1" t="s">
        <v>187</v>
      </c>
      <c r="K35" s="1" t="s">
        <v>49</v>
      </c>
      <c r="L35" s="1" t="s">
        <v>51</v>
      </c>
      <c r="M35" s="1" t="s">
        <v>57</v>
      </c>
      <c r="N35" s="1">
        <v>1</v>
      </c>
      <c r="O35" s="1" t="s">
        <v>42</v>
      </c>
      <c r="P35" s="22" t="s">
        <v>32</v>
      </c>
      <c r="Q35" s="22" t="s">
        <v>33</v>
      </c>
      <c r="R35" s="22" t="s">
        <v>32</v>
      </c>
      <c r="S35" s="22" t="s">
        <v>32</v>
      </c>
      <c r="T35" s="23" t="s">
        <v>32</v>
      </c>
      <c r="U35" s="1" t="s">
        <v>34</v>
      </c>
      <c r="V35" s="25" t="s">
        <v>188</v>
      </c>
      <c r="W3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5" s="36">
        <f>IFERROR(_xlfn.XLOOKUP(tblEnlaces[[#This Row],[Coste]],tblPesosCoste[Valor],tblPesosCoste[Coste],0),0)</f>
        <v>3</v>
      </c>
      <c r="Y35" s="36">
        <f>IFERROR(_xlfn.XLOOKUP(tblEnlaces[[#This Row],[Eficiencia]],tblPesosValorOperativo[Valor],tblPesosValorOperativo[Eficiencia],0),0)</f>
        <v>5</v>
      </c>
      <c r="Z35" s="36">
        <f>IFERROR(_xlfn.XLOOKUP(tblEnlaces[[#This Row],[Exposición]],tblPesosValorOperativo[Valor],tblPesosValorOperativo[Exposición],0),0)</f>
        <v>3</v>
      </c>
      <c r="AA35" s="36">
        <f>IFERROR(_xlfn.XLOOKUP(tblEnlaces[[#This Row],[Capacidad]],tblPesosValorOperativo[Valor],tblPesosValorOperativo[Capacidad],0),0)</f>
        <v>3</v>
      </c>
      <c r="AB35" s="36">
        <f>IFERROR(_xlfn.XLOOKUP(tblEnlaces[[#This Row],[Resiliencia]],tblPesosValorOperativo[Valor],tblPesosValorOperativo[Resiliencia],0),0)</f>
        <v>3</v>
      </c>
      <c r="AC35" s="36">
        <f>tblEnlaces[[#This Row],[Eficiencia (peso)]]+tblEnlaces[[#This Row],[Exposición (peso)]]+tblEnlaces[[#This Row],[Capacidad (peso)]]+tblEnlaces[[#This Row],[Resiliencia (peso)]]</f>
        <v>14</v>
      </c>
    </row>
    <row r="36" spans="10:29" x14ac:dyDescent="0.25">
      <c r="J36" s="1" t="s">
        <v>84</v>
      </c>
      <c r="K36" s="1" t="s">
        <v>46</v>
      </c>
      <c r="L36" s="1" t="s">
        <v>49</v>
      </c>
      <c r="M36" s="1" t="s">
        <v>29</v>
      </c>
      <c r="N36" s="1">
        <v>1</v>
      </c>
      <c r="O36" s="1" t="s">
        <v>42</v>
      </c>
      <c r="P36" s="20" t="s">
        <v>32</v>
      </c>
      <c r="Q36" s="20" t="s">
        <v>33</v>
      </c>
      <c r="R36" s="20" t="s">
        <v>32</v>
      </c>
      <c r="S36" s="20" t="s">
        <v>71</v>
      </c>
      <c r="T36" s="21" t="s">
        <v>32</v>
      </c>
      <c r="U36" s="1" t="s">
        <v>34</v>
      </c>
      <c r="V36" s="25" t="s">
        <v>85</v>
      </c>
      <c r="W3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6" s="36">
        <f>IFERROR(_xlfn.XLOOKUP(tblEnlaces[[#This Row],[Coste]],tblPesosCoste[Valor],tblPesosCoste[Coste],0),0)</f>
        <v>3</v>
      </c>
      <c r="Y36" s="36">
        <f>IFERROR(_xlfn.XLOOKUP(tblEnlaces[[#This Row],[Eficiencia]],tblPesosValorOperativo[Valor],tblPesosValorOperativo[Eficiencia],0),0)</f>
        <v>5</v>
      </c>
      <c r="Z36" s="36">
        <f>IFERROR(_xlfn.XLOOKUP(tblEnlaces[[#This Row],[Exposición]],tblPesosValorOperativo[Valor],tblPesosValorOperativo[Exposición],0),0)</f>
        <v>3</v>
      </c>
      <c r="AA36" s="36">
        <f>IFERROR(_xlfn.XLOOKUP(tblEnlaces[[#This Row],[Capacidad]],tblPesosValorOperativo[Valor],tblPesosValorOperativo[Capacidad],0),0)</f>
        <v>4</v>
      </c>
      <c r="AB36" s="36">
        <f>IFERROR(_xlfn.XLOOKUP(tblEnlaces[[#This Row],[Resiliencia]],tblPesosValorOperativo[Valor],tblPesosValorOperativo[Resiliencia],0),0)</f>
        <v>3</v>
      </c>
      <c r="AC36" s="36">
        <f>tblEnlaces[[#This Row],[Eficiencia (peso)]]+tblEnlaces[[#This Row],[Exposición (peso)]]+tblEnlaces[[#This Row],[Capacidad (peso)]]+tblEnlaces[[#This Row],[Resiliencia (peso)]]</f>
        <v>15</v>
      </c>
    </row>
    <row r="37" spans="10:29" x14ac:dyDescent="0.25">
      <c r="J37" s="1" t="s">
        <v>135</v>
      </c>
      <c r="K37" s="1" t="s">
        <v>49</v>
      </c>
      <c r="L37" s="1" t="s">
        <v>105</v>
      </c>
      <c r="M37" s="1" t="s">
        <v>29</v>
      </c>
      <c r="N37" s="1">
        <v>1</v>
      </c>
      <c r="O37" s="1" t="s">
        <v>42</v>
      </c>
      <c r="P37" s="22" t="s">
        <v>32</v>
      </c>
      <c r="Q37" s="22" t="s">
        <v>33</v>
      </c>
      <c r="R37" s="22" t="s">
        <v>32</v>
      </c>
      <c r="S37" s="22" t="s">
        <v>71</v>
      </c>
      <c r="T37" s="23" t="s">
        <v>32</v>
      </c>
      <c r="U37" s="1" t="s">
        <v>34</v>
      </c>
      <c r="V37" s="25" t="s">
        <v>136</v>
      </c>
      <c r="W3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7" s="36">
        <f>IFERROR(_xlfn.XLOOKUP(tblEnlaces[[#This Row],[Coste]],tblPesosCoste[Valor],tblPesosCoste[Coste],0),0)</f>
        <v>3</v>
      </c>
      <c r="Y37" s="36">
        <f>IFERROR(_xlfn.XLOOKUP(tblEnlaces[[#This Row],[Eficiencia]],tblPesosValorOperativo[Valor],tblPesosValorOperativo[Eficiencia],0),0)</f>
        <v>5</v>
      </c>
      <c r="Z37" s="36">
        <f>IFERROR(_xlfn.XLOOKUP(tblEnlaces[[#This Row],[Exposición]],tblPesosValorOperativo[Valor],tblPesosValorOperativo[Exposición],0),0)</f>
        <v>3</v>
      </c>
      <c r="AA37" s="36">
        <f>IFERROR(_xlfn.XLOOKUP(tblEnlaces[[#This Row],[Capacidad]],tblPesosValorOperativo[Valor],tblPesosValorOperativo[Capacidad],0),0)</f>
        <v>4</v>
      </c>
      <c r="AB37" s="36">
        <f>IFERROR(_xlfn.XLOOKUP(tblEnlaces[[#This Row],[Resiliencia]],tblPesosValorOperativo[Valor],tblPesosValorOperativo[Resiliencia],0),0)</f>
        <v>3</v>
      </c>
      <c r="AC37" s="36">
        <f>tblEnlaces[[#This Row],[Eficiencia (peso)]]+tblEnlaces[[#This Row],[Exposición (peso)]]+tblEnlaces[[#This Row],[Capacidad (peso)]]+tblEnlaces[[#This Row],[Resiliencia (peso)]]</f>
        <v>15</v>
      </c>
    </row>
    <row r="38" spans="10:29" x14ac:dyDescent="0.25">
      <c r="J38" s="1" t="s">
        <v>143</v>
      </c>
      <c r="K38" s="1" t="s">
        <v>82</v>
      </c>
      <c r="L38" s="1" t="s">
        <v>109</v>
      </c>
      <c r="M38" s="1" t="s">
        <v>29</v>
      </c>
      <c r="N38" s="1">
        <v>1</v>
      </c>
      <c r="O38" s="1" t="s">
        <v>30</v>
      </c>
      <c r="P38" s="22" t="s">
        <v>32</v>
      </c>
      <c r="Q38" s="22" t="s">
        <v>33</v>
      </c>
      <c r="R38" s="22" t="s">
        <v>71</v>
      </c>
      <c r="S38" s="22" t="s">
        <v>32</v>
      </c>
      <c r="T38" s="23" t="s">
        <v>32</v>
      </c>
      <c r="U38" s="1" t="s">
        <v>34</v>
      </c>
      <c r="V38" s="25" t="s">
        <v>144</v>
      </c>
      <c r="W3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8" s="36">
        <f>IFERROR(_xlfn.XLOOKUP(tblEnlaces[[#This Row],[Coste]],tblPesosCoste[Valor],tblPesosCoste[Coste],0),0)</f>
        <v>3</v>
      </c>
      <c r="Y38" s="36">
        <f>IFERROR(_xlfn.XLOOKUP(tblEnlaces[[#This Row],[Eficiencia]],tblPesosValorOperativo[Valor],tblPesosValorOperativo[Eficiencia],0),0)</f>
        <v>5</v>
      </c>
      <c r="Z38" s="36">
        <f>IFERROR(_xlfn.XLOOKUP(tblEnlaces[[#This Row],[Exposición]],tblPesosValorOperativo[Valor],tblPesosValorOperativo[Exposición],0),0)</f>
        <v>2</v>
      </c>
      <c r="AA38" s="36">
        <f>IFERROR(_xlfn.XLOOKUP(tblEnlaces[[#This Row],[Capacidad]],tblPesosValorOperativo[Valor],tblPesosValorOperativo[Capacidad],0),0)</f>
        <v>3</v>
      </c>
      <c r="AB38" s="36">
        <f>IFERROR(_xlfn.XLOOKUP(tblEnlaces[[#This Row],[Resiliencia]],tblPesosValorOperativo[Valor],tblPesosValorOperativo[Resiliencia],0),0)</f>
        <v>3</v>
      </c>
      <c r="AC38" s="36">
        <f>tblEnlaces[[#This Row],[Eficiencia (peso)]]+tblEnlaces[[#This Row],[Exposición (peso)]]+tblEnlaces[[#This Row],[Capacidad (peso)]]+tblEnlaces[[#This Row],[Resiliencia (peso)]]</f>
        <v>13</v>
      </c>
    </row>
    <row r="39" spans="10:29" x14ac:dyDescent="0.25">
      <c r="J39" s="1" t="s">
        <v>173</v>
      </c>
      <c r="K39" s="1" t="s">
        <v>109</v>
      </c>
      <c r="L39" s="1" t="s">
        <v>82</v>
      </c>
      <c r="M39" s="1" t="s">
        <v>29</v>
      </c>
      <c r="N39" s="1">
        <v>1</v>
      </c>
      <c r="O39" s="1" t="s">
        <v>30</v>
      </c>
      <c r="P39" s="20" t="s">
        <v>32</v>
      </c>
      <c r="Q39" s="20" t="s">
        <v>33</v>
      </c>
      <c r="R39" s="20" t="s">
        <v>71</v>
      </c>
      <c r="S39" s="20" t="s">
        <v>32</v>
      </c>
      <c r="T39" s="21" t="s">
        <v>32</v>
      </c>
      <c r="U39" s="1" t="s">
        <v>34</v>
      </c>
      <c r="V39" s="25" t="s">
        <v>174</v>
      </c>
      <c r="W39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39" s="36">
        <f>IFERROR(_xlfn.XLOOKUP(tblEnlaces[[#This Row],[Coste]],tblPesosCoste[Valor],tblPesosCoste[Coste],0),0)</f>
        <v>3</v>
      </c>
      <c r="Y39" s="36">
        <f>IFERROR(_xlfn.XLOOKUP(tblEnlaces[[#This Row],[Eficiencia]],tblPesosValorOperativo[Valor],tblPesosValorOperativo[Eficiencia],0),0)</f>
        <v>5</v>
      </c>
      <c r="Z39" s="36">
        <f>IFERROR(_xlfn.XLOOKUP(tblEnlaces[[#This Row],[Exposición]],tblPesosValorOperativo[Valor],tblPesosValorOperativo[Exposición],0),0)</f>
        <v>2</v>
      </c>
      <c r="AA39" s="36">
        <f>IFERROR(_xlfn.XLOOKUP(tblEnlaces[[#This Row],[Capacidad]],tblPesosValorOperativo[Valor],tblPesosValorOperativo[Capacidad],0),0)</f>
        <v>3</v>
      </c>
      <c r="AB39" s="36">
        <f>IFERROR(_xlfn.XLOOKUP(tblEnlaces[[#This Row],[Resiliencia]],tblPesosValorOperativo[Valor],tblPesosValorOperativo[Resiliencia],0),0)</f>
        <v>3</v>
      </c>
      <c r="AC39" s="36">
        <f>tblEnlaces[[#This Row],[Eficiencia (peso)]]+tblEnlaces[[#This Row],[Exposición (peso)]]+tblEnlaces[[#This Row],[Capacidad (peso)]]+tblEnlaces[[#This Row],[Resiliencia (peso)]]</f>
        <v>13</v>
      </c>
    </row>
    <row r="40" spans="10:29" x14ac:dyDescent="0.25">
      <c r="J40" s="1" t="s">
        <v>27</v>
      </c>
      <c r="K40" s="1" t="s">
        <v>25</v>
      </c>
      <c r="L40" s="1" t="s">
        <v>28</v>
      </c>
      <c r="M40" s="1" t="s">
        <v>29</v>
      </c>
      <c r="N40" s="1">
        <v>1</v>
      </c>
      <c r="O40" s="1" t="s">
        <v>30</v>
      </c>
      <c r="P40" s="20" t="s">
        <v>31</v>
      </c>
      <c r="Q40" s="20" t="s">
        <v>32</v>
      </c>
      <c r="R40" s="20" t="s">
        <v>31</v>
      </c>
      <c r="S40" s="20" t="s">
        <v>33</v>
      </c>
      <c r="T40" s="21" t="s">
        <v>33</v>
      </c>
      <c r="U40" s="1" t="s">
        <v>34</v>
      </c>
      <c r="V40" s="25" t="s">
        <v>35</v>
      </c>
      <c r="W40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0" s="36">
        <f>IFERROR(_xlfn.XLOOKUP(tblEnlaces[[#This Row],[Coste]],tblPesosCoste[Valor],tblPesosCoste[Coste],0),0)</f>
        <v>5</v>
      </c>
      <c r="Y40" s="36">
        <f>IFERROR(_xlfn.XLOOKUP(tblEnlaces[[#This Row],[Eficiencia]],tblPesosValorOperativo[Valor],tblPesosValorOperativo[Eficiencia],0),0)</f>
        <v>3</v>
      </c>
      <c r="Z40" s="36">
        <f>IFERROR(_xlfn.XLOOKUP(tblEnlaces[[#This Row],[Exposición]],tblPesosValorOperativo[Valor],tblPesosValorOperativo[Exposición],0),0)</f>
        <v>5</v>
      </c>
      <c r="AA40" s="36">
        <f>IFERROR(_xlfn.XLOOKUP(tblEnlaces[[#This Row],[Capacidad]],tblPesosValorOperativo[Valor],tblPesosValorOperativo[Capacidad],0),0)</f>
        <v>5</v>
      </c>
      <c r="AB40" s="36">
        <f>IFERROR(_xlfn.XLOOKUP(tblEnlaces[[#This Row],[Resiliencia]],tblPesosValorOperativo[Valor],tblPesosValorOperativo[Resiliencia],0),0)</f>
        <v>5</v>
      </c>
      <c r="AC40" s="36">
        <f>tblEnlaces[[#This Row],[Eficiencia (peso)]]+tblEnlaces[[#This Row],[Exposición (peso)]]+tblEnlaces[[#This Row],[Capacidad (peso)]]+tblEnlaces[[#This Row],[Resiliencia (peso)]]</f>
        <v>18</v>
      </c>
    </row>
    <row r="41" spans="10:29" x14ac:dyDescent="0.25">
      <c r="J41" s="1" t="s">
        <v>163</v>
      </c>
      <c r="K41" s="1" t="s">
        <v>105</v>
      </c>
      <c r="L41" s="1" t="s">
        <v>28</v>
      </c>
      <c r="M41" s="1" t="s">
        <v>29</v>
      </c>
      <c r="N41" s="1">
        <v>1</v>
      </c>
      <c r="O41" s="1" t="s">
        <v>30</v>
      </c>
      <c r="P41" s="22" t="s">
        <v>31</v>
      </c>
      <c r="Q41" s="22" t="s">
        <v>32</v>
      </c>
      <c r="R41" s="22" t="s">
        <v>31</v>
      </c>
      <c r="S41" s="22" t="s">
        <v>32</v>
      </c>
      <c r="T41" s="23" t="s">
        <v>33</v>
      </c>
      <c r="U41" s="1" t="s">
        <v>34</v>
      </c>
      <c r="V41" s="25" t="s">
        <v>164</v>
      </c>
      <c r="W41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1" s="36">
        <f>IFERROR(_xlfn.XLOOKUP(tblEnlaces[[#This Row],[Coste]],tblPesosCoste[Valor],tblPesosCoste[Coste],0),0)</f>
        <v>5</v>
      </c>
      <c r="Y41" s="36">
        <f>IFERROR(_xlfn.XLOOKUP(tblEnlaces[[#This Row],[Eficiencia]],tblPesosValorOperativo[Valor],tblPesosValorOperativo[Eficiencia],0),0)</f>
        <v>3</v>
      </c>
      <c r="Z41" s="36">
        <f>IFERROR(_xlfn.XLOOKUP(tblEnlaces[[#This Row],[Exposición]],tblPesosValorOperativo[Valor],tblPesosValorOperativo[Exposición],0),0)</f>
        <v>5</v>
      </c>
      <c r="AA41" s="36">
        <f>IFERROR(_xlfn.XLOOKUP(tblEnlaces[[#This Row],[Capacidad]],tblPesosValorOperativo[Valor],tblPesosValorOperativo[Capacidad],0),0)</f>
        <v>3</v>
      </c>
      <c r="AB41" s="36">
        <f>IFERROR(_xlfn.XLOOKUP(tblEnlaces[[#This Row],[Resiliencia]],tblPesosValorOperativo[Valor],tblPesosValorOperativo[Resiliencia],0),0)</f>
        <v>5</v>
      </c>
      <c r="AC41" s="36">
        <f>tblEnlaces[[#This Row],[Eficiencia (peso)]]+tblEnlaces[[#This Row],[Exposición (peso)]]+tblEnlaces[[#This Row],[Capacidad (peso)]]+tblEnlaces[[#This Row],[Resiliencia (peso)]]</f>
        <v>16</v>
      </c>
    </row>
    <row r="42" spans="10:29" x14ac:dyDescent="0.25">
      <c r="J42" s="1" t="s">
        <v>183</v>
      </c>
      <c r="K42" s="1" t="s">
        <v>28</v>
      </c>
      <c r="L42" s="1" t="s">
        <v>51</v>
      </c>
      <c r="M42" s="1" t="s">
        <v>57</v>
      </c>
      <c r="N42" s="1">
        <v>1</v>
      </c>
      <c r="O42" s="1" t="s">
        <v>30</v>
      </c>
      <c r="P42" s="22" t="s">
        <v>31</v>
      </c>
      <c r="Q42" s="22" t="s">
        <v>32</v>
      </c>
      <c r="R42" s="22" t="s">
        <v>31</v>
      </c>
      <c r="S42" s="22" t="s">
        <v>32</v>
      </c>
      <c r="T42" s="23" t="s">
        <v>71</v>
      </c>
      <c r="U42" s="1" t="s">
        <v>34</v>
      </c>
      <c r="V42" s="25" t="s">
        <v>184</v>
      </c>
      <c r="W42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2" s="36">
        <f>IFERROR(_xlfn.XLOOKUP(tblEnlaces[[#This Row],[Coste]],tblPesosCoste[Valor],tblPesosCoste[Coste],0),0)</f>
        <v>5</v>
      </c>
      <c r="Y42" s="36">
        <f>IFERROR(_xlfn.XLOOKUP(tblEnlaces[[#This Row],[Eficiencia]],tblPesosValorOperativo[Valor],tblPesosValorOperativo[Eficiencia],0),0)</f>
        <v>3</v>
      </c>
      <c r="Z42" s="36">
        <f>IFERROR(_xlfn.XLOOKUP(tblEnlaces[[#This Row],[Exposición]],tblPesosValorOperativo[Valor],tblPesosValorOperativo[Exposición],0),0)</f>
        <v>5</v>
      </c>
      <c r="AA42" s="36">
        <f>IFERROR(_xlfn.XLOOKUP(tblEnlaces[[#This Row],[Capacidad]],tblPesosValorOperativo[Valor],tblPesosValorOperativo[Capacidad],0),0)</f>
        <v>3</v>
      </c>
      <c r="AB42" s="36">
        <f>IFERROR(_xlfn.XLOOKUP(tblEnlaces[[#This Row],[Resiliencia]],tblPesosValorOperativo[Valor],tblPesosValorOperativo[Resiliencia],0),0)</f>
        <v>4</v>
      </c>
      <c r="AC42" s="36">
        <f>tblEnlaces[[#This Row],[Eficiencia (peso)]]+tblEnlaces[[#This Row],[Exposición (peso)]]+tblEnlaces[[#This Row],[Capacidad (peso)]]+tblEnlaces[[#This Row],[Resiliencia (peso)]]</f>
        <v>15</v>
      </c>
    </row>
    <row r="43" spans="10:29" x14ac:dyDescent="0.25">
      <c r="J43" s="1" t="s">
        <v>67</v>
      </c>
      <c r="K43" s="1" t="s">
        <v>38</v>
      </c>
      <c r="L43" s="1" t="s">
        <v>28</v>
      </c>
      <c r="M43" s="1" t="s">
        <v>29</v>
      </c>
      <c r="N43" s="1">
        <v>1</v>
      </c>
      <c r="O43" s="1" t="s">
        <v>30</v>
      </c>
      <c r="P43" s="22" t="s">
        <v>31</v>
      </c>
      <c r="Q43" s="22" t="s">
        <v>32</v>
      </c>
      <c r="R43" s="22" t="s">
        <v>58</v>
      </c>
      <c r="S43" s="22" t="s">
        <v>33</v>
      </c>
      <c r="T43" s="23" t="s">
        <v>33</v>
      </c>
      <c r="U43" s="1" t="s">
        <v>34</v>
      </c>
      <c r="V43" s="25" t="s">
        <v>68</v>
      </c>
      <c r="W43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3" s="36">
        <f>IFERROR(_xlfn.XLOOKUP(tblEnlaces[[#This Row],[Coste]],tblPesosCoste[Valor],tblPesosCoste[Coste],0),0)</f>
        <v>5</v>
      </c>
      <c r="Y43" s="36">
        <f>IFERROR(_xlfn.XLOOKUP(tblEnlaces[[#This Row],[Eficiencia]],tblPesosValorOperativo[Valor],tblPesosValorOperativo[Eficiencia],0),0)</f>
        <v>3</v>
      </c>
      <c r="Z43" s="36">
        <f>IFERROR(_xlfn.XLOOKUP(tblEnlaces[[#This Row],[Exposición]],tblPesosValorOperativo[Valor],tblPesosValorOperativo[Exposición],0),0)</f>
        <v>4</v>
      </c>
      <c r="AA43" s="36">
        <f>IFERROR(_xlfn.XLOOKUP(tblEnlaces[[#This Row],[Capacidad]],tblPesosValorOperativo[Valor],tblPesosValorOperativo[Capacidad],0),0)</f>
        <v>5</v>
      </c>
      <c r="AB43" s="36">
        <f>IFERROR(_xlfn.XLOOKUP(tblEnlaces[[#This Row],[Resiliencia]],tblPesosValorOperativo[Valor],tblPesosValorOperativo[Resiliencia],0),0)</f>
        <v>5</v>
      </c>
      <c r="AC43" s="36">
        <f>tblEnlaces[[#This Row],[Eficiencia (peso)]]+tblEnlaces[[#This Row],[Exposición (peso)]]+tblEnlaces[[#This Row],[Capacidad (peso)]]+tblEnlaces[[#This Row],[Resiliencia (peso)]]</f>
        <v>17</v>
      </c>
    </row>
    <row r="44" spans="10:29" x14ac:dyDescent="0.25">
      <c r="J44" s="1" t="s">
        <v>77</v>
      </c>
      <c r="K44" s="1" t="s">
        <v>46</v>
      </c>
      <c r="L44" s="1" t="s">
        <v>28</v>
      </c>
      <c r="M44" s="1" t="s">
        <v>29</v>
      </c>
      <c r="N44" s="1">
        <v>1</v>
      </c>
      <c r="O44" s="1" t="s">
        <v>30</v>
      </c>
      <c r="P44" s="20" t="s">
        <v>31</v>
      </c>
      <c r="Q44" s="20" t="s">
        <v>32</v>
      </c>
      <c r="R44" s="20" t="s">
        <v>58</v>
      </c>
      <c r="S44" s="20" t="s">
        <v>33</v>
      </c>
      <c r="T44" s="21" t="s">
        <v>33</v>
      </c>
      <c r="U44" s="1" t="s">
        <v>34</v>
      </c>
      <c r="V44" s="25" t="s">
        <v>78</v>
      </c>
      <c r="W44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4" s="36">
        <f>IFERROR(_xlfn.XLOOKUP(tblEnlaces[[#This Row],[Coste]],tblPesosCoste[Valor],tblPesosCoste[Coste],0),0)</f>
        <v>5</v>
      </c>
      <c r="Y44" s="36">
        <f>IFERROR(_xlfn.XLOOKUP(tblEnlaces[[#This Row],[Eficiencia]],tblPesosValorOperativo[Valor],tblPesosValorOperativo[Eficiencia],0),0)</f>
        <v>3</v>
      </c>
      <c r="Z44" s="36">
        <f>IFERROR(_xlfn.XLOOKUP(tblEnlaces[[#This Row],[Exposición]],tblPesosValorOperativo[Valor],tblPesosValorOperativo[Exposición],0),0)</f>
        <v>4</v>
      </c>
      <c r="AA44" s="36">
        <f>IFERROR(_xlfn.XLOOKUP(tblEnlaces[[#This Row],[Capacidad]],tblPesosValorOperativo[Valor],tblPesosValorOperativo[Capacidad],0),0)</f>
        <v>5</v>
      </c>
      <c r="AB44" s="36">
        <f>IFERROR(_xlfn.XLOOKUP(tblEnlaces[[#This Row],[Resiliencia]],tblPesosValorOperativo[Valor],tblPesosValorOperativo[Resiliencia],0),0)</f>
        <v>5</v>
      </c>
      <c r="AC44" s="36">
        <f>tblEnlaces[[#This Row],[Eficiencia (peso)]]+tblEnlaces[[#This Row],[Exposición (peso)]]+tblEnlaces[[#This Row],[Capacidad (peso)]]+tblEnlaces[[#This Row],[Resiliencia (peso)]]</f>
        <v>17</v>
      </c>
    </row>
    <row r="45" spans="10:29" x14ac:dyDescent="0.25">
      <c r="J45" s="1" t="s">
        <v>103</v>
      </c>
      <c r="K45" s="1" t="s">
        <v>60</v>
      </c>
      <c r="L45" s="1" t="s">
        <v>28</v>
      </c>
      <c r="M45" s="1" t="s">
        <v>29</v>
      </c>
      <c r="N45" s="1">
        <v>1</v>
      </c>
      <c r="O45" s="1" t="s">
        <v>30</v>
      </c>
      <c r="P45" s="22" t="s">
        <v>31</v>
      </c>
      <c r="Q45" s="22" t="s">
        <v>32</v>
      </c>
      <c r="R45" s="22" t="s">
        <v>58</v>
      </c>
      <c r="S45" s="22" t="s">
        <v>71</v>
      </c>
      <c r="T45" s="23" t="s">
        <v>33</v>
      </c>
      <c r="U45" s="1" t="s">
        <v>34</v>
      </c>
      <c r="V45" s="25" t="s">
        <v>104</v>
      </c>
      <c r="W4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5" s="36">
        <f>IFERROR(_xlfn.XLOOKUP(tblEnlaces[[#This Row],[Coste]],tblPesosCoste[Valor],tblPesosCoste[Coste],0),0)</f>
        <v>5</v>
      </c>
      <c r="Y45" s="36">
        <f>IFERROR(_xlfn.XLOOKUP(tblEnlaces[[#This Row],[Eficiencia]],tblPesosValorOperativo[Valor],tblPesosValorOperativo[Eficiencia],0),0)</f>
        <v>3</v>
      </c>
      <c r="Z45" s="36">
        <f>IFERROR(_xlfn.XLOOKUP(tblEnlaces[[#This Row],[Exposición]],tblPesosValorOperativo[Valor],tblPesosValorOperativo[Exposición],0),0)</f>
        <v>4</v>
      </c>
      <c r="AA45" s="36">
        <f>IFERROR(_xlfn.XLOOKUP(tblEnlaces[[#This Row],[Capacidad]],tblPesosValorOperativo[Valor],tblPesosValorOperativo[Capacidad],0),0)</f>
        <v>4</v>
      </c>
      <c r="AB45" s="36">
        <f>IFERROR(_xlfn.XLOOKUP(tblEnlaces[[#This Row],[Resiliencia]],tblPesosValorOperativo[Valor],tblPesosValorOperativo[Resiliencia],0),0)</f>
        <v>5</v>
      </c>
      <c r="AC45" s="36">
        <f>tblEnlaces[[#This Row],[Eficiencia (peso)]]+tblEnlaces[[#This Row],[Exposición (peso)]]+tblEnlaces[[#This Row],[Capacidad (peso)]]+tblEnlaces[[#This Row],[Resiliencia (peso)]]</f>
        <v>16</v>
      </c>
    </row>
    <row r="46" spans="10:29" x14ac:dyDescent="0.25">
      <c r="J46" s="1" t="s">
        <v>118</v>
      </c>
      <c r="K46" s="1" t="s">
        <v>65</v>
      </c>
      <c r="L46" s="1" t="s">
        <v>94</v>
      </c>
      <c r="M46" s="1" t="s">
        <v>29</v>
      </c>
      <c r="N46" s="1">
        <v>1</v>
      </c>
      <c r="O46" s="1" t="s">
        <v>30</v>
      </c>
      <c r="P46" s="20" t="s">
        <v>31</v>
      </c>
      <c r="Q46" s="20" t="s">
        <v>32</v>
      </c>
      <c r="R46" s="20" t="s">
        <v>71</v>
      </c>
      <c r="S46" s="20" t="s">
        <v>32</v>
      </c>
      <c r="T46" s="21" t="s">
        <v>32</v>
      </c>
      <c r="U46" s="1" t="s">
        <v>34</v>
      </c>
      <c r="V46" s="25" t="s">
        <v>119</v>
      </c>
      <c r="W4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6" s="36">
        <f>IFERROR(_xlfn.XLOOKUP(tblEnlaces[[#This Row],[Coste]],tblPesosCoste[Valor],tblPesosCoste[Coste],0),0)</f>
        <v>5</v>
      </c>
      <c r="Y46" s="36">
        <f>IFERROR(_xlfn.XLOOKUP(tblEnlaces[[#This Row],[Eficiencia]],tblPesosValorOperativo[Valor],tblPesosValorOperativo[Eficiencia],0),0)</f>
        <v>3</v>
      </c>
      <c r="Z46" s="36">
        <f>IFERROR(_xlfn.XLOOKUP(tblEnlaces[[#This Row],[Exposición]],tblPesosValorOperativo[Valor],tblPesosValorOperativo[Exposición],0),0)</f>
        <v>2</v>
      </c>
      <c r="AA46" s="36">
        <f>IFERROR(_xlfn.XLOOKUP(tblEnlaces[[#This Row],[Capacidad]],tblPesosValorOperativo[Valor],tblPesosValorOperativo[Capacidad],0),0)</f>
        <v>3</v>
      </c>
      <c r="AB46" s="36">
        <f>IFERROR(_xlfn.XLOOKUP(tblEnlaces[[#This Row],[Resiliencia]],tblPesosValorOperativo[Valor],tblPesosValorOperativo[Resiliencia],0),0)</f>
        <v>3</v>
      </c>
      <c r="AC46" s="36">
        <f>tblEnlaces[[#This Row],[Eficiencia (peso)]]+tblEnlaces[[#This Row],[Exposición (peso)]]+tblEnlaces[[#This Row],[Capacidad (peso)]]+tblEnlaces[[#This Row],[Resiliencia (peso)]]</f>
        <v>11</v>
      </c>
    </row>
    <row r="47" spans="10:29" x14ac:dyDescent="0.25">
      <c r="J47" s="1" t="s">
        <v>151</v>
      </c>
      <c r="K47" s="1" t="s">
        <v>94</v>
      </c>
      <c r="L47" s="1" t="s">
        <v>105</v>
      </c>
      <c r="M47" s="1" t="s">
        <v>29</v>
      </c>
      <c r="N47" s="1">
        <v>1</v>
      </c>
      <c r="O47" s="1" t="s">
        <v>30</v>
      </c>
      <c r="P47" s="22" t="s">
        <v>31</v>
      </c>
      <c r="Q47" s="22" t="s">
        <v>32</v>
      </c>
      <c r="R47" s="22" t="s">
        <v>71</v>
      </c>
      <c r="S47" s="22" t="s">
        <v>32</v>
      </c>
      <c r="T47" s="23" t="s">
        <v>32</v>
      </c>
      <c r="U47" s="1" t="s">
        <v>34</v>
      </c>
      <c r="V47" s="25" t="s">
        <v>152</v>
      </c>
      <c r="W4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5</v>
      </c>
      <c r="X47" s="36">
        <f>IFERROR(_xlfn.XLOOKUP(tblEnlaces[[#This Row],[Coste]],tblPesosCoste[Valor],tblPesosCoste[Coste],0),0)</f>
        <v>5</v>
      </c>
      <c r="Y47" s="36">
        <f>IFERROR(_xlfn.XLOOKUP(tblEnlaces[[#This Row],[Eficiencia]],tblPesosValorOperativo[Valor],tblPesosValorOperativo[Eficiencia],0),0)</f>
        <v>3</v>
      </c>
      <c r="Z47" s="36">
        <f>IFERROR(_xlfn.XLOOKUP(tblEnlaces[[#This Row],[Exposición]],tblPesosValorOperativo[Valor],tblPesosValorOperativo[Exposición],0),0)</f>
        <v>2</v>
      </c>
      <c r="AA47" s="36">
        <f>IFERROR(_xlfn.XLOOKUP(tblEnlaces[[#This Row],[Capacidad]],tblPesosValorOperativo[Valor],tblPesosValorOperativo[Capacidad],0),0)</f>
        <v>3</v>
      </c>
      <c r="AB47" s="36">
        <f>IFERROR(_xlfn.XLOOKUP(tblEnlaces[[#This Row],[Resiliencia]],tblPesosValorOperativo[Valor],tblPesosValorOperativo[Resiliencia],0),0)</f>
        <v>3</v>
      </c>
      <c r="AC47" s="36">
        <f>tblEnlaces[[#This Row],[Eficiencia (peso)]]+tblEnlaces[[#This Row],[Exposición (peso)]]+tblEnlaces[[#This Row],[Capacidad (peso)]]+tblEnlaces[[#This Row],[Resiliencia (peso)]]</f>
        <v>11</v>
      </c>
    </row>
    <row r="48" spans="10:29" x14ac:dyDescent="0.25">
      <c r="J48" s="1" t="s">
        <v>153</v>
      </c>
      <c r="K48" s="1" t="s">
        <v>94</v>
      </c>
      <c r="L48" s="1" t="s">
        <v>109</v>
      </c>
      <c r="M48" s="1" t="s">
        <v>29</v>
      </c>
      <c r="N48" s="1">
        <v>1</v>
      </c>
      <c r="O48" s="1" t="s">
        <v>30</v>
      </c>
      <c r="P48" s="20" t="s">
        <v>58</v>
      </c>
      <c r="Q48" s="20" t="s">
        <v>32</v>
      </c>
      <c r="R48" s="20" t="s">
        <v>71</v>
      </c>
      <c r="S48" s="20" t="s">
        <v>32</v>
      </c>
      <c r="T48" s="21" t="s">
        <v>32</v>
      </c>
      <c r="U48" s="1" t="s">
        <v>34</v>
      </c>
      <c r="V48" s="25" t="s">
        <v>154</v>
      </c>
      <c r="W4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4</v>
      </c>
      <c r="X48" s="36">
        <f>IFERROR(_xlfn.XLOOKUP(tblEnlaces[[#This Row],[Coste]],tblPesosCoste[Valor],tblPesosCoste[Coste],0),0)</f>
        <v>4</v>
      </c>
      <c r="Y48" s="36">
        <f>IFERROR(_xlfn.XLOOKUP(tblEnlaces[[#This Row],[Eficiencia]],tblPesosValorOperativo[Valor],tblPesosValorOperativo[Eficiencia],0),0)</f>
        <v>3</v>
      </c>
      <c r="Z48" s="36">
        <f>IFERROR(_xlfn.XLOOKUP(tblEnlaces[[#This Row],[Exposición]],tblPesosValorOperativo[Valor],tblPesosValorOperativo[Exposición],0),0)</f>
        <v>2</v>
      </c>
      <c r="AA48" s="36">
        <f>IFERROR(_xlfn.XLOOKUP(tblEnlaces[[#This Row],[Capacidad]],tblPesosValorOperativo[Valor],tblPesosValorOperativo[Capacidad],0),0)</f>
        <v>3</v>
      </c>
      <c r="AB48" s="36">
        <f>IFERROR(_xlfn.XLOOKUP(tblEnlaces[[#This Row],[Resiliencia]],tblPesosValorOperativo[Valor],tblPesosValorOperativo[Resiliencia],0),0)</f>
        <v>3</v>
      </c>
      <c r="AC48" s="36">
        <f>tblEnlaces[[#This Row],[Eficiencia (peso)]]+tblEnlaces[[#This Row],[Exposición (peso)]]+tblEnlaces[[#This Row],[Capacidad (peso)]]+tblEnlaces[[#This Row],[Resiliencia (peso)]]</f>
        <v>11</v>
      </c>
    </row>
    <row r="49" spans="10:29" x14ac:dyDescent="0.25">
      <c r="J49" s="1" t="s">
        <v>159</v>
      </c>
      <c r="K49" s="1" t="s">
        <v>101</v>
      </c>
      <c r="L49" s="1" t="s">
        <v>28</v>
      </c>
      <c r="M49" s="1" t="s">
        <v>57</v>
      </c>
      <c r="N49" s="1">
        <v>1</v>
      </c>
      <c r="O49" s="1" t="s">
        <v>30</v>
      </c>
      <c r="P49" s="22" t="s">
        <v>32</v>
      </c>
      <c r="Q49" s="22" t="s">
        <v>32</v>
      </c>
      <c r="R49" s="22" t="s">
        <v>58</v>
      </c>
      <c r="S49" s="22" t="s">
        <v>33</v>
      </c>
      <c r="T49" s="23" t="s">
        <v>33</v>
      </c>
      <c r="U49" s="1" t="s">
        <v>34</v>
      </c>
      <c r="V49" s="25" t="s">
        <v>160</v>
      </c>
      <c r="W49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49" s="36">
        <f>IFERROR(_xlfn.XLOOKUP(tblEnlaces[[#This Row],[Coste]],tblPesosCoste[Valor],tblPesosCoste[Coste],0),0)</f>
        <v>3</v>
      </c>
      <c r="Y49" s="36">
        <f>IFERROR(_xlfn.XLOOKUP(tblEnlaces[[#This Row],[Eficiencia]],tblPesosValorOperativo[Valor],tblPesosValorOperativo[Eficiencia],0),0)</f>
        <v>3</v>
      </c>
      <c r="Z49" s="36">
        <f>IFERROR(_xlfn.XLOOKUP(tblEnlaces[[#This Row],[Exposición]],tblPesosValorOperativo[Valor],tblPesosValorOperativo[Exposición],0),0)</f>
        <v>4</v>
      </c>
      <c r="AA49" s="36">
        <f>IFERROR(_xlfn.XLOOKUP(tblEnlaces[[#This Row],[Capacidad]],tblPesosValorOperativo[Valor],tblPesosValorOperativo[Capacidad],0),0)</f>
        <v>5</v>
      </c>
      <c r="AB49" s="36">
        <f>IFERROR(_xlfn.XLOOKUP(tblEnlaces[[#This Row],[Resiliencia]],tblPesosValorOperativo[Valor],tblPesosValorOperativo[Resiliencia],0),0)</f>
        <v>5</v>
      </c>
      <c r="AC49" s="36">
        <f>tblEnlaces[[#This Row],[Eficiencia (peso)]]+tblEnlaces[[#This Row],[Exposición (peso)]]+tblEnlaces[[#This Row],[Capacidad (peso)]]+tblEnlaces[[#This Row],[Resiliencia (peso)]]</f>
        <v>17</v>
      </c>
    </row>
    <row r="50" spans="10:29" x14ac:dyDescent="0.25">
      <c r="J50" s="1" t="s">
        <v>99</v>
      </c>
      <c r="K50" s="1" t="s">
        <v>53</v>
      </c>
      <c r="L50" s="1" t="s">
        <v>90</v>
      </c>
      <c r="M50" s="1" t="s">
        <v>57</v>
      </c>
      <c r="N50" s="1">
        <v>1</v>
      </c>
      <c r="O50" s="1" t="s">
        <v>42</v>
      </c>
      <c r="P50" s="20" t="s">
        <v>32</v>
      </c>
      <c r="Q50" s="20" t="s">
        <v>32</v>
      </c>
      <c r="R50" s="20" t="s">
        <v>32</v>
      </c>
      <c r="S50" s="20" t="s">
        <v>31</v>
      </c>
      <c r="T50" s="21" t="s">
        <v>32</v>
      </c>
      <c r="U50" s="1" t="s">
        <v>34</v>
      </c>
      <c r="V50" s="25" t="s">
        <v>100</v>
      </c>
      <c r="W50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0" s="36">
        <f>IFERROR(_xlfn.XLOOKUP(tblEnlaces[[#This Row],[Coste]],tblPesosCoste[Valor],tblPesosCoste[Coste],0),0)</f>
        <v>3</v>
      </c>
      <c r="Y50" s="36">
        <f>IFERROR(_xlfn.XLOOKUP(tblEnlaces[[#This Row],[Eficiencia]],tblPesosValorOperativo[Valor],tblPesosValorOperativo[Eficiencia],0),0)</f>
        <v>3</v>
      </c>
      <c r="Z50" s="36">
        <f>IFERROR(_xlfn.XLOOKUP(tblEnlaces[[#This Row],[Exposición]],tblPesosValorOperativo[Valor],tblPesosValorOperativo[Exposición],0),0)</f>
        <v>3</v>
      </c>
      <c r="AA50" s="36">
        <f>IFERROR(_xlfn.XLOOKUP(tblEnlaces[[#This Row],[Capacidad]],tblPesosValorOperativo[Valor],tblPesosValorOperativo[Capacidad],0),0)</f>
        <v>1</v>
      </c>
      <c r="AB50" s="36">
        <f>IFERROR(_xlfn.XLOOKUP(tblEnlaces[[#This Row],[Resiliencia]],tblPesosValorOperativo[Valor],tblPesosValorOperativo[Resiliencia],0),0)</f>
        <v>3</v>
      </c>
      <c r="AC50" s="36">
        <f>tblEnlaces[[#This Row],[Eficiencia (peso)]]+tblEnlaces[[#This Row],[Exposición (peso)]]+tblEnlaces[[#This Row],[Capacidad (peso)]]+tblEnlaces[[#This Row],[Resiliencia (peso)]]</f>
        <v>10</v>
      </c>
    </row>
    <row r="51" spans="10:29" x14ac:dyDescent="0.25">
      <c r="J51" s="1" t="s">
        <v>149</v>
      </c>
      <c r="K51" s="1" t="s">
        <v>90</v>
      </c>
      <c r="L51" s="1" t="s">
        <v>105</v>
      </c>
      <c r="M51" s="1" t="s">
        <v>57</v>
      </c>
      <c r="N51" s="1">
        <v>1</v>
      </c>
      <c r="O51" s="1" t="s">
        <v>42</v>
      </c>
      <c r="P51" s="20" t="s">
        <v>32</v>
      </c>
      <c r="Q51" s="20" t="s">
        <v>32</v>
      </c>
      <c r="R51" s="20" t="s">
        <v>32</v>
      </c>
      <c r="S51" s="20" t="s">
        <v>31</v>
      </c>
      <c r="T51" s="21" t="s">
        <v>32</v>
      </c>
      <c r="U51" s="1" t="s">
        <v>34</v>
      </c>
      <c r="V51" s="25" t="s">
        <v>150</v>
      </c>
      <c r="W51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1" s="36">
        <f>IFERROR(_xlfn.XLOOKUP(tblEnlaces[[#This Row],[Coste]],tblPesosCoste[Valor],tblPesosCoste[Coste],0),0)</f>
        <v>3</v>
      </c>
      <c r="Y51" s="36">
        <f>IFERROR(_xlfn.XLOOKUP(tblEnlaces[[#This Row],[Eficiencia]],tblPesosValorOperativo[Valor],tblPesosValorOperativo[Eficiencia],0),0)</f>
        <v>3</v>
      </c>
      <c r="Z51" s="36">
        <f>IFERROR(_xlfn.XLOOKUP(tblEnlaces[[#This Row],[Exposición]],tblPesosValorOperativo[Valor],tblPesosValorOperativo[Exposición],0),0)</f>
        <v>3</v>
      </c>
      <c r="AA51" s="36">
        <f>IFERROR(_xlfn.XLOOKUP(tblEnlaces[[#This Row],[Capacidad]],tblPesosValorOperativo[Valor],tblPesosValorOperativo[Capacidad],0),0)</f>
        <v>1</v>
      </c>
      <c r="AB51" s="36">
        <f>IFERROR(_xlfn.XLOOKUP(tblEnlaces[[#This Row],[Resiliencia]],tblPesosValorOperativo[Valor],tblPesosValorOperativo[Resiliencia],0),0)</f>
        <v>3</v>
      </c>
      <c r="AC51" s="36">
        <f>tblEnlaces[[#This Row],[Eficiencia (peso)]]+tblEnlaces[[#This Row],[Exposición (peso)]]+tblEnlaces[[#This Row],[Capacidad (peso)]]+tblEnlaces[[#This Row],[Resiliencia (peso)]]</f>
        <v>10</v>
      </c>
    </row>
    <row r="52" spans="10:29" x14ac:dyDescent="0.25">
      <c r="J52" s="1" t="s">
        <v>62</v>
      </c>
      <c r="K52" s="1" t="s">
        <v>25</v>
      </c>
      <c r="L52" s="1" t="s">
        <v>63</v>
      </c>
      <c r="M52" s="1" t="s">
        <v>57</v>
      </c>
      <c r="N52" s="1">
        <v>1</v>
      </c>
      <c r="O52" s="1" t="s">
        <v>42</v>
      </c>
      <c r="P52" s="20" t="s">
        <v>32</v>
      </c>
      <c r="Q52" s="20" t="s">
        <v>32</v>
      </c>
      <c r="R52" s="20" t="s">
        <v>32</v>
      </c>
      <c r="S52" s="20" t="s">
        <v>32</v>
      </c>
      <c r="T52" s="21" t="s">
        <v>32</v>
      </c>
      <c r="U52" s="1" t="s">
        <v>34</v>
      </c>
      <c r="V52" s="25" t="s">
        <v>64</v>
      </c>
      <c r="W52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2" s="36">
        <f>IFERROR(_xlfn.XLOOKUP(tblEnlaces[[#This Row],[Coste]],tblPesosCoste[Valor],tblPesosCoste[Coste],0),0)</f>
        <v>3</v>
      </c>
      <c r="Y52" s="36">
        <f>IFERROR(_xlfn.XLOOKUP(tblEnlaces[[#This Row],[Eficiencia]],tblPesosValorOperativo[Valor],tblPesosValorOperativo[Eficiencia],0),0)</f>
        <v>3</v>
      </c>
      <c r="Z52" s="36">
        <f>IFERROR(_xlfn.XLOOKUP(tblEnlaces[[#This Row],[Exposición]],tblPesosValorOperativo[Valor],tblPesosValorOperativo[Exposición],0),0)</f>
        <v>3</v>
      </c>
      <c r="AA52" s="36">
        <f>IFERROR(_xlfn.XLOOKUP(tblEnlaces[[#This Row],[Capacidad]],tblPesosValorOperativo[Valor],tblPesosValorOperativo[Capacidad],0),0)</f>
        <v>3</v>
      </c>
      <c r="AB52" s="36">
        <f>IFERROR(_xlfn.XLOOKUP(tblEnlaces[[#This Row],[Resiliencia]],tblPesosValorOperativo[Valor],tblPesosValorOperativo[Resiliencia],0),0)</f>
        <v>3</v>
      </c>
      <c r="AC52" s="36">
        <f>tblEnlaces[[#This Row],[Eficiencia (peso)]]+tblEnlaces[[#This Row],[Exposición (peso)]]+tblEnlaces[[#This Row],[Capacidad (peso)]]+tblEnlaces[[#This Row],[Resiliencia (peso)]]</f>
        <v>12</v>
      </c>
    </row>
    <row r="53" spans="10:29" x14ac:dyDescent="0.25">
      <c r="J53" s="1" t="s">
        <v>120</v>
      </c>
      <c r="K53" s="1" t="s">
        <v>65</v>
      </c>
      <c r="L53" s="1" t="s">
        <v>63</v>
      </c>
      <c r="M53" s="1" t="s">
        <v>29</v>
      </c>
      <c r="N53" s="1">
        <v>1</v>
      </c>
      <c r="O53" s="1" t="s">
        <v>30</v>
      </c>
      <c r="P53" s="22" t="s">
        <v>32</v>
      </c>
      <c r="Q53" s="22" t="s">
        <v>32</v>
      </c>
      <c r="R53" s="22" t="s">
        <v>32</v>
      </c>
      <c r="S53" s="22" t="s">
        <v>32</v>
      </c>
      <c r="T53" s="23" t="s">
        <v>32</v>
      </c>
      <c r="U53" s="1" t="s">
        <v>34</v>
      </c>
      <c r="V53" s="25" t="s">
        <v>121</v>
      </c>
      <c r="W53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3" s="36">
        <f>IFERROR(_xlfn.XLOOKUP(tblEnlaces[[#This Row],[Coste]],tblPesosCoste[Valor],tblPesosCoste[Coste],0),0)</f>
        <v>3</v>
      </c>
      <c r="Y53" s="36">
        <f>IFERROR(_xlfn.XLOOKUP(tblEnlaces[[#This Row],[Eficiencia]],tblPesosValorOperativo[Valor],tblPesosValorOperativo[Eficiencia],0),0)</f>
        <v>3</v>
      </c>
      <c r="Z53" s="36">
        <f>IFERROR(_xlfn.XLOOKUP(tblEnlaces[[#This Row],[Exposición]],tblPesosValorOperativo[Valor],tblPesosValorOperativo[Exposición],0),0)</f>
        <v>3</v>
      </c>
      <c r="AA53" s="36">
        <f>IFERROR(_xlfn.XLOOKUP(tblEnlaces[[#This Row],[Capacidad]],tblPesosValorOperativo[Valor],tblPesosValorOperativo[Capacidad],0),0)</f>
        <v>3</v>
      </c>
      <c r="AB53" s="36">
        <f>IFERROR(_xlfn.XLOOKUP(tblEnlaces[[#This Row],[Resiliencia]],tblPesosValorOperativo[Valor],tblPesosValorOperativo[Resiliencia],0),0)</f>
        <v>3</v>
      </c>
      <c r="AC53" s="36">
        <f>tblEnlaces[[#This Row],[Eficiencia (peso)]]+tblEnlaces[[#This Row],[Exposición (peso)]]+tblEnlaces[[#This Row],[Capacidad (peso)]]+tblEnlaces[[#This Row],[Resiliencia (peso)]]</f>
        <v>12</v>
      </c>
    </row>
    <row r="54" spans="10:29" x14ac:dyDescent="0.25">
      <c r="J54" s="1" t="s">
        <v>155</v>
      </c>
      <c r="K54" s="1" t="s">
        <v>63</v>
      </c>
      <c r="L54" s="1" t="s">
        <v>105</v>
      </c>
      <c r="M54" s="1" t="s">
        <v>29</v>
      </c>
      <c r="N54" s="1">
        <v>1</v>
      </c>
      <c r="O54" s="1" t="s">
        <v>30</v>
      </c>
      <c r="P54" s="22" t="s">
        <v>32</v>
      </c>
      <c r="Q54" s="22" t="s">
        <v>32</v>
      </c>
      <c r="R54" s="22" t="s">
        <v>32</v>
      </c>
      <c r="S54" s="22" t="s">
        <v>32</v>
      </c>
      <c r="T54" s="23" t="s">
        <v>32</v>
      </c>
      <c r="U54" s="1" t="s">
        <v>34</v>
      </c>
      <c r="V54" s="25" t="s">
        <v>156</v>
      </c>
      <c r="W54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4" s="36">
        <f>IFERROR(_xlfn.XLOOKUP(tblEnlaces[[#This Row],[Coste]],tblPesosCoste[Valor],tblPesosCoste[Coste],0),0)</f>
        <v>3</v>
      </c>
      <c r="Y54" s="36">
        <f>IFERROR(_xlfn.XLOOKUP(tblEnlaces[[#This Row],[Eficiencia]],tblPesosValorOperativo[Valor],tblPesosValorOperativo[Eficiencia],0),0)</f>
        <v>3</v>
      </c>
      <c r="Z54" s="36">
        <f>IFERROR(_xlfn.XLOOKUP(tblEnlaces[[#This Row],[Exposición]],tblPesosValorOperativo[Valor],tblPesosValorOperativo[Exposición],0),0)</f>
        <v>3</v>
      </c>
      <c r="AA54" s="36">
        <f>IFERROR(_xlfn.XLOOKUP(tblEnlaces[[#This Row],[Capacidad]],tblPesosValorOperativo[Valor],tblPesosValorOperativo[Capacidad],0),0)</f>
        <v>3</v>
      </c>
      <c r="AB54" s="36">
        <f>IFERROR(_xlfn.XLOOKUP(tblEnlaces[[#This Row],[Resiliencia]],tblPesosValorOperativo[Valor],tblPesosValorOperativo[Resiliencia],0),0)</f>
        <v>3</v>
      </c>
      <c r="AC54" s="36">
        <f>tblEnlaces[[#This Row],[Eficiencia (peso)]]+tblEnlaces[[#This Row],[Exposición (peso)]]+tblEnlaces[[#This Row],[Capacidad (peso)]]+tblEnlaces[[#This Row],[Resiliencia (peso)]]</f>
        <v>12</v>
      </c>
    </row>
    <row r="55" spans="10:29" x14ac:dyDescent="0.25">
      <c r="J55" s="1" t="s">
        <v>157</v>
      </c>
      <c r="K55" s="1" t="s">
        <v>63</v>
      </c>
      <c r="L55" s="1" t="s">
        <v>109</v>
      </c>
      <c r="M55" s="1" t="s">
        <v>29</v>
      </c>
      <c r="N55" s="1">
        <v>1</v>
      </c>
      <c r="O55" s="1" t="s">
        <v>30</v>
      </c>
      <c r="P55" s="20" t="s">
        <v>32</v>
      </c>
      <c r="Q55" s="20" t="s">
        <v>32</v>
      </c>
      <c r="R55" s="20" t="s">
        <v>32</v>
      </c>
      <c r="S55" s="20" t="s">
        <v>32</v>
      </c>
      <c r="T55" s="21" t="s">
        <v>32</v>
      </c>
      <c r="U55" s="1" t="s">
        <v>34</v>
      </c>
      <c r="V55" s="25" t="s">
        <v>158</v>
      </c>
      <c r="W55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5" s="36">
        <f>IFERROR(_xlfn.XLOOKUP(tblEnlaces[[#This Row],[Coste]],tblPesosCoste[Valor],tblPesosCoste[Coste],0),0)</f>
        <v>3</v>
      </c>
      <c r="Y55" s="36">
        <f>IFERROR(_xlfn.XLOOKUP(tblEnlaces[[#This Row],[Eficiencia]],tblPesosValorOperativo[Valor],tblPesosValorOperativo[Eficiencia],0),0)</f>
        <v>3</v>
      </c>
      <c r="Z55" s="36">
        <f>IFERROR(_xlfn.XLOOKUP(tblEnlaces[[#This Row],[Exposición]],tblPesosValorOperativo[Valor],tblPesosValorOperativo[Exposición],0),0)</f>
        <v>3</v>
      </c>
      <c r="AA55" s="36">
        <f>IFERROR(_xlfn.XLOOKUP(tblEnlaces[[#This Row],[Capacidad]],tblPesosValorOperativo[Valor],tblPesosValorOperativo[Capacidad],0),0)</f>
        <v>3</v>
      </c>
      <c r="AB55" s="36">
        <f>IFERROR(_xlfn.XLOOKUP(tblEnlaces[[#This Row],[Resiliencia]],tblPesosValorOperativo[Valor],tblPesosValorOperativo[Resiliencia],0),0)</f>
        <v>3</v>
      </c>
      <c r="AC55" s="36">
        <f>tblEnlaces[[#This Row],[Eficiencia (peso)]]+tblEnlaces[[#This Row],[Exposición (peso)]]+tblEnlaces[[#This Row],[Capacidad (peso)]]+tblEnlaces[[#This Row],[Resiliencia (peso)]]</f>
        <v>12</v>
      </c>
    </row>
    <row r="56" spans="10:29" x14ac:dyDescent="0.25">
      <c r="J56" s="1" t="s">
        <v>177</v>
      </c>
      <c r="K56" s="1" t="s">
        <v>109</v>
      </c>
      <c r="L56" s="1" t="s">
        <v>63</v>
      </c>
      <c r="M56" s="1" t="s">
        <v>29</v>
      </c>
      <c r="N56" s="1">
        <v>1</v>
      </c>
      <c r="O56" s="1" t="s">
        <v>30</v>
      </c>
      <c r="P56" s="20" t="s">
        <v>32</v>
      </c>
      <c r="Q56" s="20" t="s">
        <v>32</v>
      </c>
      <c r="R56" s="20" t="s">
        <v>32</v>
      </c>
      <c r="S56" s="20" t="s">
        <v>32</v>
      </c>
      <c r="T56" s="21" t="s">
        <v>32</v>
      </c>
      <c r="U56" s="1" t="s">
        <v>34</v>
      </c>
      <c r="V56" s="25" t="s">
        <v>178</v>
      </c>
      <c r="W56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6" s="36">
        <f>IFERROR(_xlfn.XLOOKUP(tblEnlaces[[#This Row],[Coste]],tblPesosCoste[Valor],tblPesosCoste[Coste],0),0)</f>
        <v>3</v>
      </c>
      <c r="Y56" s="36">
        <f>IFERROR(_xlfn.XLOOKUP(tblEnlaces[[#This Row],[Eficiencia]],tblPesosValorOperativo[Valor],tblPesosValorOperativo[Eficiencia],0),0)</f>
        <v>3</v>
      </c>
      <c r="Z56" s="36">
        <f>IFERROR(_xlfn.XLOOKUP(tblEnlaces[[#This Row],[Exposición]],tblPesosValorOperativo[Valor],tblPesosValorOperativo[Exposición],0),0)</f>
        <v>3</v>
      </c>
      <c r="AA56" s="36">
        <f>IFERROR(_xlfn.XLOOKUP(tblEnlaces[[#This Row],[Capacidad]],tblPesosValorOperativo[Valor],tblPesosValorOperativo[Capacidad],0),0)</f>
        <v>3</v>
      </c>
      <c r="AB56" s="36">
        <f>IFERROR(_xlfn.XLOOKUP(tblEnlaces[[#This Row],[Resiliencia]],tblPesosValorOperativo[Valor],tblPesosValorOperativo[Resiliencia],0),0)</f>
        <v>3</v>
      </c>
      <c r="AC56" s="36">
        <f>tblEnlaces[[#This Row],[Eficiencia (peso)]]+tblEnlaces[[#This Row],[Exposición (peso)]]+tblEnlaces[[#This Row],[Capacidad (peso)]]+tblEnlaces[[#This Row],[Resiliencia (peso)]]</f>
        <v>12</v>
      </c>
    </row>
    <row r="57" spans="10:29" x14ac:dyDescent="0.25">
      <c r="J57" s="1" t="s">
        <v>128</v>
      </c>
      <c r="K57" s="1" t="s">
        <v>28</v>
      </c>
      <c r="L57" s="1" t="s">
        <v>63</v>
      </c>
      <c r="M57" s="1" t="s">
        <v>57</v>
      </c>
      <c r="N57" s="1">
        <v>1</v>
      </c>
      <c r="O57" s="1" t="s">
        <v>30</v>
      </c>
      <c r="P57" s="20" t="s">
        <v>71</v>
      </c>
      <c r="Q57" s="20" t="s">
        <v>32</v>
      </c>
      <c r="R57" s="20" t="s">
        <v>32</v>
      </c>
      <c r="S57" s="20" t="s">
        <v>32</v>
      </c>
      <c r="T57" s="21" t="s">
        <v>32</v>
      </c>
      <c r="U57" s="1" t="s">
        <v>34</v>
      </c>
      <c r="V57" s="25" t="s">
        <v>129</v>
      </c>
      <c r="W57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2</v>
      </c>
      <c r="X57" s="36">
        <f>IFERROR(_xlfn.XLOOKUP(tblEnlaces[[#This Row],[Coste]],tblPesosCoste[Valor],tblPesosCoste[Coste],0),0)</f>
        <v>2</v>
      </c>
      <c r="Y57" s="36">
        <f>IFERROR(_xlfn.XLOOKUP(tblEnlaces[[#This Row],[Eficiencia]],tblPesosValorOperativo[Valor],tblPesosValorOperativo[Eficiencia],0),0)</f>
        <v>3</v>
      </c>
      <c r="Z57" s="36">
        <f>IFERROR(_xlfn.XLOOKUP(tblEnlaces[[#This Row],[Exposición]],tblPesosValorOperativo[Valor],tblPesosValorOperativo[Exposición],0),0)</f>
        <v>3</v>
      </c>
      <c r="AA57" s="36">
        <f>IFERROR(_xlfn.XLOOKUP(tblEnlaces[[#This Row],[Capacidad]],tblPesosValorOperativo[Valor],tblPesosValorOperativo[Capacidad],0),0)</f>
        <v>3</v>
      </c>
      <c r="AB57" s="36">
        <f>IFERROR(_xlfn.XLOOKUP(tblEnlaces[[#This Row],[Resiliencia]],tblPesosValorOperativo[Valor],tblPesosValorOperativo[Resiliencia],0),0)</f>
        <v>3</v>
      </c>
      <c r="AC57" s="36">
        <f>tblEnlaces[[#This Row],[Eficiencia (peso)]]+tblEnlaces[[#This Row],[Exposición (peso)]]+tblEnlaces[[#This Row],[Capacidad (peso)]]+tblEnlaces[[#This Row],[Resiliencia (peso)]]</f>
        <v>12</v>
      </c>
    </row>
    <row r="58" spans="10:29" x14ac:dyDescent="0.25">
      <c r="J58" s="1" t="s">
        <v>125</v>
      </c>
      <c r="K58" s="1" t="s">
        <v>28</v>
      </c>
      <c r="L58" s="1" t="s">
        <v>56</v>
      </c>
      <c r="M58" s="1" t="s">
        <v>57</v>
      </c>
      <c r="N58" s="1">
        <v>1</v>
      </c>
      <c r="O58" s="1" t="s">
        <v>30</v>
      </c>
      <c r="P58" s="24" t="s">
        <v>32</v>
      </c>
      <c r="Q58" s="24" t="s">
        <v>71</v>
      </c>
      <c r="R58" s="24" t="s">
        <v>32</v>
      </c>
      <c r="S58" s="24" t="s">
        <v>32</v>
      </c>
      <c r="T58" s="1" t="s">
        <v>32</v>
      </c>
      <c r="U58" s="1" t="s">
        <v>34</v>
      </c>
      <c r="V58" s="25" t="s">
        <v>126</v>
      </c>
      <c r="W58" s="36">
        <f>IFERROR(_xlfn.XLOOKUP(tblEnlaces[[#This Row],[Eficiencia]],tblPesosCoste[Valor],#REF!),0)+IFERROR(_xlfn.XLOOKUP(tblEnlaces[[#This Row],[Capacidad]],tblPesosCoste[Valor],#REF!),0)+IFERROR(_xlfn.XLOOKUP(tblEnlaces[[#This Row],[Resiliencia]],tblPesosCoste[Valor],#REF!),0)+IFERROR(_xlfn.XLOOKUP(tblEnlaces[[#This Row],[Coste]],tblPesosCoste[Valor],tblPesosCoste[Coste]),0)+IFERROR(_xlfn.XLOOKUP(tblEnlaces[[#This Row],[Exposición]],tblPesosCoste[Valor],#REF!),0)</f>
        <v>3</v>
      </c>
      <c r="X58" s="36">
        <f>IFERROR(_xlfn.XLOOKUP(tblEnlaces[[#This Row],[Coste]],tblPesosCoste[Valor],tblPesosCoste[Coste],0),0)</f>
        <v>3</v>
      </c>
      <c r="Y58" s="36">
        <f>IFERROR(_xlfn.XLOOKUP(tblEnlaces[[#This Row],[Eficiencia]],tblPesosValorOperativo[Valor],tblPesosValorOperativo[Eficiencia],0),0)</f>
        <v>4</v>
      </c>
      <c r="Z58" s="36">
        <f>IFERROR(_xlfn.XLOOKUP(tblEnlaces[[#This Row],[Exposición]],tblPesosValorOperativo[Valor],tblPesosValorOperativo[Exposición],0),0)</f>
        <v>3</v>
      </c>
      <c r="AA58" s="36">
        <f>IFERROR(_xlfn.XLOOKUP(tblEnlaces[[#This Row],[Capacidad]],tblPesosValorOperativo[Valor],tblPesosValorOperativo[Capacidad],0),0)</f>
        <v>3</v>
      </c>
      <c r="AB58" s="36">
        <f>IFERROR(_xlfn.XLOOKUP(tblEnlaces[[#This Row],[Resiliencia]],tblPesosValorOperativo[Valor],tblPesosValorOperativo[Resiliencia],0),0)</f>
        <v>3</v>
      </c>
      <c r="AC58" s="36">
        <f>tblEnlaces[[#This Row],[Eficiencia (peso)]]+tblEnlaces[[#This Row],[Exposición (peso)]]+tblEnlaces[[#This Row],[Capacidad (peso)]]+tblEnlaces[[#This Row],[Resiliencia (peso)]]</f>
        <v>13</v>
      </c>
    </row>
  </sheetData>
  <mergeCells count="7">
    <mergeCell ref="S1:U1"/>
    <mergeCell ref="E3:H3"/>
    <mergeCell ref="B30:H30"/>
    <mergeCell ref="A3:C3"/>
    <mergeCell ref="B29:H29"/>
    <mergeCell ref="A1:R1"/>
    <mergeCell ref="J3:V3"/>
  </mergeCells>
  <conditionalFormatting sqref="P5:P58">
    <cfRule type="expression" dxfId="31" priority="56">
      <formula>$P5="Bajo"</formula>
    </cfRule>
    <cfRule type="expression" dxfId="30" priority="57">
      <formula>$P5="Medio-Bajo"</formula>
    </cfRule>
    <cfRule type="expression" dxfId="29" priority="58">
      <formula>$P5="Medio"</formula>
    </cfRule>
    <cfRule type="expression" dxfId="28" priority="59">
      <formula>$P5="Medio-Alto"</formula>
    </cfRule>
    <cfRule type="expression" dxfId="27" priority="60">
      <formula>$P5="Alto"</formula>
    </cfRule>
  </conditionalFormatting>
  <conditionalFormatting sqref="Q5:Q58">
    <cfRule type="expression" dxfId="26" priority="51">
      <formula>$Q5="Alto"</formula>
    </cfRule>
    <cfRule type="expression" dxfId="25" priority="52">
      <formula>$Q5="Medio-Alto"</formula>
    </cfRule>
    <cfRule type="expression" dxfId="24" priority="53">
      <formula>$Q5="Medio"</formula>
    </cfRule>
    <cfRule type="expression" dxfId="23" priority="54">
      <formula>$Q5="Medio-Bajo"</formula>
    </cfRule>
    <cfRule type="expression" dxfId="22" priority="55">
      <formula>$Q5="Bajo"</formula>
    </cfRule>
  </conditionalFormatting>
  <conditionalFormatting sqref="R5:R58">
    <cfRule type="expression" dxfId="21" priority="36">
      <formula>$R5="Bajo"</formula>
    </cfRule>
    <cfRule type="expression" dxfId="20" priority="37">
      <formula>$R5="Medio-Bajo"</formula>
    </cfRule>
    <cfRule type="expression" dxfId="19" priority="38">
      <formula>$R5="Medio"</formula>
    </cfRule>
    <cfRule type="expression" dxfId="18" priority="39">
      <formula>$R5="Medio-Alto"</formula>
    </cfRule>
    <cfRule type="expression" dxfId="17" priority="40">
      <formula>$R5="Alto"</formula>
    </cfRule>
  </conditionalFormatting>
  <conditionalFormatting sqref="S5:S58">
    <cfRule type="expression" dxfId="16" priority="41">
      <formula>$S5="Alto"</formula>
    </cfRule>
    <cfRule type="expression" dxfId="15" priority="42">
      <formula>$S5="Medio-Alto"</formula>
    </cfRule>
    <cfRule type="expression" dxfId="14" priority="43">
      <formula>$S5="Medio"</formula>
    </cfRule>
    <cfRule type="expression" dxfId="13" priority="44">
      <formula>$S5="Medio-Bajo"</formula>
    </cfRule>
    <cfRule type="expression" dxfId="12" priority="45">
      <formula>$S5="Bajo"</formula>
    </cfRule>
  </conditionalFormatting>
  <conditionalFormatting sqref="T5:T58">
    <cfRule type="expression" dxfId="11" priority="46">
      <formula>$T5="Alto"</formula>
    </cfRule>
    <cfRule type="expression" dxfId="10" priority="47">
      <formula>$T5="Medio-Alto"</formula>
    </cfRule>
    <cfRule type="expression" dxfId="9" priority="48">
      <formula>$T5="Medio"</formula>
    </cfRule>
    <cfRule type="expression" dxfId="8" priority="49">
      <formula>$T5="Medio-Bajo"</formula>
    </cfRule>
    <cfRule type="expression" dxfId="7" priority="50">
      <formula>$T5="Bajo"</formula>
    </cfRule>
  </conditionalFormatting>
  <dataValidations count="6">
    <dataValidation type="list" sqref="H5:H23 N5:N58" xr:uid="{00000000-0002-0000-0000-000000000000}">
      <formula1>"0,1"</formula1>
    </dataValidation>
    <dataValidation type="list" sqref="G5:G23" xr:uid="{00000000-0002-0000-0000-000001000000}">
      <formula1>"O,I,G,D"</formula1>
    </dataValidation>
    <dataValidation type="list" sqref="M5:M58" xr:uid="{00000000-0002-0000-0000-000002000000}">
      <formula1>"principal,secundario,opcional"</formula1>
    </dataValidation>
    <dataValidation type="list" sqref="K5:L58" xr:uid="{00000000-0002-0000-0000-000003000000}">
      <formula1>"O1,O2,O3,O4,O5,O6,I1,I2,I3,I4,I5,I6,I7,I8,I9,G1,G2,G3,D"</formula1>
    </dataValidation>
    <dataValidation type="list" sqref="O5:Q58" xr:uid="{00000000-0002-0000-0000-000005000000}">
      <formula1>"E,T,I"</formula1>
    </dataValidation>
    <dataValidation type="list" sqref="R5:T58 P5:Q58" xr:uid="{00000000-0002-0000-0000-000004000000}">
      <formula1>"Bajo,Bajo-Medio,Medio,Medio-Alto,Alto"</formula1>
    </dataValidation>
  </dataValidations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5" zoomScaleNormal="55" workbookViewId="0">
      <selection activeCell="AJ36" sqref="AJ36"/>
    </sheetView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26"/>
  <sheetViews>
    <sheetView showGridLines="0" zoomScaleNormal="100" workbookViewId="0">
      <selection activeCell="Z3" sqref="Z3:AA8"/>
    </sheetView>
  </sheetViews>
  <sheetFormatPr baseColWidth="10" defaultColWidth="9.140625" defaultRowHeight="17.25" customHeight="1" x14ac:dyDescent="0.25"/>
  <cols>
    <col min="1" max="1" width="9.140625" style="4" customWidth="1"/>
    <col min="2" max="2" width="32.140625" style="4" customWidth="1"/>
    <col min="3" max="3" width="18.85546875" style="4" customWidth="1"/>
    <col min="4" max="4" width="6.7109375" style="4" customWidth="1"/>
    <col min="5" max="22" width="5.140625" style="4" customWidth="1"/>
    <col min="23" max="25" width="9.140625" style="4" customWidth="1"/>
    <col min="26" max="26" width="18.7109375" style="4" customWidth="1"/>
    <col min="27" max="27" width="27.85546875" style="4" customWidth="1"/>
    <col min="28" max="16384" width="9.140625" style="4"/>
  </cols>
  <sheetData>
    <row r="2" spans="2:27" s="15" customFormat="1" ht="134.25" customHeight="1" x14ac:dyDescent="0.25">
      <c r="D2" s="27" t="str">
        <f>VLOOKUP(tblMatrizDeAdyacencia[[#Headers],[O1]],tblNodos[#All],2,FALSE)</f>
        <v>Coerción y cobros forzosos</v>
      </c>
      <c r="E2" s="27" t="str">
        <f>VLOOKUP(tblMatrizDeAdyacencia[[#Headers],[O2]],tblNodos[#All],2,FALSE)</f>
        <v>Contrabando / tráfico / comercio ilícito</v>
      </c>
      <c r="F2" s="27" t="str">
        <f>VLOOKUP(tblMatrizDeAdyacencia[[#Headers],[O3]],tblNodos[#All],2,FALSE)</f>
        <v>Explotación de recursos naturales</v>
      </c>
      <c r="G2" s="27" t="str">
        <f>VLOOKUP(tblMatrizDeAdyacencia[[#Headers],[O4]],tblNodos[#All],2,FALSE)</f>
        <v>Autofinanciación lícita / microfinanciación</v>
      </c>
      <c r="H2" s="27" t="str">
        <f>VLOOKUP(tblMatrizDeAdyacencia[[#Headers],[O5]],tblNodos[#All],2,FALSE)</f>
        <v>Actividades económicas formales / negocios</v>
      </c>
      <c r="I2" s="27" t="str">
        <f>VLOOKUP(tblMatrizDeAdyacencia[[#Headers],[O6]],tblNodos[#All],2,FALSE)</f>
        <v>Donaciones / crowdfunding / apoyo online</v>
      </c>
      <c r="J2" s="27" t="str">
        <f>VLOOKUP(tblMatrizDeAdyacencia[[#Headers],[I1]],tblNodos[#All],2,FALSE)</f>
        <v>Efectivo</v>
      </c>
      <c r="K2" s="27" t="str">
        <f>VLOOKUP(tblMatrizDeAdyacencia[[#Headers],[I2]],tblNodos[#All],2,FALSE)</f>
        <v>Hawala / HOSSP</v>
      </c>
      <c r="L2" s="27" t="str">
        <f>VLOOKUP(tblMatrizDeAdyacencia[[#Headers],[I3]],tblNodos[#All],2,FALSE)</f>
        <v>MVTS / remesas</v>
      </c>
      <c r="M2" s="27" t="str">
        <f>VLOOKUP(tblMatrizDeAdyacencia[[#Headers],[I4]],tblNodos[#All],2,FALSE)</f>
        <v>Dinero móvil</v>
      </c>
      <c r="N2" s="27" t="str">
        <f>VLOOKUP(tblMatrizDeAdyacencia[[#Headers],[I5]],tblNodos[#All],2,FALSE)</f>
        <v>Pagos online</v>
      </c>
      <c r="O2" s="27" t="str">
        <f>VLOOKUP(tblMatrizDeAdyacencia[[#Headers],[I6]],tblNodos[#All],2,FALSE)</f>
        <v>Servicios bancarios</v>
      </c>
      <c r="P2" s="27" t="str">
        <f>VLOOKUP(tblMatrizDeAdyacencia[[#Headers],[I7]],tblNodos[#All],2,FALSE)</f>
        <v>Tarjetas prepago / e-wallets</v>
      </c>
      <c r="Q2" s="27" t="str">
        <f>VLOOKUP(tblMatrizDeAdyacencia[[#Headers],[I8]],tblNodos[#All],2,FALSE)</f>
        <v>Plataformas digitales</v>
      </c>
      <c r="R2" s="27" t="str">
        <f>VLOOKUP(tblMatrizDeAdyacencia[[#Headers],[I9]],tblNodos[#All],2,FALSE)</f>
        <v>Activos virtuales</v>
      </c>
      <c r="S2" s="27" t="str">
        <f>VLOOKUP(tblMatrizDeAdyacencia[[#Headers],[G1]],tblNodos[#All],2,FALSE)</f>
        <v>Tesorería central</v>
      </c>
      <c r="T2" s="27" t="str">
        <f>VLOOKUP(tblMatrizDeAdyacencia[[#Headers],[G2]],tblNodos[#All],2,FALSE)</f>
        <v>Centro financiero regional / célula</v>
      </c>
      <c r="U2" s="27" t="str">
        <f>VLOOKUP(tblMatrizDeAdyacencia[[#Headers],[G3]],tblNodos[#All],2,FALSE)</f>
        <v>Facilitador externo / entidad instrumental</v>
      </c>
      <c r="V2" s="27" t="str">
        <f>VLOOKUP(tblMatrizDeAdyacencia[[#Headers],[D]],tblNodos[#All],2,FALSE)</f>
        <v>Destino operativo</v>
      </c>
      <c r="W2" s="26"/>
      <c r="Z2" s="16"/>
      <c r="AA2" s="16"/>
    </row>
    <row r="3" spans="2:27" ht="35.25" customHeight="1" x14ac:dyDescent="0.25">
      <c r="B3" s="8" t="s">
        <v>189</v>
      </c>
      <c r="C3" s="8" t="s">
        <v>190</v>
      </c>
      <c r="D3" s="9" t="s">
        <v>25</v>
      </c>
      <c r="E3" s="9" t="s">
        <v>38</v>
      </c>
      <c r="F3" s="9" t="s">
        <v>46</v>
      </c>
      <c r="G3" s="9" t="s">
        <v>53</v>
      </c>
      <c r="H3" s="9" t="s">
        <v>60</v>
      </c>
      <c r="I3" s="9" t="s">
        <v>65</v>
      </c>
      <c r="J3" s="9" t="s">
        <v>28</v>
      </c>
      <c r="K3" s="9" t="s">
        <v>41</v>
      </c>
      <c r="L3" s="9" t="s">
        <v>49</v>
      </c>
      <c r="M3" s="9" t="s">
        <v>56</v>
      </c>
      <c r="N3" s="9" t="s">
        <v>82</v>
      </c>
      <c r="O3" s="9" t="s">
        <v>86</v>
      </c>
      <c r="P3" s="9" t="s">
        <v>90</v>
      </c>
      <c r="Q3" s="9" t="s">
        <v>94</v>
      </c>
      <c r="R3" s="9" t="s">
        <v>63</v>
      </c>
      <c r="S3" s="9" t="s">
        <v>101</v>
      </c>
      <c r="T3" s="9" t="s">
        <v>105</v>
      </c>
      <c r="U3" s="9" t="s">
        <v>109</v>
      </c>
      <c r="V3" s="10" t="s">
        <v>51</v>
      </c>
    </row>
    <row r="4" spans="2:27" ht="17.25" customHeight="1" x14ac:dyDescent="0.25">
      <c r="B4" s="14" t="str">
        <f>VLOOKUP(tblMatrizDeAdyacencia[[#This Row],[NodoOrigen \ NodoDestino]],tblNodos[#All],2,FALSE)</f>
        <v>Coerción y cobros forzosos</v>
      </c>
      <c r="C4" s="6" t="s">
        <v>25</v>
      </c>
      <c r="D4" s="5">
        <f>IF(COUNTIFS(Red!$K$5:$K$58,$C4,Red!$L$5:$L$58,D$3,Red!$N$5:$N$58,1)&gt;0,1,0)</f>
        <v>0</v>
      </c>
      <c r="E4" s="5">
        <f>IF(COUNTIFS(Red!$K$5:$K$58,$C4,Red!$L$5:$L$58,E$3,Red!$N$5:$N$58,1)&gt;0,1,0)</f>
        <v>0</v>
      </c>
      <c r="F4" s="5">
        <f>IF(COUNTIFS(Red!$K$5:$K$58,$C4,Red!$L$5:$L$58,F$3,Red!$N$5:$N$58,1)&gt;0,1,0)</f>
        <v>0</v>
      </c>
      <c r="G4" s="5">
        <f>IF(COUNTIFS(Red!$K$5:$K$58,$C4,Red!$L$5:$L$58,G$3,Red!$N$5:$N$58,1)&gt;0,1,0)</f>
        <v>0</v>
      </c>
      <c r="H4" s="5">
        <f>IF(COUNTIFS(Red!$K$5:$K$58,$C4,Red!$L$5:$L$58,H$3,Red!$N$5:$N$58,1)&gt;0,1,0)</f>
        <v>0</v>
      </c>
      <c r="I4" s="5">
        <f>IF(COUNTIFS(Red!$K$5:$K$58,$C4,Red!$L$5:$L$58,I$3,Red!$N$5:$N$58,1)&gt;0,1,0)</f>
        <v>0</v>
      </c>
      <c r="J4" s="5">
        <f>IF(COUNTIFS(Red!$K$5:$K$58,$C4,Red!$L$5:$L$58,J$3,Red!$N$5:$N$58,1)&gt;0,1,0)</f>
        <v>1</v>
      </c>
      <c r="K4" s="5">
        <f>IF(COUNTIFS(Red!$K$5:$K$58,$C4,Red!$L$5:$L$58,K$3,Red!$N$5:$N$58,1)&gt;0,1,0)</f>
        <v>1</v>
      </c>
      <c r="L4" s="5">
        <f>IF(COUNTIFS(Red!$K$5:$K$58,$C4,Red!$L$5:$L$58,L$3,Red!$N$5:$N$58,1)&gt;0,1,0)</f>
        <v>1</v>
      </c>
      <c r="M4" s="5">
        <f>IF(COUNTIFS(Red!$K$5:$K$58,$C4,Red!$L$5:$L$58,M$3,Red!$N$5:$N$58,1)&gt;0,1,0)</f>
        <v>1</v>
      </c>
      <c r="N4" s="5">
        <f>IF(COUNTIFS(Red!$K$5:$K$58,$C4,Red!$L$5:$L$58,N$3,Red!$N$5:$N$58,1)&gt;0,1,0)</f>
        <v>0</v>
      </c>
      <c r="O4" s="5">
        <f>IF(COUNTIFS(Red!$K$5:$K$58,$C4,Red!$L$5:$L$58,O$3,Red!$N$5:$N$58,1)&gt;0,1,0)</f>
        <v>0</v>
      </c>
      <c r="P4" s="5">
        <f>IF(COUNTIFS(Red!$K$5:$K$58,$C4,Red!$L$5:$L$58,P$3,Red!$N$5:$N$58,1)&gt;0,1,0)</f>
        <v>0</v>
      </c>
      <c r="Q4" s="5">
        <f>IF(COUNTIFS(Red!$K$5:$K$58,$C4,Red!$L$5:$L$58,Q$3,Red!$N$5:$N$58,1)&gt;0,1,0)</f>
        <v>0</v>
      </c>
      <c r="R4" s="5">
        <f>IF(COUNTIFS(Red!$K$5:$K$58,$C4,Red!$L$5:$L$58,R$3,Red!$N$5:$N$58,1)&gt;0,1,0)</f>
        <v>1</v>
      </c>
      <c r="S4" s="5">
        <f>IF(COUNTIFS(Red!$K$5:$K$58,$C4,Red!$L$5:$L$58,S$3,Red!$N$5:$N$58,1)&gt;0,1,0)</f>
        <v>0</v>
      </c>
      <c r="T4" s="5">
        <f>IF(COUNTIFS(Red!$K$5:$K$58,$C4,Red!$L$5:$L$58,T$3,Red!$N$5:$N$58,1)&gt;0,1,0)</f>
        <v>0</v>
      </c>
      <c r="U4" s="5">
        <f>IF(COUNTIFS(Red!$K$5:$K$58,$C4,Red!$L$5:$L$58,U$3,Red!$N$5:$N$58,1)&gt;0,1,0)</f>
        <v>0</v>
      </c>
      <c r="V4" s="7">
        <f>IF(COUNTIFS(Red!$K$5:$K$58,$C4,Red!$L$5:$L$58,V$3,Red!$N$5:$N$58,1)&gt;0,1,0)</f>
        <v>0</v>
      </c>
    </row>
    <row r="5" spans="2:27" ht="17.25" customHeight="1" x14ac:dyDescent="0.25">
      <c r="B5" s="15" t="str">
        <f>VLOOKUP(tblMatrizDeAdyacencia[[#This Row],[NodoOrigen \ NodoDestino]],tblNodos[#All],2,FALSE)</f>
        <v>Contrabando / tráfico / comercio ilícito</v>
      </c>
      <c r="C5" s="6" t="s">
        <v>38</v>
      </c>
      <c r="D5" s="5">
        <f>IF(COUNTIFS(Red!$K$5:$K$58,$C5,Red!$L$5:$L$58,D$3,Red!$N$5:$N$58,1)&gt;0,1,0)</f>
        <v>0</v>
      </c>
      <c r="E5" s="5">
        <f>IF(COUNTIFS(Red!$K$5:$K$58,$C5,Red!$L$5:$L$58,E$3,Red!$N$5:$N$58,1)&gt;0,1,0)</f>
        <v>0</v>
      </c>
      <c r="F5" s="5">
        <f>IF(COUNTIFS(Red!$K$5:$K$58,$C5,Red!$L$5:$L$58,F$3,Red!$N$5:$N$58,1)&gt;0,1,0)</f>
        <v>0</v>
      </c>
      <c r="G5" s="5">
        <f>IF(COUNTIFS(Red!$K$5:$K$58,$C5,Red!$L$5:$L$58,G$3,Red!$N$5:$N$58,1)&gt;0,1,0)</f>
        <v>0</v>
      </c>
      <c r="H5" s="5">
        <f>IF(COUNTIFS(Red!$K$5:$K$58,$C5,Red!$L$5:$L$58,H$3,Red!$N$5:$N$58,1)&gt;0,1,0)</f>
        <v>0</v>
      </c>
      <c r="I5" s="5">
        <f>IF(COUNTIFS(Red!$K$5:$K$58,$C5,Red!$L$5:$L$58,I$3,Red!$N$5:$N$58,1)&gt;0,1,0)</f>
        <v>0</v>
      </c>
      <c r="J5" s="5">
        <f>IF(COUNTIFS(Red!$K$5:$K$58,$C5,Red!$L$5:$L$58,J$3,Red!$N$5:$N$58,1)&gt;0,1,0)</f>
        <v>1</v>
      </c>
      <c r="K5" s="5">
        <f>IF(COUNTIFS(Red!$K$5:$K$58,$C5,Red!$L$5:$L$58,K$3,Red!$N$5:$N$58,1)&gt;0,1,0)</f>
        <v>1</v>
      </c>
      <c r="L5" s="5">
        <f>IF(COUNTIFS(Red!$K$5:$K$58,$C5,Red!$L$5:$L$58,L$3,Red!$N$5:$N$58,1)&gt;0,1,0)</f>
        <v>1</v>
      </c>
      <c r="M5" s="5">
        <f>IF(COUNTIFS(Red!$K$5:$K$58,$C5,Red!$L$5:$L$58,M$3,Red!$N$5:$N$58,1)&gt;0,1,0)</f>
        <v>0</v>
      </c>
      <c r="N5" s="5">
        <f>IF(COUNTIFS(Red!$K$5:$K$58,$C5,Red!$L$5:$L$58,N$3,Red!$N$5:$N$58,1)&gt;0,1,0)</f>
        <v>0</v>
      </c>
      <c r="O5" s="5">
        <f>IF(COUNTIFS(Red!$K$5:$K$58,$C5,Red!$L$5:$L$58,O$3,Red!$N$5:$N$58,1)&gt;0,1,0)</f>
        <v>0</v>
      </c>
      <c r="P5" s="5">
        <f>IF(COUNTIFS(Red!$K$5:$K$58,$C5,Red!$L$5:$L$58,P$3,Red!$N$5:$N$58,1)&gt;0,1,0)</f>
        <v>0</v>
      </c>
      <c r="Q5" s="5">
        <f>IF(COUNTIFS(Red!$K$5:$K$58,$C5,Red!$L$5:$L$58,Q$3,Red!$N$5:$N$58,1)&gt;0,1,0)</f>
        <v>0</v>
      </c>
      <c r="R5" s="5">
        <f>IF(COUNTIFS(Red!$K$5:$K$58,$C5,Red!$L$5:$L$58,R$3,Red!$N$5:$N$58,1)&gt;0,1,0)</f>
        <v>0</v>
      </c>
      <c r="S5" s="5">
        <f>IF(COUNTIFS(Red!$K$5:$K$58,$C5,Red!$L$5:$L$58,S$3,Red!$N$5:$N$58,1)&gt;0,1,0)</f>
        <v>0</v>
      </c>
      <c r="T5" s="5">
        <f>IF(COUNTIFS(Red!$K$5:$K$58,$C5,Red!$L$5:$L$58,T$3,Red!$N$5:$N$58,1)&gt;0,1,0)</f>
        <v>0</v>
      </c>
      <c r="U5" s="5">
        <f>IF(COUNTIFS(Red!$K$5:$K$58,$C5,Red!$L$5:$L$58,U$3,Red!$N$5:$N$58,1)&gt;0,1,0)</f>
        <v>0</v>
      </c>
      <c r="V5" s="7">
        <f>IF(COUNTIFS(Red!$K$5:$K$58,$C5,Red!$L$5:$L$58,V$3,Red!$N$5:$N$58,1)&gt;0,1,0)</f>
        <v>0</v>
      </c>
    </row>
    <row r="6" spans="2:27" ht="17.25" customHeight="1" x14ac:dyDescent="0.25">
      <c r="B6" s="15" t="str">
        <f>VLOOKUP(tblMatrizDeAdyacencia[[#This Row],[NodoOrigen \ NodoDestino]],tblNodos[#All],2,FALSE)</f>
        <v>Explotación de recursos naturales</v>
      </c>
      <c r="C6" s="6" t="s">
        <v>46</v>
      </c>
      <c r="D6" s="5">
        <f>IF(COUNTIFS(Red!$K$5:$K$58,$C6,Red!$L$5:$L$58,D$3,Red!$N$5:$N$58,1)&gt;0,1,0)</f>
        <v>0</v>
      </c>
      <c r="E6" s="5">
        <f>IF(COUNTIFS(Red!$K$5:$K$58,$C6,Red!$L$5:$L$58,E$3,Red!$N$5:$N$58,1)&gt;0,1,0)</f>
        <v>0</v>
      </c>
      <c r="F6" s="5">
        <f>IF(COUNTIFS(Red!$K$5:$K$58,$C6,Red!$L$5:$L$58,F$3,Red!$N$5:$N$58,1)&gt;0,1,0)</f>
        <v>0</v>
      </c>
      <c r="G6" s="5">
        <f>IF(COUNTIFS(Red!$K$5:$K$58,$C6,Red!$L$5:$L$58,G$3,Red!$N$5:$N$58,1)&gt;0,1,0)</f>
        <v>0</v>
      </c>
      <c r="H6" s="5">
        <f>IF(COUNTIFS(Red!$K$5:$K$58,$C6,Red!$L$5:$L$58,H$3,Red!$N$5:$N$58,1)&gt;0,1,0)</f>
        <v>0</v>
      </c>
      <c r="I6" s="5">
        <f>IF(COUNTIFS(Red!$K$5:$K$58,$C6,Red!$L$5:$L$58,I$3,Red!$N$5:$N$58,1)&gt;0,1,0)</f>
        <v>0</v>
      </c>
      <c r="J6" s="5">
        <f>IF(COUNTIFS(Red!$K$5:$K$58,$C6,Red!$L$5:$L$58,J$3,Red!$N$5:$N$58,1)&gt;0,1,0)</f>
        <v>1</v>
      </c>
      <c r="K6" s="5">
        <f>IF(COUNTIFS(Red!$K$5:$K$58,$C6,Red!$L$5:$L$58,K$3,Red!$N$5:$N$58,1)&gt;0,1,0)</f>
        <v>1</v>
      </c>
      <c r="L6" s="5">
        <f>IF(COUNTIFS(Red!$K$5:$K$58,$C6,Red!$L$5:$L$58,L$3,Red!$N$5:$N$58,1)&gt;0,1,0)</f>
        <v>1</v>
      </c>
      <c r="M6" s="5">
        <f>IF(COUNTIFS(Red!$K$5:$K$58,$C6,Red!$L$5:$L$58,M$3,Red!$N$5:$N$58,1)&gt;0,1,0)</f>
        <v>0</v>
      </c>
      <c r="N6" s="5">
        <f>IF(COUNTIFS(Red!$K$5:$K$58,$C6,Red!$L$5:$L$58,N$3,Red!$N$5:$N$58,1)&gt;0,1,0)</f>
        <v>0</v>
      </c>
      <c r="O6" s="5">
        <f>IF(COUNTIFS(Red!$K$5:$K$58,$C6,Red!$L$5:$L$58,O$3,Red!$N$5:$N$58,1)&gt;0,1,0)</f>
        <v>0</v>
      </c>
      <c r="P6" s="5">
        <f>IF(COUNTIFS(Red!$K$5:$K$58,$C6,Red!$L$5:$L$58,P$3,Red!$N$5:$N$58,1)&gt;0,1,0)</f>
        <v>0</v>
      </c>
      <c r="Q6" s="5">
        <f>IF(COUNTIFS(Red!$K$5:$K$58,$C6,Red!$L$5:$L$58,Q$3,Red!$N$5:$N$58,1)&gt;0,1,0)</f>
        <v>0</v>
      </c>
      <c r="R6" s="5">
        <f>IF(COUNTIFS(Red!$K$5:$K$58,$C6,Red!$L$5:$L$58,R$3,Red!$N$5:$N$58,1)&gt;0,1,0)</f>
        <v>0</v>
      </c>
      <c r="S6" s="5">
        <f>IF(COUNTIFS(Red!$K$5:$K$58,$C6,Red!$L$5:$L$58,S$3,Red!$N$5:$N$58,1)&gt;0,1,0)</f>
        <v>0</v>
      </c>
      <c r="T6" s="5">
        <f>IF(COUNTIFS(Red!$K$5:$K$58,$C6,Red!$L$5:$L$58,T$3,Red!$N$5:$N$58,1)&gt;0,1,0)</f>
        <v>0</v>
      </c>
      <c r="U6" s="5">
        <f>IF(COUNTIFS(Red!$K$5:$K$58,$C6,Red!$L$5:$L$58,U$3,Red!$N$5:$N$58,1)&gt;0,1,0)</f>
        <v>0</v>
      </c>
      <c r="V6" s="7">
        <f>IF(COUNTIFS(Red!$K$5:$K$58,$C6,Red!$L$5:$L$58,V$3,Red!$N$5:$N$58,1)&gt;0,1,0)</f>
        <v>0</v>
      </c>
    </row>
    <row r="7" spans="2:27" ht="17.25" customHeight="1" x14ac:dyDescent="0.25">
      <c r="B7" s="15" t="str">
        <f>VLOOKUP(tblMatrizDeAdyacencia[[#This Row],[NodoOrigen \ NodoDestino]],tblNodos[#All],2,FALSE)</f>
        <v>Autofinanciación lícita / microfinanciación</v>
      </c>
      <c r="C7" s="6" t="s">
        <v>53</v>
      </c>
      <c r="D7" s="5">
        <f>IF(COUNTIFS(Red!$K$5:$K$58,$C7,Red!$L$5:$L$58,D$3,Red!$N$5:$N$58,1)&gt;0,1,0)</f>
        <v>0</v>
      </c>
      <c r="E7" s="5">
        <f>IF(COUNTIFS(Red!$K$5:$K$58,$C7,Red!$L$5:$L$58,E$3,Red!$N$5:$N$58,1)&gt;0,1,0)</f>
        <v>0</v>
      </c>
      <c r="F7" s="5">
        <f>IF(COUNTIFS(Red!$K$5:$K$58,$C7,Red!$L$5:$L$58,F$3,Red!$N$5:$N$58,1)&gt;0,1,0)</f>
        <v>0</v>
      </c>
      <c r="G7" s="5">
        <f>IF(COUNTIFS(Red!$K$5:$K$58,$C7,Red!$L$5:$L$58,G$3,Red!$N$5:$N$58,1)&gt;0,1,0)</f>
        <v>0</v>
      </c>
      <c r="H7" s="5">
        <f>IF(COUNTIFS(Red!$K$5:$K$58,$C7,Red!$L$5:$L$58,H$3,Red!$N$5:$N$58,1)&gt;0,1,0)</f>
        <v>0</v>
      </c>
      <c r="I7" s="5">
        <f>IF(COUNTIFS(Red!$K$5:$K$58,$C7,Red!$L$5:$L$58,I$3,Red!$N$5:$N$58,1)&gt;0,1,0)</f>
        <v>0</v>
      </c>
      <c r="J7" s="5">
        <f>IF(COUNTIFS(Red!$K$5:$K$58,$C7,Red!$L$5:$L$58,J$3,Red!$N$5:$N$58,1)&gt;0,1,0)</f>
        <v>0</v>
      </c>
      <c r="K7" s="5">
        <f>IF(COUNTIFS(Red!$K$5:$K$58,$C7,Red!$L$5:$L$58,K$3,Red!$N$5:$N$58,1)&gt;0,1,0)</f>
        <v>0</v>
      </c>
      <c r="L7" s="5">
        <f>IF(COUNTIFS(Red!$K$5:$K$58,$C7,Red!$L$5:$L$58,L$3,Red!$N$5:$N$58,1)&gt;0,1,0)</f>
        <v>0</v>
      </c>
      <c r="M7" s="5">
        <f>IF(COUNTIFS(Red!$K$5:$K$58,$C7,Red!$L$5:$L$58,M$3,Red!$N$5:$N$58,1)&gt;0,1,0)</f>
        <v>1</v>
      </c>
      <c r="N7" s="5">
        <f>IF(COUNTIFS(Red!$K$5:$K$58,$C7,Red!$L$5:$L$58,N$3,Red!$N$5:$N$58,1)&gt;0,1,0)</f>
        <v>1</v>
      </c>
      <c r="O7" s="5">
        <f>IF(COUNTIFS(Red!$K$5:$K$58,$C7,Red!$L$5:$L$58,O$3,Red!$N$5:$N$58,1)&gt;0,1,0)</f>
        <v>1</v>
      </c>
      <c r="P7" s="5">
        <f>IF(COUNTIFS(Red!$K$5:$K$58,$C7,Red!$L$5:$L$58,P$3,Red!$N$5:$N$58,1)&gt;0,1,0)</f>
        <v>1</v>
      </c>
      <c r="Q7" s="5">
        <f>IF(COUNTIFS(Red!$K$5:$K$58,$C7,Red!$L$5:$L$58,Q$3,Red!$N$5:$N$58,1)&gt;0,1,0)</f>
        <v>0</v>
      </c>
      <c r="R7" s="5">
        <f>IF(COUNTIFS(Red!$K$5:$K$58,$C7,Red!$L$5:$L$58,R$3,Red!$N$5:$N$58,1)&gt;0,1,0)</f>
        <v>0</v>
      </c>
      <c r="S7" s="5">
        <f>IF(COUNTIFS(Red!$K$5:$K$58,$C7,Red!$L$5:$L$58,S$3,Red!$N$5:$N$58,1)&gt;0,1,0)</f>
        <v>0</v>
      </c>
      <c r="T7" s="5">
        <f>IF(COUNTIFS(Red!$K$5:$K$58,$C7,Red!$L$5:$L$58,T$3,Red!$N$5:$N$58,1)&gt;0,1,0)</f>
        <v>0</v>
      </c>
      <c r="U7" s="5">
        <f>IF(COUNTIFS(Red!$K$5:$K$58,$C7,Red!$L$5:$L$58,U$3,Red!$N$5:$N$58,1)&gt;0,1,0)</f>
        <v>0</v>
      </c>
      <c r="V7" s="7">
        <f>IF(COUNTIFS(Red!$K$5:$K$58,$C7,Red!$L$5:$L$58,V$3,Red!$N$5:$N$58,1)&gt;0,1,0)</f>
        <v>0</v>
      </c>
    </row>
    <row r="8" spans="2:27" ht="17.25" customHeight="1" x14ac:dyDescent="0.25">
      <c r="B8" s="15" t="str">
        <f>VLOOKUP(tblMatrizDeAdyacencia[[#This Row],[NodoOrigen \ NodoDestino]],tblNodos[#All],2,FALSE)</f>
        <v>Actividades económicas formales / negocios</v>
      </c>
      <c r="C8" s="6" t="s">
        <v>60</v>
      </c>
      <c r="D8" s="5">
        <f>IF(COUNTIFS(Red!$K$5:$K$58,$C8,Red!$L$5:$L$58,D$3,Red!$N$5:$N$58,1)&gt;0,1,0)</f>
        <v>0</v>
      </c>
      <c r="E8" s="5">
        <f>IF(COUNTIFS(Red!$K$5:$K$58,$C8,Red!$L$5:$L$58,E$3,Red!$N$5:$N$58,1)&gt;0,1,0)</f>
        <v>0</v>
      </c>
      <c r="F8" s="5">
        <f>IF(COUNTIFS(Red!$K$5:$K$58,$C8,Red!$L$5:$L$58,F$3,Red!$N$5:$N$58,1)&gt;0,1,0)</f>
        <v>0</v>
      </c>
      <c r="G8" s="5">
        <f>IF(COUNTIFS(Red!$K$5:$K$58,$C8,Red!$L$5:$L$58,G$3,Red!$N$5:$N$58,1)&gt;0,1,0)</f>
        <v>0</v>
      </c>
      <c r="H8" s="5">
        <f>IF(COUNTIFS(Red!$K$5:$K$58,$C8,Red!$L$5:$L$58,H$3,Red!$N$5:$N$58,1)&gt;0,1,0)</f>
        <v>0</v>
      </c>
      <c r="I8" s="5">
        <f>IF(COUNTIFS(Red!$K$5:$K$58,$C8,Red!$L$5:$L$58,I$3,Red!$N$5:$N$58,1)&gt;0,1,0)</f>
        <v>0</v>
      </c>
      <c r="J8" s="5">
        <f>IF(COUNTIFS(Red!$K$5:$K$58,$C8,Red!$L$5:$L$58,J$3,Red!$N$5:$N$58,1)&gt;0,1,0)</f>
        <v>1</v>
      </c>
      <c r="K8" s="5">
        <f>IF(COUNTIFS(Red!$K$5:$K$58,$C8,Red!$L$5:$L$58,K$3,Red!$N$5:$N$58,1)&gt;0,1,0)</f>
        <v>0</v>
      </c>
      <c r="L8" s="5">
        <f>IF(COUNTIFS(Red!$K$5:$K$58,$C8,Red!$L$5:$L$58,L$3,Red!$N$5:$N$58,1)&gt;0,1,0)</f>
        <v>0</v>
      </c>
      <c r="M8" s="5">
        <f>IF(COUNTIFS(Red!$K$5:$K$58,$C8,Red!$L$5:$L$58,M$3,Red!$N$5:$N$58,1)&gt;0,1,0)</f>
        <v>0</v>
      </c>
      <c r="N8" s="5">
        <f>IF(COUNTIFS(Red!$K$5:$K$58,$C8,Red!$L$5:$L$58,N$3,Red!$N$5:$N$58,1)&gt;0,1,0)</f>
        <v>1</v>
      </c>
      <c r="O8" s="5">
        <f>IF(COUNTIFS(Red!$K$5:$K$58,$C8,Red!$L$5:$L$58,O$3,Red!$N$5:$N$58,1)&gt;0,1,0)</f>
        <v>1</v>
      </c>
      <c r="P8" s="5">
        <f>IF(COUNTIFS(Red!$K$5:$K$58,$C8,Red!$L$5:$L$58,P$3,Red!$N$5:$N$58,1)&gt;0,1,0)</f>
        <v>0</v>
      </c>
      <c r="Q8" s="5">
        <f>IF(COUNTIFS(Red!$K$5:$K$58,$C8,Red!$L$5:$L$58,Q$3,Red!$N$5:$N$58,1)&gt;0,1,0)</f>
        <v>0</v>
      </c>
      <c r="R8" s="5">
        <f>IF(COUNTIFS(Red!$K$5:$K$58,$C8,Red!$L$5:$L$58,R$3,Red!$N$5:$N$58,1)&gt;0,1,0)</f>
        <v>0</v>
      </c>
      <c r="S8" s="5">
        <f>IF(COUNTIFS(Red!$K$5:$K$58,$C8,Red!$L$5:$L$58,S$3,Red!$N$5:$N$58,1)&gt;0,1,0)</f>
        <v>0</v>
      </c>
      <c r="T8" s="5">
        <f>IF(COUNTIFS(Red!$K$5:$K$58,$C8,Red!$L$5:$L$58,T$3,Red!$N$5:$N$58,1)&gt;0,1,0)</f>
        <v>0</v>
      </c>
      <c r="U8" s="5">
        <f>IF(COUNTIFS(Red!$K$5:$K$58,$C8,Red!$L$5:$L$58,U$3,Red!$N$5:$N$58,1)&gt;0,1,0)</f>
        <v>0</v>
      </c>
      <c r="V8" s="7">
        <f>IF(COUNTIFS(Red!$K$5:$K$58,$C8,Red!$L$5:$L$58,V$3,Red!$N$5:$N$58,1)&gt;0,1,0)</f>
        <v>0</v>
      </c>
    </row>
    <row r="9" spans="2:27" ht="17.25" customHeight="1" x14ac:dyDescent="0.25">
      <c r="B9" s="15" t="str">
        <f>VLOOKUP(tblMatrizDeAdyacencia[[#This Row],[NodoOrigen \ NodoDestino]],tblNodos[#All],2,FALSE)</f>
        <v>Donaciones / crowdfunding / apoyo online</v>
      </c>
      <c r="C9" s="6" t="s">
        <v>65</v>
      </c>
      <c r="D9" s="5">
        <f>IF(COUNTIFS(Red!$K$5:$K$58,$C9,Red!$L$5:$L$58,D$3,Red!$N$5:$N$58,1)&gt;0,1,0)</f>
        <v>0</v>
      </c>
      <c r="E9" s="5">
        <f>IF(COUNTIFS(Red!$K$5:$K$58,$C9,Red!$L$5:$L$58,E$3,Red!$N$5:$N$58,1)&gt;0,1,0)</f>
        <v>0</v>
      </c>
      <c r="F9" s="5">
        <f>IF(COUNTIFS(Red!$K$5:$K$58,$C9,Red!$L$5:$L$58,F$3,Red!$N$5:$N$58,1)&gt;0,1,0)</f>
        <v>0</v>
      </c>
      <c r="G9" s="5">
        <f>IF(COUNTIFS(Red!$K$5:$K$58,$C9,Red!$L$5:$L$58,G$3,Red!$N$5:$N$58,1)&gt;0,1,0)</f>
        <v>0</v>
      </c>
      <c r="H9" s="5">
        <f>IF(COUNTIFS(Red!$K$5:$K$58,$C9,Red!$L$5:$L$58,H$3,Red!$N$5:$N$58,1)&gt;0,1,0)</f>
        <v>0</v>
      </c>
      <c r="I9" s="5">
        <f>IF(COUNTIFS(Red!$K$5:$K$58,$C9,Red!$L$5:$L$58,I$3,Red!$N$5:$N$58,1)&gt;0,1,0)</f>
        <v>0</v>
      </c>
      <c r="J9" s="5">
        <f>IF(COUNTIFS(Red!$K$5:$K$58,$C9,Red!$L$5:$L$58,J$3,Red!$N$5:$N$58,1)&gt;0,1,0)</f>
        <v>0</v>
      </c>
      <c r="K9" s="5">
        <f>IF(COUNTIFS(Red!$K$5:$K$58,$C9,Red!$L$5:$L$58,K$3,Red!$N$5:$N$58,1)&gt;0,1,0)</f>
        <v>0</v>
      </c>
      <c r="L9" s="5">
        <f>IF(COUNTIFS(Red!$K$5:$K$58,$C9,Red!$L$5:$L$58,L$3,Red!$N$5:$N$58,1)&gt;0,1,0)</f>
        <v>1</v>
      </c>
      <c r="M9" s="5">
        <f>IF(COUNTIFS(Red!$K$5:$K$58,$C9,Red!$L$5:$L$58,M$3,Red!$N$5:$N$58,1)&gt;0,1,0)</f>
        <v>0</v>
      </c>
      <c r="N9" s="5">
        <f>IF(COUNTIFS(Red!$K$5:$K$58,$C9,Red!$L$5:$L$58,N$3,Red!$N$5:$N$58,1)&gt;0,1,0)</f>
        <v>1</v>
      </c>
      <c r="O9" s="5">
        <f>IF(COUNTIFS(Red!$K$5:$K$58,$C9,Red!$L$5:$L$58,O$3,Red!$N$5:$N$58,1)&gt;0,1,0)</f>
        <v>0</v>
      </c>
      <c r="P9" s="5">
        <f>IF(COUNTIFS(Red!$K$5:$K$58,$C9,Red!$L$5:$L$58,P$3,Red!$N$5:$N$58,1)&gt;0,1,0)</f>
        <v>0</v>
      </c>
      <c r="Q9" s="5">
        <f>IF(COUNTIFS(Red!$K$5:$K$58,$C9,Red!$L$5:$L$58,Q$3,Red!$N$5:$N$58,1)&gt;0,1,0)</f>
        <v>1</v>
      </c>
      <c r="R9" s="5">
        <f>IF(COUNTIFS(Red!$K$5:$K$58,$C9,Red!$L$5:$L$58,R$3,Red!$N$5:$N$58,1)&gt;0,1,0)</f>
        <v>1</v>
      </c>
      <c r="S9" s="5">
        <f>IF(COUNTIFS(Red!$K$5:$K$58,$C9,Red!$L$5:$L$58,S$3,Red!$N$5:$N$58,1)&gt;0,1,0)</f>
        <v>0</v>
      </c>
      <c r="T9" s="5">
        <f>IF(COUNTIFS(Red!$K$5:$K$58,$C9,Red!$L$5:$L$58,T$3,Red!$N$5:$N$58,1)&gt;0,1,0)</f>
        <v>0</v>
      </c>
      <c r="U9" s="5">
        <f>IF(COUNTIFS(Red!$K$5:$K$58,$C9,Red!$L$5:$L$58,U$3,Red!$N$5:$N$58,1)&gt;0,1,0)</f>
        <v>0</v>
      </c>
      <c r="V9" s="7">
        <f>IF(COUNTIFS(Red!$K$5:$K$58,$C9,Red!$L$5:$L$58,V$3,Red!$N$5:$N$58,1)&gt;0,1,0)</f>
        <v>0</v>
      </c>
    </row>
    <row r="10" spans="2:27" ht="17.25" customHeight="1" x14ac:dyDescent="0.25">
      <c r="B10" s="15" t="str">
        <f>VLOOKUP(tblMatrizDeAdyacencia[[#This Row],[NodoOrigen \ NodoDestino]],tblNodos[#All],2,FALSE)</f>
        <v>Efectivo</v>
      </c>
      <c r="C10" s="6" t="s">
        <v>28</v>
      </c>
      <c r="D10" s="5">
        <f>IF(COUNTIFS(Red!$K$5:$K$58,$C10,Red!$L$5:$L$58,D$3,Red!$N$5:$N$58,1)&gt;0,1,0)</f>
        <v>0</v>
      </c>
      <c r="E10" s="5">
        <f>IF(COUNTIFS(Red!$K$5:$K$58,$C10,Red!$L$5:$L$58,E$3,Red!$N$5:$N$58,1)&gt;0,1,0)</f>
        <v>0</v>
      </c>
      <c r="F10" s="5">
        <f>IF(COUNTIFS(Red!$K$5:$K$58,$C10,Red!$L$5:$L$58,F$3,Red!$N$5:$N$58,1)&gt;0,1,0)</f>
        <v>0</v>
      </c>
      <c r="G10" s="5">
        <f>IF(COUNTIFS(Red!$K$5:$K$58,$C10,Red!$L$5:$L$58,G$3,Red!$N$5:$N$58,1)&gt;0,1,0)</f>
        <v>0</v>
      </c>
      <c r="H10" s="5">
        <f>IF(COUNTIFS(Red!$K$5:$K$58,$C10,Red!$L$5:$L$58,H$3,Red!$N$5:$N$58,1)&gt;0,1,0)</f>
        <v>0</v>
      </c>
      <c r="I10" s="5">
        <f>IF(COUNTIFS(Red!$K$5:$K$58,$C10,Red!$L$5:$L$58,I$3,Red!$N$5:$N$58,1)&gt;0,1,0)</f>
        <v>0</v>
      </c>
      <c r="J10" s="5">
        <f>IF(COUNTIFS(Red!$K$5:$K$58,$C10,Red!$L$5:$L$58,J$3,Red!$N$5:$N$58,1)&gt;0,1,0)</f>
        <v>0</v>
      </c>
      <c r="K10" s="5">
        <f>IF(COUNTIFS(Red!$K$5:$K$58,$C10,Red!$L$5:$L$58,K$3,Red!$N$5:$N$58,1)&gt;0,1,0)</f>
        <v>1</v>
      </c>
      <c r="L10" s="5">
        <f>IF(COUNTIFS(Red!$K$5:$K$58,$C10,Red!$L$5:$L$58,L$3,Red!$N$5:$N$58,1)&gt;0,1,0)</f>
        <v>0</v>
      </c>
      <c r="M10" s="5">
        <f>IF(COUNTIFS(Red!$K$5:$K$58,$C10,Red!$L$5:$L$58,M$3,Red!$N$5:$N$58,1)&gt;0,1,0)</f>
        <v>1</v>
      </c>
      <c r="N10" s="5">
        <f>IF(COUNTIFS(Red!$K$5:$K$58,$C10,Red!$L$5:$L$58,N$3,Red!$N$5:$N$58,1)&gt;0,1,0)</f>
        <v>0</v>
      </c>
      <c r="O10" s="5">
        <f>IF(COUNTIFS(Red!$K$5:$K$58,$C10,Red!$L$5:$L$58,O$3,Red!$N$5:$N$58,1)&gt;0,1,0)</f>
        <v>0</v>
      </c>
      <c r="P10" s="5">
        <f>IF(COUNTIFS(Red!$K$5:$K$58,$C10,Red!$L$5:$L$58,P$3,Red!$N$5:$N$58,1)&gt;0,1,0)</f>
        <v>0</v>
      </c>
      <c r="Q10" s="5">
        <f>IF(COUNTIFS(Red!$K$5:$K$58,$C10,Red!$L$5:$L$58,Q$3,Red!$N$5:$N$58,1)&gt;0,1,0)</f>
        <v>0</v>
      </c>
      <c r="R10" s="5">
        <f>IF(COUNTIFS(Red!$K$5:$K$58,$C10,Red!$L$5:$L$58,R$3,Red!$N$5:$N$58,1)&gt;0,1,0)</f>
        <v>1</v>
      </c>
      <c r="S10" s="5">
        <f>IF(COUNTIFS(Red!$K$5:$K$58,$C10,Red!$L$5:$L$58,S$3,Red!$N$5:$N$58,1)&gt;0,1,0)</f>
        <v>0</v>
      </c>
      <c r="T10" s="5">
        <f>IF(COUNTIFS(Red!$K$5:$K$58,$C10,Red!$L$5:$L$58,T$3,Red!$N$5:$N$58,1)&gt;0,1,0)</f>
        <v>0</v>
      </c>
      <c r="U10" s="5">
        <f>IF(COUNTIFS(Red!$K$5:$K$58,$C10,Red!$L$5:$L$58,U$3,Red!$N$5:$N$58,1)&gt;0,1,0)</f>
        <v>0</v>
      </c>
      <c r="V10" s="7">
        <f>IF(COUNTIFS(Red!$K$5:$K$58,$C10,Red!$L$5:$L$58,V$3,Red!$N$5:$N$58,1)&gt;0,1,0)</f>
        <v>1</v>
      </c>
    </row>
    <row r="11" spans="2:27" ht="17.25" customHeight="1" x14ac:dyDescent="0.25">
      <c r="B11" s="15" t="str">
        <f>VLOOKUP(tblMatrizDeAdyacencia[[#This Row],[NodoOrigen \ NodoDestino]],tblNodos[#All],2,FALSE)</f>
        <v>Hawala / HOSSP</v>
      </c>
      <c r="C11" s="6" t="s">
        <v>41</v>
      </c>
      <c r="D11" s="5">
        <f>IF(COUNTIFS(Red!$K$5:$K$58,$C11,Red!$L$5:$L$58,D$3,Red!$N$5:$N$58,1)&gt;0,1,0)</f>
        <v>0</v>
      </c>
      <c r="E11" s="5">
        <f>IF(COUNTIFS(Red!$K$5:$K$58,$C11,Red!$L$5:$L$58,E$3,Red!$N$5:$N$58,1)&gt;0,1,0)</f>
        <v>0</v>
      </c>
      <c r="F11" s="5">
        <f>IF(COUNTIFS(Red!$K$5:$K$58,$C11,Red!$L$5:$L$58,F$3,Red!$N$5:$N$58,1)&gt;0,1,0)</f>
        <v>0</v>
      </c>
      <c r="G11" s="5">
        <f>IF(COUNTIFS(Red!$K$5:$K$58,$C11,Red!$L$5:$L$58,G$3,Red!$N$5:$N$58,1)&gt;0,1,0)</f>
        <v>0</v>
      </c>
      <c r="H11" s="5">
        <f>IF(COUNTIFS(Red!$K$5:$K$58,$C11,Red!$L$5:$L$58,H$3,Red!$N$5:$N$58,1)&gt;0,1,0)</f>
        <v>0</v>
      </c>
      <c r="I11" s="5">
        <f>IF(COUNTIFS(Red!$K$5:$K$58,$C11,Red!$L$5:$L$58,I$3,Red!$N$5:$N$58,1)&gt;0,1,0)</f>
        <v>0</v>
      </c>
      <c r="J11" s="5">
        <f>IF(COUNTIFS(Red!$K$5:$K$58,$C11,Red!$L$5:$L$58,J$3,Red!$N$5:$N$58,1)&gt;0,1,0)</f>
        <v>0</v>
      </c>
      <c r="K11" s="5">
        <f>IF(COUNTIFS(Red!$K$5:$K$58,$C11,Red!$L$5:$L$58,K$3,Red!$N$5:$N$58,1)&gt;0,1,0)</f>
        <v>0</v>
      </c>
      <c r="L11" s="5">
        <f>IF(COUNTIFS(Red!$K$5:$K$58,$C11,Red!$L$5:$L$58,L$3,Red!$N$5:$N$58,1)&gt;0,1,0)</f>
        <v>0</v>
      </c>
      <c r="M11" s="5">
        <f>IF(COUNTIFS(Red!$K$5:$K$58,$C11,Red!$L$5:$L$58,M$3,Red!$N$5:$N$58,1)&gt;0,1,0)</f>
        <v>0</v>
      </c>
      <c r="N11" s="5">
        <f>IF(COUNTIFS(Red!$K$5:$K$58,$C11,Red!$L$5:$L$58,N$3,Red!$N$5:$N$58,1)&gt;0,1,0)</f>
        <v>0</v>
      </c>
      <c r="O11" s="5">
        <f>IF(COUNTIFS(Red!$K$5:$K$58,$C11,Red!$L$5:$L$58,O$3,Red!$N$5:$N$58,1)&gt;0,1,0)</f>
        <v>0</v>
      </c>
      <c r="P11" s="5">
        <f>IF(COUNTIFS(Red!$K$5:$K$58,$C11,Red!$L$5:$L$58,P$3,Red!$N$5:$N$58,1)&gt;0,1,0)</f>
        <v>0</v>
      </c>
      <c r="Q11" s="5">
        <f>IF(COUNTIFS(Red!$K$5:$K$58,$C11,Red!$L$5:$L$58,Q$3,Red!$N$5:$N$58,1)&gt;0,1,0)</f>
        <v>0</v>
      </c>
      <c r="R11" s="5">
        <f>IF(COUNTIFS(Red!$K$5:$K$58,$C11,Red!$L$5:$L$58,R$3,Red!$N$5:$N$58,1)&gt;0,1,0)</f>
        <v>0</v>
      </c>
      <c r="S11" s="5">
        <f>IF(COUNTIFS(Red!$K$5:$K$58,$C11,Red!$L$5:$L$58,S$3,Red!$N$5:$N$58,1)&gt;0,1,0)</f>
        <v>1</v>
      </c>
      <c r="T11" s="5">
        <f>IF(COUNTIFS(Red!$K$5:$K$58,$C11,Red!$L$5:$L$58,T$3,Red!$N$5:$N$58,1)&gt;0,1,0)</f>
        <v>1</v>
      </c>
      <c r="U11" s="5">
        <f>IF(COUNTIFS(Red!$K$5:$K$58,$C11,Red!$L$5:$L$58,U$3,Red!$N$5:$N$58,1)&gt;0,1,0)</f>
        <v>0</v>
      </c>
      <c r="V11" s="7">
        <f>IF(COUNTIFS(Red!$K$5:$K$58,$C11,Red!$L$5:$L$58,V$3,Red!$N$5:$N$58,1)&gt;0,1,0)</f>
        <v>1</v>
      </c>
    </row>
    <row r="12" spans="2:27" ht="17.25" customHeight="1" x14ac:dyDescent="0.25">
      <c r="B12" s="15" t="str">
        <f>VLOOKUP(tblMatrizDeAdyacencia[[#This Row],[NodoOrigen \ NodoDestino]],tblNodos[#All],2,FALSE)</f>
        <v>MVTS / remesas</v>
      </c>
      <c r="C12" s="6" t="s">
        <v>49</v>
      </c>
      <c r="D12" s="5">
        <f>IF(COUNTIFS(Red!$K$5:$K$58,$C12,Red!$L$5:$L$58,D$3,Red!$N$5:$N$58,1)&gt;0,1,0)</f>
        <v>0</v>
      </c>
      <c r="E12" s="5">
        <f>IF(COUNTIFS(Red!$K$5:$K$58,$C12,Red!$L$5:$L$58,E$3,Red!$N$5:$N$58,1)&gt;0,1,0)</f>
        <v>0</v>
      </c>
      <c r="F12" s="5">
        <f>IF(COUNTIFS(Red!$K$5:$K$58,$C12,Red!$L$5:$L$58,F$3,Red!$N$5:$N$58,1)&gt;0,1,0)</f>
        <v>0</v>
      </c>
      <c r="G12" s="5">
        <f>IF(COUNTIFS(Red!$K$5:$K$58,$C12,Red!$L$5:$L$58,G$3,Red!$N$5:$N$58,1)&gt;0,1,0)</f>
        <v>0</v>
      </c>
      <c r="H12" s="5">
        <f>IF(COUNTIFS(Red!$K$5:$K$58,$C12,Red!$L$5:$L$58,H$3,Red!$N$5:$N$58,1)&gt;0,1,0)</f>
        <v>0</v>
      </c>
      <c r="I12" s="5">
        <f>IF(COUNTIFS(Red!$K$5:$K$58,$C12,Red!$L$5:$L$58,I$3,Red!$N$5:$N$58,1)&gt;0,1,0)</f>
        <v>0</v>
      </c>
      <c r="J12" s="5">
        <f>IF(COUNTIFS(Red!$K$5:$K$58,$C12,Red!$L$5:$L$58,J$3,Red!$N$5:$N$58,1)&gt;0,1,0)</f>
        <v>0</v>
      </c>
      <c r="K12" s="5">
        <f>IF(COUNTIFS(Red!$K$5:$K$58,$C12,Red!$L$5:$L$58,K$3,Red!$N$5:$N$58,1)&gt;0,1,0)</f>
        <v>0</v>
      </c>
      <c r="L12" s="5">
        <f>IF(COUNTIFS(Red!$K$5:$K$58,$C12,Red!$L$5:$L$58,L$3,Red!$N$5:$N$58,1)&gt;0,1,0)</f>
        <v>0</v>
      </c>
      <c r="M12" s="5">
        <f>IF(COUNTIFS(Red!$K$5:$K$58,$C12,Red!$L$5:$L$58,M$3,Red!$N$5:$N$58,1)&gt;0,1,0)</f>
        <v>0</v>
      </c>
      <c r="N12" s="5">
        <f>IF(COUNTIFS(Red!$K$5:$K$58,$C12,Red!$L$5:$L$58,N$3,Red!$N$5:$N$58,1)&gt;0,1,0)</f>
        <v>0</v>
      </c>
      <c r="O12" s="5">
        <f>IF(COUNTIFS(Red!$K$5:$K$58,$C12,Red!$L$5:$L$58,O$3,Red!$N$5:$N$58,1)&gt;0,1,0)</f>
        <v>0</v>
      </c>
      <c r="P12" s="5">
        <f>IF(COUNTIFS(Red!$K$5:$K$58,$C12,Red!$L$5:$L$58,P$3,Red!$N$5:$N$58,1)&gt;0,1,0)</f>
        <v>0</v>
      </c>
      <c r="Q12" s="5">
        <f>IF(COUNTIFS(Red!$K$5:$K$58,$C12,Red!$L$5:$L$58,Q$3,Red!$N$5:$N$58,1)&gt;0,1,0)</f>
        <v>0</v>
      </c>
      <c r="R12" s="5">
        <f>IF(COUNTIFS(Red!$K$5:$K$58,$C12,Red!$L$5:$L$58,R$3,Red!$N$5:$N$58,1)&gt;0,1,0)</f>
        <v>0</v>
      </c>
      <c r="S12" s="5">
        <f>IF(COUNTIFS(Red!$K$5:$K$58,$C12,Red!$L$5:$L$58,S$3,Red!$N$5:$N$58,1)&gt;0,1,0)</f>
        <v>0</v>
      </c>
      <c r="T12" s="5">
        <f>IF(COUNTIFS(Red!$K$5:$K$58,$C12,Red!$L$5:$L$58,T$3,Red!$N$5:$N$58,1)&gt;0,1,0)</f>
        <v>1</v>
      </c>
      <c r="U12" s="5">
        <f>IF(COUNTIFS(Red!$K$5:$K$58,$C12,Red!$L$5:$L$58,U$3,Red!$N$5:$N$58,1)&gt;0,1,0)</f>
        <v>1</v>
      </c>
      <c r="V12" s="7">
        <f>IF(COUNTIFS(Red!$K$5:$K$58,$C12,Red!$L$5:$L$58,V$3,Red!$N$5:$N$58,1)&gt;0,1,0)</f>
        <v>1</v>
      </c>
    </row>
    <row r="13" spans="2:27" ht="17.25" customHeight="1" x14ac:dyDescent="0.25">
      <c r="B13" s="15" t="str">
        <f>VLOOKUP(tblMatrizDeAdyacencia[[#This Row],[NodoOrigen \ NodoDestino]],tblNodos[#All],2,FALSE)</f>
        <v>Dinero móvil</v>
      </c>
      <c r="C13" s="6" t="s">
        <v>56</v>
      </c>
      <c r="D13" s="5">
        <f>IF(COUNTIFS(Red!$K$5:$K$58,$C13,Red!$L$5:$L$58,D$3,Red!$N$5:$N$58,1)&gt;0,1,0)</f>
        <v>0</v>
      </c>
      <c r="E13" s="5">
        <f>IF(COUNTIFS(Red!$K$5:$K$58,$C13,Red!$L$5:$L$58,E$3,Red!$N$5:$N$58,1)&gt;0,1,0)</f>
        <v>0</v>
      </c>
      <c r="F13" s="5">
        <f>IF(COUNTIFS(Red!$K$5:$K$58,$C13,Red!$L$5:$L$58,F$3,Red!$N$5:$N$58,1)&gt;0,1,0)</f>
        <v>0</v>
      </c>
      <c r="G13" s="5">
        <f>IF(COUNTIFS(Red!$K$5:$K$58,$C13,Red!$L$5:$L$58,G$3,Red!$N$5:$N$58,1)&gt;0,1,0)</f>
        <v>0</v>
      </c>
      <c r="H13" s="5">
        <f>IF(COUNTIFS(Red!$K$5:$K$58,$C13,Red!$L$5:$L$58,H$3,Red!$N$5:$N$58,1)&gt;0,1,0)</f>
        <v>0</v>
      </c>
      <c r="I13" s="5">
        <f>IF(COUNTIFS(Red!$K$5:$K$58,$C13,Red!$L$5:$L$58,I$3,Red!$N$5:$N$58,1)&gt;0,1,0)</f>
        <v>0</v>
      </c>
      <c r="J13" s="5">
        <f>IF(COUNTIFS(Red!$K$5:$K$58,$C13,Red!$L$5:$L$58,J$3,Red!$N$5:$N$58,1)&gt;0,1,0)</f>
        <v>0</v>
      </c>
      <c r="K13" s="5">
        <f>IF(COUNTIFS(Red!$K$5:$K$58,$C13,Red!$L$5:$L$58,K$3,Red!$N$5:$N$58,1)&gt;0,1,0)</f>
        <v>0</v>
      </c>
      <c r="L13" s="5">
        <f>IF(COUNTIFS(Red!$K$5:$K$58,$C13,Red!$L$5:$L$58,L$3,Red!$N$5:$N$58,1)&gt;0,1,0)</f>
        <v>0</v>
      </c>
      <c r="M13" s="5">
        <f>IF(COUNTIFS(Red!$K$5:$K$58,$C13,Red!$L$5:$L$58,M$3,Red!$N$5:$N$58,1)&gt;0,1,0)</f>
        <v>0</v>
      </c>
      <c r="N13" s="5">
        <f>IF(COUNTIFS(Red!$K$5:$K$58,$C13,Red!$L$5:$L$58,N$3,Red!$N$5:$N$58,1)&gt;0,1,0)</f>
        <v>0</v>
      </c>
      <c r="O13" s="5">
        <f>IF(COUNTIFS(Red!$K$5:$K$58,$C13,Red!$L$5:$L$58,O$3,Red!$N$5:$N$58,1)&gt;0,1,0)</f>
        <v>0</v>
      </c>
      <c r="P13" s="5">
        <f>IF(COUNTIFS(Red!$K$5:$K$58,$C13,Red!$L$5:$L$58,P$3,Red!$N$5:$N$58,1)&gt;0,1,0)</f>
        <v>0</v>
      </c>
      <c r="Q13" s="5">
        <f>IF(COUNTIFS(Red!$K$5:$K$58,$C13,Red!$L$5:$L$58,Q$3,Red!$N$5:$N$58,1)&gt;0,1,0)</f>
        <v>0</v>
      </c>
      <c r="R13" s="5">
        <f>IF(COUNTIFS(Red!$K$5:$K$58,$C13,Red!$L$5:$L$58,R$3,Red!$N$5:$N$58,1)&gt;0,1,0)</f>
        <v>0</v>
      </c>
      <c r="S13" s="5">
        <f>IF(COUNTIFS(Red!$K$5:$K$58,$C13,Red!$L$5:$L$58,S$3,Red!$N$5:$N$58,1)&gt;0,1,0)</f>
        <v>0</v>
      </c>
      <c r="T13" s="5">
        <f>IF(COUNTIFS(Red!$K$5:$K$58,$C13,Red!$L$5:$L$58,T$3,Red!$N$5:$N$58,1)&gt;0,1,0)</f>
        <v>1</v>
      </c>
      <c r="U13" s="5">
        <f>IF(COUNTIFS(Red!$K$5:$K$58,$C13,Red!$L$5:$L$58,U$3,Red!$N$5:$N$58,1)&gt;0,1,0)</f>
        <v>0</v>
      </c>
      <c r="V13" s="7">
        <f>IF(COUNTIFS(Red!$K$5:$K$58,$C13,Red!$L$5:$L$58,V$3,Red!$N$5:$N$58,1)&gt;0,1,0)</f>
        <v>0</v>
      </c>
    </row>
    <row r="14" spans="2:27" ht="17.25" customHeight="1" x14ac:dyDescent="0.25">
      <c r="B14" s="15" t="str">
        <f>VLOOKUP(tblMatrizDeAdyacencia[[#This Row],[NodoOrigen \ NodoDestino]],tblNodos[#All],2,FALSE)</f>
        <v>Pagos online</v>
      </c>
      <c r="C14" s="6" t="s">
        <v>82</v>
      </c>
      <c r="D14" s="5">
        <f>IF(COUNTIFS(Red!$K$5:$K$58,$C14,Red!$L$5:$L$58,D$3,Red!$N$5:$N$58,1)&gt;0,1,0)</f>
        <v>0</v>
      </c>
      <c r="E14" s="5">
        <f>IF(COUNTIFS(Red!$K$5:$K$58,$C14,Red!$L$5:$L$58,E$3,Red!$N$5:$N$58,1)&gt;0,1,0)</f>
        <v>0</v>
      </c>
      <c r="F14" s="5">
        <f>IF(COUNTIFS(Red!$K$5:$K$58,$C14,Red!$L$5:$L$58,F$3,Red!$N$5:$N$58,1)&gt;0,1,0)</f>
        <v>0</v>
      </c>
      <c r="G14" s="5">
        <f>IF(COUNTIFS(Red!$K$5:$K$58,$C14,Red!$L$5:$L$58,G$3,Red!$N$5:$N$58,1)&gt;0,1,0)</f>
        <v>0</v>
      </c>
      <c r="H14" s="5">
        <f>IF(COUNTIFS(Red!$K$5:$K$58,$C14,Red!$L$5:$L$58,H$3,Red!$N$5:$N$58,1)&gt;0,1,0)</f>
        <v>0</v>
      </c>
      <c r="I14" s="5">
        <f>IF(COUNTIFS(Red!$K$5:$K$58,$C14,Red!$L$5:$L$58,I$3,Red!$N$5:$N$58,1)&gt;0,1,0)</f>
        <v>0</v>
      </c>
      <c r="J14" s="5">
        <f>IF(COUNTIFS(Red!$K$5:$K$58,$C14,Red!$L$5:$L$58,J$3,Red!$N$5:$N$58,1)&gt;0,1,0)</f>
        <v>0</v>
      </c>
      <c r="K14" s="5">
        <f>IF(COUNTIFS(Red!$K$5:$K$58,$C14,Red!$L$5:$L$58,K$3,Red!$N$5:$N$58,1)&gt;0,1,0)</f>
        <v>0</v>
      </c>
      <c r="L14" s="5">
        <f>IF(COUNTIFS(Red!$K$5:$K$58,$C14,Red!$L$5:$L$58,L$3,Red!$N$5:$N$58,1)&gt;0,1,0)</f>
        <v>0</v>
      </c>
      <c r="M14" s="5">
        <f>IF(COUNTIFS(Red!$K$5:$K$58,$C14,Red!$L$5:$L$58,M$3,Red!$N$5:$N$58,1)&gt;0,1,0)</f>
        <v>0</v>
      </c>
      <c r="N14" s="5">
        <f>IF(COUNTIFS(Red!$K$5:$K$58,$C14,Red!$L$5:$L$58,N$3,Red!$N$5:$N$58,1)&gt;0,1,0)</f>
        <v>0</v>
      </c>
      <c r="O14" s="5">
        <f>IF(COUNTIFS(Red!$K$5:$K$58,$C14,Red!$L$5:$L$58,O$3,Red!$N$5:$N$58,1)&gt;0,1,0)</f>
        <v>0</v>
      </c>
      <c r="P14" s="5">
        <f>IF(COUNTIFS(Red!$K$5:$K$58,$C14,Red!$L$5:$L$58,P$3,Red!$N$5:$N$58,1)&gt;0,1,0)</f>
        <v>0</v>
      </c>
      <c r="Q14" s="5">
        <f>IF(COUNTIFS(Red!$K$5:$K$58,$C14,Red!$L$5:$L$58,Q$3,Red!$N$5:$N$58,1)&gt;0,1,0)</f>
        <v>0</v>
      </c>
      <c r="R14" s="5">
        <f>IF(COUNTIFS(Red!$K$5:$K$58,$C14,Red!$L$5:$L$58,R$3,Red!$N$5:$N$58,1)&gt;0,1,0)</f>
        <v>0</v>
      </c>
      <c r="S14" s="5">
        <f>IF(COUNTIFS(Red!$K$5:$K$58,$C14,Red!$L$5:$L$58,S$3,Red!$N$5:$N$58,1)&gt;0,1,0)</f>
        <v>0</v>
      </c>
      <c r="T14" s="5">
        <f>IF(COUNTIFS(Red!$K$5:$K$58,$C14,Red!$L$5:$L$58,T$3,Red!$N$5:$N$58,1)&gt;0,1,0)</f>
        <v>1</v>
      </c>
      <c r="U14" s="5">
        <f>IF(COUNTIFS(Red!$K$5:$K$58,$C14,Red!$L$5:$L$58,U$3,Red!$N$5:$N$58,1)&gt;0,1,0)</f>
        <v>1</v>
      </c>
      <c r="V14" s="7">
        <f>IF(COUNTIFS(Red!$K$5:$K$58,$C14,Red!$L$5:$L$58,V$3,Red!$N$5:$N$58,1)&gt;0,1,0)</f>
        <v>0</v>
      </c>
    </row>
    <row r="15" spans="2:27" ht="17.25" customHeight="1" x14ac:dyDescent="0.25">
      <c r="B15" s="15" t="str">
        <f>VLOOKUP(tblMatrizDeAdyacencia[[#This Row],[NodoOrigen \ NodoDestino]],tblNodos[#All],2,FALSE)</f>
        <v>Servicios bancarios</v>
      </c>
      <c r="C15" s="6" t="s">
        <v>86</v>
      </c>
      <c r="D15" s="5">
        <f>IF(COUNTIFS(Red!$K$5:$K$58,$C15,Red!$L$5:$L$58,D$3,Red!$N$5:$N$58,1)&gt;0,1,0)</f>
        <v>0</v>
      </c>
      <c r="E15" s="5">
        <f>IF(COUNTIFS(Red!$K$5:$K$58,$C15,Red!$L$5:$L$58,E$3,Red!$N$5:$N$58,1)&gt;0,1,0)</f>
        <v>0</v>
      </c>
      <c r="F15" s="5">
        <f>IF(COUNTIFS(Red!$K$5:$K$58,$C15,Red!$L$5:$L$58,F$3,Red!$N$5:$N$58,1)&gt;0,1,0)</f>
        <v>0</v>
      </c>
      <c r="G15" s="5">
        <f>IF(COUNTIFS(Red!$K$5:$K$58,$C15,Red!$L$5:$L$58,G$3,Red!$N$5:$N$58,1)&gt;0,1,0)</f>
        <v>0</v>
      </c>
      <c r="H15" s="5">
        <f>IF(COUNTIFS(Red!$K$5:$K$58,$C15,Red!$L$5:$L$58,H$3,Red!$N$5:$N$58,1)&gt;0,1,0)</f>
        <v>0</v>
      </c>
      <c r="I15" s="5">
        <f>IF(COUNTIFS(Red!$K$5:$K$58,$C15,Red!$L$5:$L$58,I$3,Red!$N$5:$N$58,1)&gt;0,1,0)</f>
        <v>0</v>
      </c>
      <c r="J15" s="5">
        <f>IF(COUNTIFS(Red!$K$5:$K$58,$C15,Red!$L$5:$L$58,J$3,Red!$N$5:$N$58,1)&gt;0,1,0)</f>
        <v>0</v>
      </c>
      <c r="K15" s="5">
        <f>IF(COUNTIFS(Red!$K$5:$K$58,$C15,Red!$L$5:$L$58,K$3,Red!$N$5:$N$58,1)&gt;0,1,0)</f>
        <v>0</v>
      </c>
      <c r="L15" s="5">
        <f>IF(COUNTIFS(Red!$K$5:$K$58,$C15,Red!$L$5:$L$58,L$3,Red!$N$5:$N$58,1)&gt;0,1,0)</f>
        <v>0</v>
      </c>
      <c r="M15" s="5">
        <f>IF(COUNTIFS(Red!$K$5:$K$58,$C15,Red!$L$5:$L$58,M$3,Red!$N$5:$N$58,1)&gt;0,1,0)</f>
        <v>0</v>
      </c>
      <c r="N15" s="5">
        <f>IF(COUNTIFS(Red!$K$5:$K$58,$C15,Red!$L$5:$L$58,N$3,Red!$N$5:$N$58,1)&gt;0,1,0)</f>
        <v>0</v>
      </c>
      <c r="O15" s="5">
        <f>IF(COUNTIFS(Red!$K$5:$K$58,$C15,Red!$L$5:$L$58,O$3,Red!$N$5:$N$58,1)&gt;0,1,0)</f>
        <v>0</v>
      </c>
      <c r="P15" s="5">
        <f>IF(COUNTIFS(Red!$K$5:$K$58,$C15,Red!$L$5:$L$58,P$3,Red!$N$5:$N$58,1)&gt;0,1,0)</f>
        <v>0</v>
      </c>
      <c r="Q15" s="5">
        <f>IF(COUNTIFS(Red!$K$5:$K$58,$C15,Red!$L$5:$L$58,Q$3,Red!$N$5:$N$58,1)&gt;0,1,0)</f>
        <v>0</v>
      </c>
      <c r="R15" s="5">
        <f>IF(COUNTIFS(Red!$K$5:$K$58,$C15,Red!$L$5:$L$58,R$3,Red!$N$5:$N$58,1)&gt;0,1,0)</f>
        <v>0</v>
      </c>
      <c r="S15" s="5">
        <f>IF(COUNTIFS(Red!$K$5:$K$58,$C15,Red!$L$5:$L$58,S$3,Red!$N$5:$N$58,1)&gt;0,1,0)</f>
        <v>1</v>
      </c>
      <c r="T15" s="5">
        <f>IF(COUNTIFS(Red!$K$5:$K$58,$C15,Red!$L$5:$L$58,T$3,Red!$N$5:$N$58,1)&gt;0,1,0)</f>
        <v>0</v>
      </c>
      <c r="U15" s="5">
        <f>IF(COUNTIFS(Red!$K$5:$K$58,$C15,Red!$L$5:$L$58,U$3,Red!$N$5:$N$58,1)&gt;0,1,0)</f>
        <v>1</v>
      </c>
      <c r="V15" s="7">
        <f>IF(COUNTIFS(Red!$K$5:$K$58,$C15,Red!$L$5:$L$58,V$3,Red!$N$5:$N$58,1)&gt;0,1,0)</f>
        <v>0</v>
      </c>
    </row>
    <row r="16" spans="2:27" ht="17.25" customHeight="1" x14ac:dyDescent="0.25">
      <c r="B16" s="15" t="str">
        <f>VLOOKUP(tblMatrizDeAdyacencia[[#This Row],[NodoOrigen \ NodoDestino]],tblNodos[#All],2,FALSE)</f>
        <v>Tarjetas prepago / e-wallets</v>
      </c>
      <c r="C16" s="6" t="s">
        <v>90</v>
      </c>
      <c r="D16" s="5">
        <f>IF(COUNTIFS(Red!$K$5:$K$58,$C16,Red!$L$5:$L$58,D$3,Red!$N$5:$N$58,1)&gt;0,1,0)</f>
        <v>0</v>
      </c>
      <c r="E16" s="5">
        <f>IF(COUNTIFS(Red!$K$5:$K$58,$C16,Red!$L$5:$L$58,E$3,Red!$N$5:$N$58,1)&gt;0,1,0)</f>
        <v>0</v>
      </c>
      <c r="F16" s="5">
        <f>IF(COUNTIFS(Red!$K$5:$K$58,$C16,Red!$L$5:$L$58,F$3,Red!$N$5:$N$58,1)&gt;0,1,0)</f>
        <v>0</v>
      </c>
      <c r="G16" s="5">
        <f>IF(COUNTIFS(Red!$K$5:$K$58,$C16,Red!$L$5:$L$58,G$3,Red!$N$5:$N$58,1)&gt;0,1,0)</f>
        <v>0</v>
      </c>
      <c r="H16" s="5">
        <f>IF(COUNTIFS(Red!$K$5:$K$58,$C16,Red!$L$5:$L$58,H$3,Red!$N$5:$N$58,1)&gt;0,1,0)</f>
        <v>0</v>
      </c>
      <c r="I16" s="5">
        <f>IF(COUNTIFS(Red!$K$5:$K$58,$C16,Red!$L$5:$L$58,I$3,Red!$N$5:$N$58,1)&gt;0,1,0)</f>
        <v>0</v>
      </c>
      <c r="J16" s="5">
        <f>IF(COUNTIFS(Red!$K$5:$K$58,$C16,Red!$L$5:$L$58,J$3,Red!$N$5:$N$58,1)&gt;0,1,0)</f>
        <v>0</v>
      </c>
      <c r="K16" s="5">
        <f>IF(COUNTIFS(Red!$K$5:$K$58,$C16,Red!$L$5:$L$58,K$3,Red!$N$5:$N$58,1)&gt;0,1,0)</f>
        <v>0</v>
      </c>
      <c r="L16" s="5">
        <f>IF(COUNTIFS(Red!$K$5:$K$58,$C16,Red!$L$5:$L$58,L$3,Red!$N$5:$N$58,1)&gt;0,1,0)</f>
        <v>0</v>
      </c>
      <c r="M16" s="5">
        <f>IF(COUNTIFS(Red!$K$5:$K$58,$C16,Red!$L$5:$L$58,M$3,Red!$N$5:$N$58,1)&gt;0,1,0)</f>
        <v>0</v>
      </c>
      <c r="N16" s="5">
        <f>IF(COUNTIFS(Red!$K$5:$K$58,$C16,Red!$L$5:$L$58,N$3,Red!$N$5:$N$58,1)&gt;0,1,0)</f>
        <v>0</v>
      </c>
      <c r="O16" s="5">
        <f>IF(COUNTIFS(Red!$K$5:$K$58,$C16,Red!$L$5:$L$58,O$3,Red!$N$5:$N$58,1)&gt;0,1,0)</f>
        <v>0</v>
      </c>
      <c r="P16" s="5">
        <f>IF(COUNTIFS(Red!$K$5:$K$58,$C16,Red!$L$5:$L$58,P$3,Red!$N$5:$N$58,1)&gt;0,1,0)</f>
        <v>0</v>
      </c>
      <c r="Q16" s="5">
        <f>IF(COUNTIFS(Red!$K$5:$K$58,$C16,Red!$L$5:$L$58,Q$3,Red!$N$5:$N$58,1)&gt;0,1,0)</f>
        <v>0</v>
      </c>
      <c r="R16" s="5">
        <f>IF(COUNTIFS(Red!$K$5:$K$58,$C16,Red!$L$5:$L$58,R$3,Red!$N$5:$N$58,1)&gt;0,1,0)</f>
        <v>0</v>
      </c>
      <c r="S16" s="5">
        <f>IF(COUNTIFS(Red!$K$5:$K$58,$C16,Red!$L$5:$L$58,S$3,Red!$N$5:$N$58,1)&gt;0,1,0)</f>
        <v>0</v>
      </c>
      <c r="T16" s="5">
        <f>IF(COUNTIFS(Red!$K$5:$K$58,$C16,Red!$L$5:$L$58,T$3,Red!$N$5:$N$58,1)&gt;0,1,0)</f>
        <v>1</v>
      </c>
      <c r="U16" s="5">
        <f>IF(COUNTIFS(Red!$K$5:$K$58,$C16,Red!$L$5:$L$58,U$3,Red!$N$5:$N$58,1)&gt;0,1,0)</f>
        <v>0</v>
      </c>
      <c r="V16" s="7">
        <f>IF(COUNTIFS(Red!$K$5:$K$58,$C16,Red!$L$5:$L$58,V$3,Red!$N$5:$N$58,1)&gt;0,1,0)</f>
        <v>0</v>
      </c>
    </row>
    <row r="17" spans="2:22" ht="17.25" customHeight="1" x14ac:dyDescent="0.25">
      <c r="B17" s="15" t="str">
        <f>VLOOKUP(tblMatrizDeAdyacencia[[#This Row],[NodoOrigen \ NodoDestino]],tblNodos[#All],2,FALSE)</f>
        <v>Plataformas digitales</v>
      </c>
      <c r="C17" s="6" t="s">
        <v>94</v>
      </c>
      <c r="D17" s="5">
        <f>IF(COUNTIFS(Red!$K$5:$K$58,$C17,Red!$L$5:$L$58,D$3,Red!$N$5:$N$58,1)&gt;0,1,0)</f>
        <v>0</v>
      </c>
      <c r="E17" s="5">
        <f>IF(COUNTIFS(Red!$K$5:$K$58,$C17,Red!$L$5:$L$58,E$3,Red!$N$5:$N$58,1)&gt;0,1,0)</f>
        <v>0</v>
      </c>
      <c r="F17" s="5">
        <f>IF(COUNTIFS(Red!$K$5:$K$58,$C17,Red!$L$5:$L$58,F$3,Red!$N$5:$N$58,1)&gt;0,1,0)</f>
        <v>0</v>
      </c>
      <c r="G17" s="5">
        <f>IF(COUNTIFS(Red!$K$5:$K$58,$C17,Red!$L$5:$L$58,G$3,Red!$N$5:$N$58,1)&gt;0,1,0)</f>
        <v>0</v>
      </c>
      <c r="H17" s="5">
        <f>IF(COUNTIFS(Red!$K$5:$K$58,$C17,Red!$L$5:$L$58,H$3,Red!$N$5:$N$58,1)&gt;0,1,0)</f>
        <v>0</v>
      </c>
      <c r="I17" s="5">
        <f>IF(COUNTIFS(Red!$K$5:$K$58,$C17,Red!$L$5:$L$58,I$3,Red!$N$5:$N$58,1)&gt;0,1,0)</f>
        <v>0</v>
      </c>
      <c r="J17" s="5">
        <f>IF(COUNTIFS(Red!$K$5:$K$58,$C17,Red!$L$5:$L$58,J$3,Red!$N$5:$N$58,1)&gt;0,1,0)</f>
        <v>0</v>
      </c>
      <c r="K17" s="5">
        <f>IF(COUNTIFS(Red!$K$5:$K$58,$C17,Red!$L$5:$L$58,K$3,Red!$N$5:$N$58,1)&gt;0,1,0)</f>
        <v>0</v>
      </c>
      <c r="L17" s="5">
        <f>IF(COUNTIFS(Red!$K$5:$K$58,$C17,Red!$L$5:$L$58,L$3,Red!$N$5:$N$58,1)&gt;0,1,0)</f>
        <v>0</v>
      </c>
      <c r="M17" s="5">
        <f>IF(COUNTIFS(Red!$K$5:$K$58,$C17,Red!$L$5:$L$58,M$3,Red!$N$5:$N$58,1)&gt;0,1,0)</f>
        <v>0</v>
      </c>
      <c r="N17" s="5">
        <f>IF(COUNTIFS(Red!$K$5:$K$58,$C17,Red!$L$5:$L$58,N$3,Red!$N$5:$N$58,1)&gt;0,1,0)</f>
        <v>0</v>
      </c>
      <c r="O17" s="5">
        <f>IF(COUNTIFS(Red!$K$5:$K$58,$C17,Red!$L$5:$L$58,O$3,Red!$N$5:$N$58,1)&gt;0,1,0)</f>
        <v>0</v>
      </c>
      <c r="P17" s="5">
        <f>IF(COUNTIFS(Red!$K$5:$K$58,$C17,Red!$L$5:$L$58,P$3,Red!$N$5:$N$58,1)&gt;0,1,0)</f>
        <v>0</v>
      </c>
      <c r="Q17" s="5">
        <f>IF(COUNTIFS(Red!$K$5:$K$58,$C17,Red!$L$5:$L$58,Q$3,Red!$N$5:$N$58,1)&gt;0,1,0)</f>
        <v>0</v>
      </c>
      <c r="R17" s="5">
        <f>IF(COUNTIFS(Red!$K$5:$K$58,$C17,Red!$L$5:$L$58,R$3,Red!$N$5:$N$58,1)&gt;0,1,0)</f>
        <v>0</v>
      </c>
      <c r="S17" s="5">
        <f>IF(COUNTIFS(Red!$K$5:$K$58,$C17,Red!$L$5:$L$58,S$3,Red!$N$5:$N$58,1)&gt;0,1,0)</f>
        <v>0</v>
      </c>
      <c r="T17" s="5">
        <f>IF(COUNTIFS(Red!$K$5:$K$58,$C17,Red!$L$5:$L$58,T$3,Red!$N$5:$N$58,1)&gt;0,1,0)</f>
        <v>1</v>
      </c>
      <c r="U17" s="5">
        <f>IF(COUNTIFS(Red!$K$5:$K$58,$C17,Red!$L$5:$L$58,U$3,Red!$N$5:$N$58,1)&gt;0,1,0)</f>
        <v>1</v>
      </c>
      <c r="V17" s="7">
        <f>IF(COUNTIFS(Red!$K$5:$K$58,$C17,Red!$L$5:$L$58,V$3,Red!$N$5:$N$58,1)&gt;0,1,0)</f>
        <v>0</v>
      </c>
    </row>
    <row r="18" spans="2:22" ht="17.25" customHeight="1" x14ac:dyDescent="0.25">
      <c r="B18" s="15" t="str">
        <f>VLOOKUP(tblMatrizDeAdyacencia[[#This Row],[NodoOrigen \ NodoDestino]],tblNodos[#All],2,FALSE)</f>
        <v>Activos virtuales</v>
      </c>
      <c r="C18" s="6" t="s">
        <v>63</v>
      </c>
      <c r="D18" s="5">
        <f>IF(COUNTIFS(Red!$K$5:$K$58,$C18,Red!$L$5:$L$58,D$3,Red!$N$5:$N$58,1)&gt;0,1,0)</f>
        <v>0</v>
      </c>
      <c r="E18" s="5">
        <f>IF(COUNTIFS(Red!$K$5:$K$58,$C18,Red!$L$5:$L$58,E$3,Red!$N$5:$N$58,1)&gt;0,1,0)</f>
        <v>0</v>
      </c>
      <c r="F18" s="5">
        <f>IF(COUNTIFS(Red!$K$5:$K$58,$C18,Red!$L$5:$L$58,F$3,Red!$N$5:$N$58,1)&gt;0,1,0)</f>
        <v>0</v>
      </c>
      <c r="G18" s="5">
        <f>IF(COUNTIFS(Red!$K$5:$K$58,$C18,Red!$L$5:$L$58,G$3,Red!$N$5:$N$58,1)&gt;0,1,0)</f>
        <v>0</v>
      </c>
      <c r="H18" s="5">
        <f>IF(COUNTIFS(Red!$K$5:$K$58,$C18,Red!$L$5:$L$58,H$3,Red!$N$5:$N$58,1)&gt;0,1,0)</f>
        <v>0</v>
      </c>
      <c r="I18" s="5">
        <f>IF(COUNTIFS(Red!$K$5:$K$58,$C18,Red!$L$5:$L$58,I$3,Red!$N$5:$N$58,1)&gt;0,1,0)</f>
        <v>0</v>
      </c>
      <c r="J18" s="5">
        <f>IF(COUNTIFS(Red!$K$5:$K$58,$C18,Red!$L$5:$L$58,J$3,Red!$N$5:$N$58,1)&gt;0,1,0)</f>
        <v>0</v>
      </c>
      <c r="K18" s="5">
        <f>IF(COUNTIFS(Red!$K$5:$K$58,$C18,Red!$L$5:$L$58,K$3,Red!$N$5:$N$58,1)&gt;0,1,0)</f>
        <v>0</v>
      </c>
      <c r="L18" s="5">
        <f>IF(COUNTIFS(Red!$K$5:$K$58,$C18,Red!$L$5:$L$58,L$3,Red!$N$5:$N$58,1)&gt;0,1,0)</f>
        <v>0</v>
      </c>
      <c r="M18" s="5">
        <f>IF(COUNTIFS(Red!$K$5:$K$58,$C18,Red!$L$5:$L$58,M$3,Red!$N$5:$N$58,1)&gt;0,1,0)</f>
        <v>0</v>
      </c>
      <c r="N18" s="5">
        <f>IF(COUNTIFS(Red!$K$5:$K$58,$C18,Red!$L$5:$L$58,N$3,Red!$N$5:$N$58,1)&gt;0,1,0)</f>
        <v>0</v>
      </c>
      <c r="O18" s="5">
        <f>IF(COUNTIFS(Red!$K$5:$K$58,$C18,Red!$L$5:$L$58,O$3,Red!$N$5:$N$58,1)&gt;0,1,0)</f>
        <v>0</v>
      </c>
      <c r="P18" s="5">
        <f>IF(COUNTIFS(Red!$K$5:$K$58,$C18,Red!$L$5:$L$58,P$3,Red!$N$5:$N$58,1)&gt;0,1,0)</f>
        <v>0</v>
      </c>
      <c r="Q18" s="5">
        <f>IF(COUNTIFS(Red!$K$5:$K$58,$C18,Red!$L$5:$L$58,Q$3,Red!$N$5:$N$58,1)&gt;0,1,0)</f>
        <v>0</v>
      </c>
      <c r="R18" s="5">
        <f>IF(COUNTIFS(Red!$K$5:$K$58,$C18,Red!$L$5:$L$58,R$3,Red!$N$5:$N$58,1)&gt;0,1,0)</f>
        <v>0</v>
      </c>
      <c r="S18" s="5">
        <f>IF(COUNTIFS(Red!$K$5:$K$58,$C18,Red!$L$5:$L$58,S$3,Red!$N$5:$N$58,1)&gt;0,1,0)</f>
        <v>0</v>
      </c>
      <c r="T18" s="5">
        <f>IF(COUNTIFS(Red!$K$5:$K$58,$C18,Red!$L$5:$L$58,T$3,Red!$N$5:$N$58,1)&gt;0,1,0)</f>
        <v>1</v>
      </c>
      <c r="U18" s="5">
        <f>IF(COUNTIFS(Red!$K$5:$K$58,$C18,Red!$L$5:$L$58,U$3,Red!$N$5:$N$58,1)&gt;0,1,0)</f>
        <v>1</v>
      </c>
      <c r="V18" s="7">
        <f>IF(COUNTIFS(Red!$K$5:$K$58,$C18,Red!$L$5:$L$58,V$3,Red!$N$5:$N$58,1)&gt;0,1,0)</f>
        <v>0</v>
      </c>
    </row>
    <row r="19" spans="2:22" ht="17.25" customHeight="1" x14ac:dyDescent="0.25">
      <c r="B19" s="15" t="str">
        <f>VLOOKUP(tblMatrizDeAdyacencia[[#This Row],[NodoOrigen \ NodoDestino]],tblNodos[#All],2,FALSE)</f>
        <v>Tesorería central</v>
      </c>
      <c r="C19" s="6" t="s">
        <v>101</v>
      </c>
      <c r="D19" s="5">
        <f>IF(COUNTIFS(Red!$K$5:$K$58,$C19,Red!$L$5:$L$58,D$3,Red!$N$5:$N$58,1)&gt;0,1,0)</f>
        <v>0</v>
      </c>
      <c r="E19" s="5">
        <f>IF(COUNTIFS(Red!$K$5:$K$58,$C19,Red!$L$5:$L$58,E$3,Red!$N$5:$N$58,1)&gt;0,1,0)</f>
        <v>0</v>
      </c>
      <c r="F19" s="5">
        <f>IF(COUNTIFS(Red!$K$5:$K$58,$C19,Red!$L$5:$L$58,F$3,Red!$N$5:$N$58,1)&gt;0,1,0)</f>
        <v>0</v>
      </c>
      <c r="G19" s="5">
        <f>IF(COUNTIFS(Red!$K$5:$K$58,$C19,Red!$L$5:$L$58,G$3,Red!$N$5:$N$58,1)&gt;0,1,0)</f>
        <v>0</v>
      </c>
      <c r="H19" s="5">
        <f>IF(COUNTIFS(Red!$K$5:$K$58,$C19,Red!$L$5:$L$58,H$3,Red!$N$5:$N$58,1)&gt;0,1,0)</f>
        <v>0</v>
      </c>
      <c r="I19" s="5">
        <f>IF(COUNTIFS(Red!$K$5:$K$58,$C19,Red!$L$5:$L$58,I$3,Red!$N$5:$N$58,1)&gt;0,1,0)</f>
        <v>0</v>
      </c>
      <c r="J19" s="5">
        <f>IF(COUNTIFS(Red!$K$5:$K$58,$C19,Red!$L$5:$L$58,J$3,Red!$N$5:$N$58,1)&gt;0,1,0)</f>
        <v>1</v>
      </c>
      <c r="K19" s="5">
        <f>IF(COUNTIFS(Red!$K$5:$K$58,$C19,Red!$L$5:$L$58,K$3,Red!$N$5:$N$58,1)&gt;0,1,0)</f>
        <v>0</v>
      </c>
      <c r="L19" s="5">
        <f>IF(COUNTIFS(Red!$K$5:$K$58,$C19,Red!$L$5:$L$58,L$3,Red!$N$5:$N$58,1)&gt;0,1,0)</f>
        <v>0</v>
      </c>
      <c r="M19" s="5">
        <f>IF(COUNTIFS(Red!$K$5:$K$58,$C19,Red!$L$5:$L$58,M$3,Red!$N$5:$N$58,1)&gt;0,1,0)</f>
        <v>0</v>
      </c>
      <c r="N19" s="5">
        <f>IF(COUNTIFS(Red!$K$5:$K$58,$C19,Red!$L$5:$L$58,N$3,Red!$N$5:$N$58,1)&gt;0,1,0)</f>
        <v>0</v>
      </c>
      <c r="O19" s="5">
        <f>IF(COUNTIFS(Red!$K$5:$K$58,$C19,Red!$L$5:$L$58,O$3,Red!$N$5:$N$58,1)&gt;0,1,0)</f>
        <v>1</v>
      </c>
      <c r="P19" s="5">
        <f>IF(COUNTIFS(Red!$K$5:$K$58,$C19,Red!$L$5:$L$58,P$3,Red!$N$5:$N$58,1)&gt;0,1,0)</f>
        <v>0</v>
      </c>
      <c r="Q19" s="5">
        <f>IF(COUNTIFS(Red!$K$5:$K$58,$C19,Red!$L$5:$L$58,Q$3,Red!$N$5:$N$58,1)&gt;0,1,0)</f>
        <v>0</v>
      </c>
      <c r="R19" s="5">
        <f>IF(COUNTIFS(Red!$K$5:$K$58,$C19,Red!$L$5:$L$58,R$3,Red!$N$5:$N$58,1)&gt;0,1,0)</f>
        <v>0</v>
      </c>
      <c r="S19" s="5">
        <f>IF(COUNTIFS(Red!$K$5:$K$58,$C19,Red!$L$5:$L$58,S$3,Red!$N$5:$N$58,1)&gt;0,1,0)</f>
        <v>0</v>
      </c>
      <c r="T19" s="5">
        <f>IF(COUNTIFS(Red!$K$5:$K$58,$C19,Red!$L$5:$L$58,T$3,Red!$N$5:$N$58,1)&gt;0,1,0)</f>
        <v>0</v>
      </c>
      <c r="U19" s="5">
        <f>IF(COUNTIFS(Red!$K$5:$K$58,$C19,Red!$L$5:$L$58,U$3,Red!$N$5:$N$58,1)&gt;0,1,0)</f>
        <v>0</v>
      </c>
      <c r="V19" s="7">
        <f>IF(COUNTIFS(Red!$K$5:$K$58,$C19,Red!$L$5:$L$58,V$3,Red!$N$5:$N$58,1)&gt;0,1,0)</f>
        <v>1</v>
      </c>
    </row>
    <row r="20" spans="2:22" ht="17.25" customHeight="1" x14ac:dyDescent="0.25">
      <c r="B20" s="15" t="str">
        <f>VLOOKUP(tblMatrizDeAdyacencia[[#This Row],[NodoOrigen \ NodoDestino]],tblNodos[#All],2,FALSE)</f>
        <v>Centro financiero regional / célula</v>
      </c>
      <c r="C20" s="6" t="s">
        <v>105</v>
      </c>
      <c r="D20" s="5">
        <f>IF(COUNTIFS(Red!$K$5:$K$58,$C20,Red!$L$5:$L$58,D$3,Red!$N$5:$N$58,1)&gt;0,1,0)</f>
        <v>0</v>
      </c>
      <c r="E20" s="5">
        <f>IF(COUNTIFS(Red!$K$5:$K$58,$C20,Red!$L$5:$L$58,E$3,Red!$N$5:$N$58,1)&gt;0,1,0)</f>
        <v>0</v>
      </c>
      <c r="F20" s="5">
        <f>IF(COUNTIFS(Red!$K$5:$K$58,$C20,Red!$L$5:$L$58,F$3,Red!$N$5:$N$58,1)&gt;0,1,0)</f>
        <v>0</v>
      </c>
      <c r="G20" s="5">
        <f>IF(COUNTIFS(Red!$K$5:$K$58,$C20,Red!$L$5:$L$58,G$3,Red!$N$5:$N$58,1)&gt;0,1,0)</f>
        <v>0</v>
      </c>
      <c r="H20" s="5">
        <f>IF(COUNTIFS(Red!$K$5:$K$58,$C20,Red!$L$5:$L$58,H$3,Red!$N$5:$N$58,1)&gt;0,1,0)</f>
        <v>0</v>
      </c>
      <c r="I20" s="5">
        <f>IF(COUNTIFS(Red!$K$5:$K$58,$C20,Red!$L$5:$L$58,I$3,Red!$N$5:$N$58,1)&gt;0,1,0)</f>
        <v>0</v>
      </c>
      <c r="J20" s="5">
        <f>IF(COUNTIFS(Red!$K$5:$K$58,$C20,Red!$L$5:$L$58,J$3,Red!$N$5:$N$58,1)&gt;0,1,0)</f>
        <v>1</v>
      </c>
      <c r="K20" s="5">
        <f>IF(COUNTIFS(Red!$K$5:$K$58,$C20,Red!$L$5:$L$58,K$3,Red!$N$5:$N$58,1)&gt;0,1,0)</f>
        <v>1</v>
      </c>
      <c r="L20" s="5">
        <f>IF(COUNTIFS(Red!$K$5:$K$58,$C20,Red!$L$5:$L$58,L$3,Red!$N$5:$N$58,1)&gt;0,1,0)</f>
        <v>1</v>
      </c>
      <c r="M20" s="5">
        <f>IF(COUNTIFS(Red!$K$5:$K$58,$C20,Red!$L$5:$L$58,M$3,Red!$N$5:$N$58,1)&gt;0,1,0)</f>
        <v>1</v>
      </c>
      <c r="N20" s="5">
        <f>IF(COUNTIFS(Red!$K$5:$K$58,$C20,Red!$L$5:$L$58,N$3,Red!$N$5:$N$58,1)&gt;0,1,0)</f>
        <v>0</v>
      </c>
      <c r="O20" s="5">
        <f>IF(COUNTIFS(Red!$K$5:$K$58,$C20,Red!$L$5:$L$58,O$3,Red!$N$5:$N$58,1)&gt;0,1,0)</f>
        <v>0</v>
      </c>
      <c r="P20" s="5">
        <f>IF(COUNTIFS(Red!$K$5:$K$58,$C20,Red!$L$5:$L$58,P$3,Red!$N$5:$N$58,1)&gt;0,1,0)</f>
        <v>0</v>
      </c>
      <c r="Q20" s="5">
        <f>IF(COUNTIFS(Red!$K$5:$K$58,$C20,Red!$L$5:$L$58,Q$3,Red!$N$5:$N$58,1)&gt;0,1,0)</f>
        <v>0</v>
      </c>
      <c r="R20" s="5">
        <f>IF(COUNTIFS(Red!$K$5:$K$58,$C20,Red!$L$5:$L$58,R$3,Red!$N$5:$N$58,1)&gt;0,1,0)</f>
        <v>0</v>
      </c>
      <c r="S20" s="5">
        <f>IF(COUNTIFS(Red!$K$5:$K$58,$C20,Red!$L$5:$L$58,S$3,Red!$N$5:$N$58,1)&gt;0,1,0)</f>
        <v>0</v>
      </c>
      <c r="T20" s="5">
        <f>IF(COUNTIFS(Red!$K$5:$K$58,$C20,Red!$L$5:$L$58,T$3,Red!$N$5:$N$58,1)&gt;0,1,0)</f>
        <v>0</v>
      </c>
      <c r="U20" s="5">
        <f>IF(COUNTIFS(Red!$K$5:$K$58,$C20,Red!$L$5:$L$58,U$3,Red!$N$5:$N$58,1)&gt;0,1,0)</f>
        <v>0</v>
      </c>
      <c r="V20" s="7">
        <f>IF(COUNTIFS(Red!$K$5:$K$58,$C20,Red!$L$5:$L$58,V$3,Red!$N$5:$N$58,1)&gt;0,1,0)</f>
        <v>1</v>
      </c>
    </row>
    <row r="21" spans="2:22" ht="17.25" customHeight="1" x14ac:dyDescent="0.25">
      <c r="B21" s="15" t="str">
        <f>VLOOKUP(tblMatrizDeAdyacencia[[#This Row],[NodoOrigen \ NodoDestino]],tblNodos[#All],2,FALSE)</f>
        <v>Facilitador externo / entidad instrumental</v>
      </c>
      <c r="C21" s="6" t="s">
        <v>109</v>
      </c>
      <c r="D21" s="5">
        <f>IF(COUNTIFS(Red!$K$5:$K$58,$C21,Red!$L$5:$L$58,D$3,Red!$N$5:$N$58,1)&gt;0,1,0)</f>
        <v>0</v>
      </c>
      <c r="E21" s="5">
        <f>IF(COUNTIFS(Red!$K$5:$K$58,$C21,Red!$L$5:$L$58,E$3,Red!$N$5:$N$58,1)&gt;0,1,0)</f>
        <v>0</v>
      </c>
      <c r="F21" s="5">
        <f>IF(COUNTIFS(Red!$K$5:$K$58,$C21,Red!$L$5:$L$58,F$3,Red!$N$5:$N$58,1)&gt;0,1,0)</f>
        <v>0</v>
      </c>
      <c r="G21" s="5">
        <f>IF(COUNTIFS(Red!$K$5:$K$58,$C21,Red!$L$5:$L$58,G$3,Red!$N$5:$N$58,1)&gt;0,1,0)</f>
        <v>0</v>
      </c>
      <c r="H21" s="5">
        <f>IF(COUNTIFS(Red!$K$5:$K$58,$C21,Red!$L$5:$L$58,H$3,Red!$N$5:$N$58,1)&gt;0,1,0)</f>
        <v>0</v>
      </c>
      <c r="I21" s="5">
        <f>IF(COUNTIFS(Red!$K$5:$K$58,$C21,Red!$L$5:$L$58,I$3,Red!$N$5:$N$58,1)&gt;0,1,0)</f>
        <v>0</v>
      </c>
      <c r="J21" s="5">
        <f>IF(COUNTIFS(Red!$K$5:$K$58,$C21,Red!$L$5:$L$58,J$3,Red!$N$5:$N$58,1)&gt;0,1,0)</f>
        <v>0</v>
      </c>
      <c r="K21" s="5">
        <f>IF(COUNTIFS(Red!$K$5:$K$58,$C21,Red!$L$5:$L$58,K$3,Red!$N$5:$N$58,1)&gt;0,1,0)</f>
        <v>0</v>
      </c>
      <c r="L21" s="5">
        <f>IF(COUNTIFS(Red!$K$5:$K$58,$C21,Red!$L$5:$L$58,L$3,Red!$N$5:$N$58,1)&gt;0,1,0)</f>
        <v>0</v>
      </c>
      <c r="M21" s="5">
        <f>IF(COUNTIFS(Red!$K$5:$K$58,$C21,Red!$L$5:$L$58,M$3,Red!$N$5:$N$58,1)&gt;0,1,0)</f>
        <v>0</v>
      </c>
      <c r="N21" s="5">
        <f>IF(COUNTIFS(Red!$K$5:$K$58,$C21,Red!$L$5:$L$58,N$3,Red!$N$5:$N$58,1)&gt;0,1,0)</f>
        <v>1</v>
      </c>
      <c r="O21" s="5">
        <f>IF(COUNTIFS(Red!$K$5:$K$58,$C21,Red!$L$5:$L$58,O$3,Red!$N$5:$N$58,1)&gt;0,1,0)</f>
        <v>1</v>
      </c>
      <c r="P21" s="5">
        <f>IF(COUNTIFS(Red!$K$5:$K$58,$C21,Red!$L$5:$L$58,P$3,Red!$N$5:$N$58,1)&gt;0,1,0)</f>
        <v>0</v>
      </c>
      <c r="Q21" s="5">
        <f>IF(COUNTIFS(Red!$K$5:$K$58,$C21,Red!$L$5:$L$58,Q$3,Red!$N$5:$N$58,1)&gt;0,1,0)</f>
        <v>0</v>
      </c>
      <c r="R21" s="5">
        <f>IF(COUNTIFS(Red!$K$5:$K$58,$C21,Red!$L$5:$L$58,R$3,Red!$N$5:$N$58,1)&gt;0,1,0)</f>
        <v>1</v>
      </c>
      <c r="S21" s="5">
        <f>IF(COUNTIFS(Red!$K$5:$K$58,$C21,Red!$L$5:$L$58,S$3,Red!$N$5:$N$58,1)&gt;0,1,0)</f>
        <v>0</v>
      </c>
      <c r="T21" s="5">
        <f>IF(COUNTIFS(Red!$K$5:$K$58,$C21,Red!$L$5:$L$58,T$3,Red!$N$5:$N$58,1)&gt;0,1,0)</f>
        <v>0</v>
      </c>
      <c r="U21" s="5">
        <f>IF(COUNTIFS(Red!$K$5:$K$58,$C21,Red!$L$5:$L$58,U$3,Red!$N$5:$N$58,1)&gt;0,1,0)</f>
        <v>0</v>
      </c>
      <c r="V21" s="7">
        <f>IF(COUNTIFS(Red!$K$5:$K$58,$C21,Red!$L$5:$L$58,V$3,Red!$N$5:$N$58,1)&gt;0,1,0)</f>
        <v>1</v>
      </c>
    </row>
    <row r="22" spans="2:22" ht="17.25" customHeight="1" x14ac:dyDescent="0.25">
      <c r="B22" s="16" t="str">
        <f>VLOOKUP(tblMatrizDeAdyacencia[[#This Row],[NodoOrigen \ NodoDestino]],tblNodos[#All],2,FALSE)</f>
        <v>Destino operativo</v>
      </c>
      <c r="C22" s="11" t="s">
        <v>51</v>
      </c>
      <c r="D22" s="12">
        <f>IF(COUNTIFS(Red!$K$5:$K$58,$C22,Red!$L$5:$L$58,D$3,Red!$N$5:$N$58,1)&gt;0,1,0)</f>
        <v>0</v>
      </c>
      <c r="E22" s="12">
        <f>IF(COUNTIFS(Red!$K$5:$K$58,$C22,Red!$L$5:$L$58,E$3,Red!$N$5:$N$58,1)&gt;0,1,0)</f>
        <v>0</v>
      </c>
      <c r="F22" s="12">
        <f>IF(COUNTIFS(Red!$K$5:$K$58,$C22,Red!$L$5:$L$58,F$3,Red!$N$5:$N$58,1)&gt;0,1,0)</f>
        <v>0</v>
      </c>
      <c r="G22" s="12">
        <f>IF(COUNTIFS(Red!$K$5:$K$58,$C22,Red!$L$5:$L$58,G$3,Red!$N$5:$N$58,1)&gt;0,1,0)</f>
        <v>0</v>
      </c>
      <c r="H22" s="12">
        <f>IF(COUNTIFS(Red!$K$5:$K$58,$C22,Red!$L$5:$L$58,H$3,Red!$N$5:$N$58,1)&gt;0,1,0)</f>
        <v>0</v>
      </c>
      <c r="I22" s="12">
        <f>IF(COUNTIFS(Red!$K$5:$K$58,$C22,Red!$L$5:$L$58,I$3,Red!$N$5:$N$58,1)&gt;0,1,0)</f>
        <v>0</v>
      </c>
      <c r="J22" s="12">
        <f>IF(COUNTIFS(Red!$K$5:$K$58,$C22,Red!$L$5:$L$58,J$3,Red!$N$5:$N$58,1)&gt;0,1,0)</f>
        <v>0</v>
      </c>
      <c r="K22" s="12">
        <f>IF(COUNTIFS(Red!$K$5:$K$58,$C22,Red!$L$5:$L$58,K$3,Red!$N$5:$N$58,1)&gt;0,1,0)</f>
        <v>0</v>
      </c>
      <c r="L22" s="12">
        <f>IF(COUNTIFS(Red!$K$5:$K$58,$C22,Red!$L$5:$L$58,L$3,Red!$N$5:$N$58,1)&gt;0,1,0)</f>
        <v>0</v>
      </c>
      <c r="M22" s="12">
        <f>IF(COUNTIFS(Red!$K$5:$K$58,$C22,Red!$L$5:$L$58,M$3,Red!$N$5:$N$58,1)&gt;0,1,0)</f>
        <v>0</v>
      </c>
      <c r="N22" s="12">
        <f>IF(COUNTIFS(Red!$K$5:$K$58,$C22,Red!$L$5:$L$58,N$3,Red!$N$5:$N$58,1)&gt;0,1,0)</f>
        <v>0</v>
      </c>
      <c r="O22" s="12">
        <f>IF(COUNTIFS(Red!$K$5:$K$58,$C22,Red!$L$5:$L$58,O$3,Red!$N$5:$N$58,1)&gt;0,1,0)</f>
        <v>0</v>
      </c>
      <c r="P22" s="12">
        <f>IF(COUNTIFS(Red!$K$5:$K$58,$C22,Red!$L$5:$L$58,P$3,Red!$N$5:$N$58,1)&gt;0,1,0)</f>
        <v>0</v>
      </c>
      <c r="Q22" s="12">
        <f>IF(COUNTIFS(Red!$K$5:$K$58,$C22,Red!$L$5:$L$58,Q$3,Red!$N$5:$N$58,1)&gt;0,1,0)</f>
        <v>0</v>
      </c>
      <c r="R22" s="12">
        <f>IF(COUNTIFS(Red!$K$5:$K$58,$C22,Red!$L$5:$L$58,R$3,Red!$N$5:$N$58,1)&gt;0,1,0)</f>
        <v>0</v>
      </c>
      <c r="S22" s="12">
        <f>IF(COUNTIFS(Red!$K$5:$K$58,$C22,Red!$L$5:$L$58,S$3,Red!$N$5:$N$58,1)&gt;0,1,0)</f>
        <v>0</v>
      </c>
      <c r="T22" s="12">
        <f>IF(COUNTIFS(Red!$K$5:$K$58,$C22,Red!$L$5:$L$58,T$3,Red!$N$5:$N$58,1)&gt;0,1,0)</f>
        <v>0</v>
      </c>
      <c r="U22" s="12">
        <f>IF(COUNTIFS(Red!$K$5:$K$58,$C22,Red!$L$5:$L$58,U$3,Red!$N$5:$N$58,1)&gt;0,1,0)</f>
        <v>0</v>
      </c>
      <c r="V22" s="13">
        <f>IF(COUNTIFS(Red!$K$5:$K$58,$C22,Red!$L$5:$L$58,V$3,Red!$N$5:$N$58,1)&gt;0,1,0)</f>
        <v>0</v>
      </c>
    </row>
    <row r="25" spans="2:22" ht="17.25" customHeight="1" x14ac:dyDescent="0.25">
      <c r="B25" s="78" t="s">
        <v>191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</row>
    <row r="26" spans="2:22" ht="17.25" customHeight="1" x14ac:dyDescent="0.25">
      <c r="B26" s="78" t="s">
        <v>192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</row>
  </sheetData>
  <mergeCells count="2">
    <mergeCell ref="B26:U26"/>
    <mergeCell ref="B25:U25"/>
  </mergeCells>
  <conditionalFormatting sqref="D4:V22">
    <cfRule type="cellIs" dxfId="6" priority="1" operator="equal">
      <formula>0</formula>
    </cfRule>
    <cfRule type="cellIs" dxfId="5" priority="2" operator="equal">
      <formula>1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9CB-FAED-44D8-93CE-1992743709F4}">
  <dimension ref="B2:AA22"/>
  <sheetViews>
    <sheetView showGridLines="0" topLeftCell="A2" zoomScaleNormal="100" workbookViewId="0">
      <selection activeCell="C3" sqref="C3"/>
    </sheetView>
  </sheetViews>
  <sheetFormatPr baseColWidth="10" defaultColWidth="9.140625" defaultRowHeight="17.25" customHeight="1" x14ac:dyDescent="0.25"/>
  <cols>
    <col min="1" max="1" width="9.140625" style="4" customWidth="1"/>
    <col min="2" max="2" width="32.140625" style="4" customWidth="1"/>
    <col min="3" max="3" width="12" style="4" customWidth="1"/>
    <col min="4" max="4" width="6.7109375" style="4" customWidth="1"/>
    <col min="5" max="22" width="5.140625" style="4" customWidth="1"/>
    <col min="23" max="24" width="9.140625" style="4" customWidth="1"/>
    <col min="25" max="25" width="29.42578125" style="4" customWidth="1"/>
    <col min="26" max="26" width="12.7109375" style="4" customWidth="1"/>
    <col min="27" max="27" width="7.7109375" style="4" customWidth="1"/>
    <col min="28" max="16384" width="9.140625" style="4"/>
  </cols>
  <sheetData>
    <row r="2" spans="2:27" s="15" customFormat="1" ht="121.5" customHeight="1" x14ac:dyDescent="0.25">
      <c r="B2" s="62" t="s">
        <v>201</v>
      </c>
      <c r="C2" s="63"/>
      <c r="D2" s="27" t="str">
        <f>VLOOKUP(tblMatrizPonderadaCostes[[#Headers],[O1]],tblNodos[#All],2,FALSE)</f>
        <v>Coerción y cobros forzosos</v>
      </c>
      <c r="E2" s="27" t="str">
        <f>VLOOKUP(tblMatrizPonderadaCostes[[#Headers],[O2]],tblNodos[#All],2,FALSE)</f>
        <v>Contrabando / tráfico / comercio ilícito</v>
      </c>
      <c r="F2" s="27" t="str">
        <f>VLOOKUP(tblMatrizPonderadaCostes[[#Headers],[O3]],tblNodos[#All],2,FALSE)</f>
        <v>Explotación de recursos naturales</v>
      </c>
      <c r="G2" s="27" t="str">
        <f>VLOOKUP(tblMatrizPonderadaCostes[[#Headers],[O4]],tblNodos[#All],2,FALSE)</f>
        <v>Autofinanciación lícita / microfinanciación</v>
      </c>
      <c r="H2" s="27" t="str">
        <f>VLOOKUP(tblMatrizPonderadaCostes[[#Headers],[O5]],tblNodos[#All],2,FALSE)</f>
        <v>Actividades económicas formales / negocios</v>
      </c>
      <c r="I2" s="27" t="str">
        <f>VLOOKUP(tblMatrizPonderadaCostes[[#Headers],[O6]],tblNodos[#All],2,FALSE)</f>
        <v>Donaciones / crowdfunding / apoyo online</v>
      </c>
      <c r="J2" s="27" t="str">
        <f>VLOOKUP(tblMatrizPonderadaCostes[[#Headers],[I1]],tblNodos[#All],2,FALSE)</f>
        <v>Efectivo</v>
      </c>
      <c r="K2" s="27" t="str">
        <f>VLOOKUP(tblMatrizPonderadaCostes[[#Headers],[I2]],tblNodos[#All],2,FALSE)</f>
        <v>Hawala / HOSSP</v>
      </c>
      <c r="L2" s="27" t="str">
        <f>VLOOKUP(tblMatrizPonderadaCostes[[#Headers],[I3]],tblNodos[#All],2,FALSE)</f>
        <v>MVTS / remesas</v>
      </c>
      <c r="M2" s="27" t="str">
        <f>VLOOKUP(tblMatrizPonderadaCostes[[#Headers],[I4]],tblNodos[#All],2,FALSE)</f>
        <v>Dinero móvil</v>
      </c>
      <c r="N2" s="27" t="str">
        <f>VLOOKUP(tblMatrizPonderadaCostes[[#Headers],[I5]],tblNodos[#All],2,FALSE)</f>
        <v>Pagos online</v>
      </c>
      <c r="O2" s="27" t="str">
        <f>VLOOKUP(tblMatrizPonderadaCostes[[#Headers],[I6]],tblNodos[#All],2,FALSE)</f>
        <v>Servicios bancarios</v>
      </c>
      <c r="P2" s="27" t="str">
        <f>VLOOKUP(tblMatrizPonderadaCostes[[#Headers],[I7]],tblNodos[#All],2,FALSE)</f>
        <v>Tarjetas prepago / e-wallets</v>
      </c>
      <c r="Q2" s="27" t="str">
        <f>VLOOKUP(tblMatrizPonderadaCostes[[#Headers],[I8]],tblNodos[#All],2,FALSE)</f>
        <v>Plataformas digitales</v>
      </c>
      <c r="R2" s="27" t="str">
        <f>VLOOKUP(tblMatrizPonderadaCostes[[#Headers],[I9]],tblNodos[#All],2,FALSE)</f>
        <v>Activos virtuales</v>
      </c>
      <c r="S2" s="27" t="str">
        <f>VLOOKUP(tblMatrizPonderadaCostes[[#Headers],[G1]],tblNodos[#All],2,FALSE)</f>
        <v>Tesorería central</v>
      </c>
      <c r="T2" s="27" t="str">
        <f>VLOOKUP(tblMatrizPonderadaCostes[[#Headers],[G2]],tblNodos[#All],2,FALSE)</f>
        <v>Centro financiero regional / célula</v>
      </c>
      <c r="U2" s="27" t="str">
        <f>VLOOKUP(tblMatrizPonderadaCostes[[#Headers],[G3]],tblNodos[#All],2,FALSE)</f>
        <v>Facilitador externo / entidad instrumental</v>
      </c>
      <c r="V2" s="27" t="str">
        <f>VLOOKUP(tblMatrizPonderadaCostes[[#Headers],[D]],tblNodos[#All],2,FALSE)</f>
        <v>Destino operativo</v>
      </c>
      <c r="W2" s="26"/>
    </row>
    <row r="3" spans="2:27" ht="33" customHeight="1" x14ac:dyDescent="0.25">
      <c r="B3" s="8" t="s">
        <v>189</v>
      </c>
      <c r="C3" s="61" t="s">
        <v>190</v>
      </c>
      <c r="D3" s="9" t="s">
        <v>25</v>
      </c>
      <c r="E3" s="9" t="s">
        <v>38</v>
      </c>
      <c r="F3" s="9" t="s">
        <v>46</v>
      </c>
      <c r="G3" s="9" t="s">
        <v>53</v>
      </c>
      <c r="H3" s="9" t="s">
        <v>60</v>
      </c>
      <c r="I3" s="9" t="s">
        <v>65</v>
      </c>
      <c r="J3" s="9" t="s">
        <v>28</v>
      </c>
      <c r="K3" s="9" t="s">
        <v>41</v>
      </c>
      <c r="L3" s="9" t="s">
        <v>49</v>
      </c>
      <c r="M3" s="9" t="s">
        <v>56</v>
      </c>
      <c r="N3" s="9" t="s">
        <v>82</v>
      </c>
      <c r="O3" s="9" t="s">
        <v>86</v>
      </c>
      <c r="P3" s="9" t="s">
        <v>90</v>
      </c>
      <c r="Q3" s="9" t="s">
        <v>94</v>
      </c>
      <c r="R3" s="9" t="s">
        <v>63</v>
      </c>
      <c r="S3" s="9" t="s">
        <v>101</v>
      </c>
      <c r="T3" s="9" t="s">
        <v>105</v>
      </c>
      <c r="U3" s="9" t="s">
        <v>109</v>
      </c>
      <c r="V3" s="10" t="s">
        <v>51</v>
      </c>
      <c r="Y3" s="81" t="s">
        <v>203</v>
      </c>
      <c r="Z3" s="82"/>
    </row>
    <row r="4" spans="2:27" ht="17.25" customHeight="1" x14ac:dyDescent="0.25">
      <c r="B4" s="14" t="str">
        <f>VLOOKUP(tblMatrizPonderadaCostes[[#This Row],[NodoOrigen \ NodoDestino]],tblNodos[#All],2,FALSE)</f>
        <v>Coerción y cobros forzosos</v>
      </c>
      <c r="C4" s="6" t="s">
        <v>25</v>
      </c>
      <c r="D4" s="41">
        <f>IF(MatrizDeAdyacencia!D4=1,SUMIFS(tblEnlaces[Coste (peso)],tblEnlaces[Nodo Origen],$C4,tblEnlaces[Nodo Destino],D$3,tblEnlaces[Activo],1),0)</f>
        <v>0</v>
      </c>
      <c r="E4" s="41">
        <f>IF(MatrizDeAdyacencia!E4=1,SUMIFS(tblEnlaces[Coste (peso)],tblEnlaces[Nodo Origen],$C4,tblEnlaces[Nodo Destino],E$3,tblEnlaces[Activo],1),0)</f>
        <v>0</v>
      </c>
      <c r="F4" s="41">
        <f>IF(MatrizDeAdyacencia!F4=1,SUMIFS(tblEnlaces[Coste (peso)],tblEnlaces[Nodo Origen],$C4,tblEnlaces[Nodo Destino],F$3,tblEnlaces[Activo],1),0)</f>
        <v>0</v>
      </c>
      <c r="G4" s="41">
        <f>IF(MatrizDeAdyacencia!G4=1,SUMIFS(tblEnlaces[Coste (peso)],tblEnlaces[Nodo Origen],$C4,tblEnlaces[Nodo Destino],G$3,tblEnlaces[Activo],1),0)</f>
        <v>0</v>
      </c>
      <c r="H4" s="41">
        <f>IF(MatrizDeAdyacencia!H4=1,SUMIFS(tblEnlaces[Coste (peso)],tblEnlaces[Nodo Origen],$C4,tblEnlaces[Nodo Destino],H$3,tblEnlaces[Activo],1),0)</f>
        <v>0</v>
      </c>
      <c r="I4" s="41">
        <f>IF(MatrizDeAdyacencia!I4=1,SUMIFS(tblEnlaces[Coste (peso)],tblEnlaces[Nodo Origen],$C4,tblEnlaces[Nodo Destino],I$3,tblEnlaces[Activo],1),0)</f>
        <v>0</v>
      </c>
      <c r="J4" s="41">
        <f>IF(MatrizDeAdyacencia!J4=1,SUMIFS(tblEnlaces[Coste (peso)],tblEnlaces[Nodo Origen],$C4,tblEnlaces[Nodo Destino],J$3,tblEnlaces[Activo],1),0)</f>
        <v>5</v>
      </c>
      <c r="K4" s="41">
        <f>IF(MatrizDeAdyacencia!K4=1,SUMIFS(tblEnlaces[Coste (peso)],tblEnlaces[Nodo Origen],$C4,tblEnlaces[Nodo Destino],K$3,tblEnlaces[Activo],1),0)</f>
        <v>3</v>
      </c>
      <c r="L4" s="41">
        <f>IF(MatrizDeAdyacencia!L4=1,SUMIFS(tblEnlaces[Coste (peso)],tblEnlaces[Nodo Origen],$C4,tblEnlaces[Nodo Destino],L$3,tblEnlaces[Activo],1),0)</f>
        <v>3</v>
      </c>
      <c r="M4" s="41">
        <f>IF(MatrizDeAdyacencia!M4=1,SUMIFS(tblEnlaces[Coste (peso)],tblEnlaces[Nodo Origen],$C4,tblEnlaces[Nodo Destino],M$3,tblEnlaces[Activo],1),0)</f>
        <v>4</v>
      </c>
      <c r="N4" s="41">
        <f>IF(MatrizDeAdyacencia!N4=1,SUMIFS(tblEnlaces[Coste (peso)],tblEnlaces[Nodo Origen],$C4,tblEnlaces[Nodo Destino],N$3,tblEnlaces[Activo],1),0)</f>
        <v>0</v>
      </c>
      <c r="O4" s="41">
        <f>IF(MatrizDeAdyacencia!O4=1,SUMIFS(tblEnlaces[Coste (peso)],tblEnlaces[Nodo Origen],$C4,tblEnlaces[Nodo Destino],O$3,tblEnlaces[Activo],1),0)</f>
        <v>0</v>
      </c>
      <c r="P4" s="41">
        <f>IF(MatrizDeAdyacencia!P4=1,SUMIFS(tblEnlaces[Coste (peso)],tblEnlaces[Nodo Origen],$C4,tblEnlaces[Nodo Destino],P$3,tblEnlaces[Activo],1),0)</f>
        <v>0</v>
      </c>
      <c r="Q4" s="41">
        <f>IF(MatrizDeAdyacencia!Q4=1,SUMIFS(tblEnlaces[Coste (peso)],tblEnlaces[Nodo Origen],$C4,tblEnlaces[Nodo Destino],Q$3,tblEnlaces[Activo],1),0)</f>
        <v>0</v>
      </c>
      <c r="R4" s="41">
        <f>IF(MatrizDeAdyacencia!R4=1,SUMIFS(tblEnlaces[Coste (peso)],tblEnlaces[Nodo Origen],$C4,tblEnlaces[Nodo Destino],R$3,tblEnlaces[Activo],1),0)</f>
        <v>3</v>
      </c>
      <c r="S4" s="41">
        <f>IF(MatrizDeAdyacencia!S4=1,SUMIFS(tblEnlaces[Coste (peso)],tblEnlaces[Nodo Origen],$C4,tblEnlaces[Nodo Destino],S$3,tblEnlaces[Activo],1),0)</f>
        <v>0</v>
      </c>
      <c r="T4" s="41">
        <f>IF(MatrizDeAdyacencia!T4=1,SUMIFS(tblEnlaces[Coste (peso)],tblEnlaces[Nodo Origen],$C4,tblEnlaces[Nodo Destino],T$3,tblEnlaces[Activo],1),0)</f>
        <v>0</v>
      </c>
      <c r="U4" s="41">
        <f>IF(MatrizDeAdyacencia!U4=1,SUMIFS(tblEnlaces[Coste (peso)],tblEnlaces[Nodo Origen],$C4,tblEnlaces[Nodo Destino],U$3,tblEnlaces[Activo],1),0)</f>
        <v>0</v>
      </c>
      <c r="V4" s="42">
        <f>IF(MatrizDeAdyacencia!V4=1,SUMIFS(tblEnlaces[Coste (peso)],tblEnlaces[Nodo Origen],$C4,tblEnlaces[Nodo Destino],V$3,tblEnlaces[Activo],1),0)</f>
        <v>0</v>
      </c>
      <c r="Y4" s="33" t="s">
        <v>194</v>
      </c>
      <c r="Z4" s="33" t="s">
        <v>16</v>
      </c>
    </row>
    <row r="5" spans="2:27" ht="17.25" customHeight="1" x14ac:dyDescent="0.25">
      <c r="B5" s="15" t="str">
        <f>VLOOKUP(tblMatrizPonderadaCostes[[#This Row],[NodoOrigen \ NodoDestino]],tblNodos[#All],2,FALSE)</f>
        <v>Contrabando / tráfico / comercio ilícito</v>
      </c>
      <c r="C5" s="6" t="s">
        <v>38</v>
      </c>
      <c r="D5" s="41">
        <f>IF(MatrizDeAdyacencia!D5=1,SUMIFS(tblEnlaces[Coste (peso)],tblEnlaces[Nodo Origen],$C5,tblEnlaces[Nodo Destino],D$3,tblEnlaces[Activo],1),0)</f>
        <v>0</v>
      </c>
      <c r="E5" s="41">
        <f>IF(MatrizDeAdyacencia!E5=1,SUMIFS(tblEnlaces[Coste (peso)],tblEnlaces[Nodo Origen],$C5,tblEnlaces[Nodo Destino],E$3,tblEnlaces[Activo],1),0)</f>
        <v>0</v>
      </c>
      <c r="F5" s="41">
        <f>IF(MatrizDeAdyacencia!F5=1,SUMIFS(tblEnlaces[Coste (peso)],tblEnlaces[Nodo Origen],$C5,tblEnlaces[Nodo Destino],F$3,tblEnlaces[Activo],1),0)</f>
        <v>0</v>
      </c>
      <c r="G5" s="41">
        <f>IF(MatrizDeAdyacencia!G5=1,SUMIFS(tblEnlaces[Coste (peso)],tblEnlaces[Nodo Origen],$C5,tblEnlaces[Nodo Destino],G$3,tblEnlaces[Activo],1),0)</f>
        <v>0</v>
      </c>
      <c r="H5" s="41">
        <f>IF(MatrizDeAdyacencia!H5=1,SUMIFS(tblEnlaces[Coste (peso)],tblEnlaces[Nodo Origen],$C5,tblEnlaces[Nodo Destino],H$3,tblEnlaces[Activo],1),0)</f>
        <v>0</v>
      </c>
      <c r="I5" s="41">
        <f>IF(MatrizDeAdyacencia!I5=1,SUMIFS(tblEnlaces[Coste (peso)],tblEnlaces[Nodo Origen],$C5,tblEnlaces[Nodo Destino],I$3,tblEnlaces[Activo],1),0)</f>
        <v>0</v>
      </c>
      <c r="J5" s="41">
        <f>IF(MatrizDeAdyacencia!J5=1,SUMIFS(tblEnlaces[Coste (peso)],tblEnlaces[Nodo Origen],$C5,tblEnlaces[Nodo Destino],J$3,tblEnlaces[Activo],1),0)</f>
        <v>5</v>
      </c>
      <c r="K5" s="41">
        <f>IF(MatrizDeAdyacencia!K5=1,SUMIFS(tblEnlaces[Coste (peso)],tblEnlaces[Nodo Origen],$C5,tblEnlaces[Nodo Destino],K$3,tblEnlaces[Activo],1),0)</f>
        <v>3</v>
      </c>
      <c r="L5" s="41">
        <f>IF(MatrizDeAdyacencia!L5=1,SUMIFS(tblEnlaces[Coste (peso)],tblEnlaces[Nodo Origen],$C5,tblEnlaces[Nodo Destino],L$3,tblEnlaces[Activo],1),0)</f>
        <v>3</v>
      </c>
      <c r="M5" s="41">
        <f>IF(MatrizDeAdyacencia!M5=1,SUMIFS(tblEnlaces[Coste (peso)],tblEnlaces[Nodo Origen],$C5,tblEnlaces[Nodo Destino],M$3,tblEnlaces[Activo],1),0)</f>
        <v>0</v>
      </c>
      <c r="N5" s="41">
        <f>IF(MatrizDeAdyacencia!N5=1,SUMIFS(tblEnlaces[Coste (peso)],tblEnlaces[Nodo Origen],$C5,tblEnlaces[Nodo Destino],N$3,tblEnlaces[Activo],1),0)</f>
        <v>0</v>
      </c>
      <c r="O5" s="41">
        <f>IF(MatrizDeAdyacencia!O5=1,SUMIFS(tblEnlaces[Coste (peso)],tblEnlaces[Nodo Origen],$C5,tblEnlaces[Nodo Destino],O$3,tblEnlaces[Activo],1),0)</f>
        <v>0</v>
      </c>
      <c r="P5" s="41">
        <f>IF(MatrizDeAdyacencia!P5=1,SUMIFS(tblEnlaces[Coste (peso)],tblEnlaces[Nodo Origen],$C5,tblEnlaces[Nodo Destino],P$3,tblEnlaces[Activo],1),0)</f>
        <v>0</v>
      </c>
      <c r="Q5" s="41">
        <f>IF(MatrizDeAdyacencia!Q5=1,SUMIFS(tblEnlaces[Coste (peso)],tblEnlaces[Nodo Origen],$C5,tblEnlaces[Nodo Destino],Q$3,tblEnlaces[Activo],1),0)</f>
        <v>0</v>
      </c>
      <c r="R5" s="41">
        <f>IF(MatrizDeAdyacencia!R5=1,SUMIFS(tblEnlaces[Coste (peso)],tblEnlaces[Nodo Origen],$C5,tblEnlaces[Nodo Destino],R$3,tblEnlaces[Activo],1),0)</f>
        <v>0</v>
      </c>
      <c r="S5" s="41">
        <f>IF(MatrizDeAdyacencia!S5=1,SUMIFS(tblEnlaces[Coste (peso)],tblEnlaces[Nodo Origen],$C5,tblEnlaces[Nodo Destino],S$3,tblEnlaces[Activo],1),0)</f>
        <v>0</v>
      </c>
      <c r="T5" s="41">
        <f>IF(MatrizDeAdyacencia!T5=1,SUMIFS(tblEnlaces[Coste (peso)],tblEnlaces[Nodo Origen],$C5,tblEnlaces[Nodo Destino],T$3,tblEnlaces[Activo],1),0)</f>
        <v>0</v>
      </c>
      <c r="U5" s="41">
        <f>IF(MatrizDeAdyacencia!U5=1,SUMIFS(tblEnlaces[Coste (peso)],tblEnlaces[Nodo Origen],$C5,tblEnlaces[Nodo Destino],U$3,tblEnlaces[Activo],1),0)</f>
        <v>0</v>
      </c>
      <c r="V5" s="42">
        <f>IF(MatrizDeAdyacencia!V5=1,SUMIFS(tblEnlaces[Coste (peso)],tblEnlaces[Nodo Origen],$C5,tblEnlaces[Nodo Destino],V$3,tblEnlaces[Activo],1),0)</f>
        <v>0</v>
      </c>
      <c r="Y5" s="34" t="s">
        <v>31</v>
      </c>
      <c r="Z5" s="40">
        <v>5</v>
      </c>
    </row>
    <row r="6" spans="2:27" ht="17.25" customHeight="1" x14ac:dyDescent="0.25">
      <c r="B6" s="15" t="str">
        <f>VLOOKUP(tblMatrizPonderadaCostes[[#This Row],[NodoOrigen \ NodoDestino]],tblNodos[#All],2,FALSE)</f>
        <v>Explotación de recursos naturales</v>
      </c>
      <c r="C6" s="6" t="s">
        <v>46</v>
      </c>
      <c r="D6" s="41">
        <f>IF(MatrizDeAdyacencia!D6=1,SUMIFS(tblEnlaces[Coste (peso)],tblEnlaces[Nodo Origen],$C6,tblEnlaces[Nodo Destino],D$3,tblEnlaces[Activo],1),0)</f>
        <v>0</v>
      </c>
      <c r="E6" s="41">
        <f>IF(MatrizDeAdyacencia!E6=1,SUMIFS(tblEnlaces[Coste (peso)],tblEnlaces[Nodo Origen],$C6,tblEnlaces[Nodo Destino],E$3,tblEnlaces[Activo],1),0)</f>
        <v>0</v>
      </c>
      <c r="F6" s="41">
        <f>IF(MatrizDeAdyacencia!F6=1,SUMIFS(tblEnlaces[Coste (peso)],tblEnlaces[Nodo Origen],$C6,tblEnlaces[Nodo Destino],F$3,tblEnlaces[Activo],1),0)</f>
        <v>0</v>
      </c>
      <c r="G6" s="41">
        <f>IF(MatrizDeAdyacencia!G6=1,SUMIFS(tblEnlaces[Coste (peso)],tblEnlaces[Nodo Origen],$C6,tblEnlaces[Nodo Destino],G$3,tblEnlaces[Activo],1),0)</f>
        <v>0</v>
      </c>
      <c r="H6" s="41">
        <f>IF(MatrizDeAdyacencia!H6=1,SUMIFS(tblEnlaces[Coste (peso)],tblEnlaces[Nodo Origen],$C6,tblEnlaces[Nodo Destino],H$3,tblEnlaces[Activo],1),0)</f>
        <v>0</v>
      </c>
      <c r="I6" s="41">
        <f>IF(MatrizDeAdyacencia!I6=1,SUMIFS(tblEnlaces[Coste (peso)],tblEnlaces[Nodo Origen],$C6,tblEnlaces[Nodo Destino],I$3,tblEnlaces[Activo],1),0)</f>
        <v>0</v>
      </c>
      <c r="J6" s="41">
        <f>IF(MatrizDeAdyacencia!J6=1,SUMIFS(tblEnlaces[Coste (peso)],tblEnlaces[Nodo Origen],$C6,tblEnlaces[Nodo Destino],J$3,tblEnlaces[Activo],1),0)</f>
        <v>5</v>
      </c>
      <c r="K6" s="41">
        <f>IF(MatrizDeAdyacencia!K6=1,SUMIFS(tblEnlaces[Coste (peso)],tblEnlaces[Nodo Origen],$C6,tblEnlaces[Nodo Destino],K$3,tblEnlaces[Activo],1),0)</f>
        <v>3</v>
      </c>
      <c r="L6" s="41">
        <f>IF(MatrizDeAdyacencia!L6=1,SUMIFS(tblEnlaces[Coste (peso)],tblEnlaces[Nodo Origen],$C6,tblEnlaces[Nodo Destino],L$3,tblEnlaces[Activo],1),0)</f>
        <v>3</v>
      </c>
      <c r="M6" s="41">
        <f>IF(MatrizDeAdyacencia!M6=1,SUMIFS(tblEnlaces[Coste (peso)],tblEnlaces[Nodo Origen],$C6,tblEnlaces[Nodo Destino],M$3,tblEnlaces[Activo],1),0)</f>
        <v>0</v>
      </c>
      <c r="N6" s="41">
        <f>IF(MatrizDeAdyacencia!N6=1,SUMIFS(tblEnlaces[Coste (peso)],tblEnlaces[Nodo Origen],$C6,tblEnlaces[Nodo Destino],N$3,tblEnlaces[Activo],1),0)</f>
        <v>0</v>
      </c>
      <c r="O6" s="41">
        <f>IF(MatrizDeAdyacencia!O6=1,SUMIFS(tblEnlaces[Coste (peso)],tblEnlaces[Nodo Origen],$C6,tblEnlaces[Nodo Destino],O$3,tblEnlaces[Activo],1),0)</f>
        <v>0</v>
      </c>
      <c r="P6" s="41">
        <f>IF(MatrizDeAdyacencia!P6=1,SUMIFS(tblEnlaces[Coste (peso)],tblEnlaces[Nodo Origen],$C6,tblEnlaces[Nodo Destino],P$3,tblEnlaces[Activo],1),0)</f>
        <v>0</v>
      </c>
      <c r="Q6" s="41">
        <f>IF(MatrizDeAdyacencia!Q6=1,SUMIFS(tblEnlaces[Coste (peso)],tblEnlaces[Nodo Origen],$C6,tblEnlaces[Nodo Destino],Q$3,tblEnlaces[Activo],1),0)</f>
        <v>0</v>
      </c>
      <c r="R6" s="41">
        <f>IF(MatrizDeAdyacencia!R6=1,SUMIFS(tblEnlaces[Coste (peso)],tblEnlaces[Nodo Origen],$C6,tblEnlaces[Nodo Destino],R$3,tblEnlaces[Activo],1),0)</f>
        <v>0</v>
      </c>
      <c r="S6" s="41">
        <f>IF(MatrizDeAdyacencia!S6=1,SUMIFS(tblEnlaces[Coste (peso)],tblEnlaces[Nodo Origen],$C6,tblEnlaces[Nodo Destino],S$3,tblEnlaces[Activo],1),0)</f>
        <v>0</v>
      </c>
      <c r="T6" s="41">
        <f>IF(MatrizDeAdyacencia!T6=1,SUMIFS(tblEnlaces[Coste (peso)],tblEnlaces[Nodo Origen],$C6,tblEnlaces[Nodo Destino],T$3,tblEnlaces[Activo],1),0)</f>
        <v>0</v>
      </c>
      <c r="U6" s="41">
        <f>IF(MatrizDeAdyacencia!U6=1,SUMIFS(tblEnlaces[Coste (peso)],tblEnlaces[Nodo Origen],$C6,tblEnlaces[Nodo Destino],U$3,tblEnlaces[Activo],1),0)</f>
        <v>0</v>
      </c>
      <c r="V6" s="42">
        <f>IF(MatrizDeAdyacencia!V6=1,SUMIFS(tblEnlaces[Coste (peso)],tblEnlaces[Nodo Origen],$C6,tblEnlaces[Nodo Destino],V$3,tblEnlaces[Activo],1),0)</f>
        <v>0</v>
      </c>
      <c r="Y6" s="34" t="s">
        <v>58</v>
      </c>
      <c r="Z6" s="40">
        <v>4</v>
      </c>
    </row>
    <row r="7" spans="2:27" ht="17.25" customHeight="1" x14ac:dyDescent="0.25">
      <c r="B7" s="15" t="str">
        <f>VLOOKUP(tblMatrizPonderadaCostes[[#This Row],[NodoOrigen \ NodoDestino]],tblNodos[#All],2,FALSE)</f>
        <v>Autofinanciación lícita / microfinanciación</v>
      </c>
      <c r="C7" s="6" t="s">
        <v>53</v>
      </c>
      <c r="D7" s="41">
        <f>IF(MatrizDeAdyacencia!D7=1,SUMIFS(tblEnlaces[Coste (peso)],tblEnlaces[Nodo Origen],$C7,tblEnlaces[Nodo Destino],D$3,tblEnlaces[Activo],1),0)</f>
        <v>0</v>
      </c>
      <c r="E7" s="41">
        <f>IF(MatrizDeAdyacencia!E7=1,SUMIFS(tblEnlaces[Coste (peso)],tblEnlaces[Nodo Origen],$C7,tblEnlaces[Nodo Destino],E$3,tblEnlaces[Activo],1),0)</f>
        <v>0</v>
      </c>
      <c r="F7" s="41">
        <f>IF(MatrizDeAdyacencia!F7=1,SUMIFS(tblEnlaces[Coste (peso)],tblEnlaces[Nodo Origen],$C7,tblEnlaces[Nodo Destino],F$3,tblEnlaces[Activo],1),0)</f>
        <v>0</v>
      </c>
      <c r="G7" s="41">
        <f>IF(MatrizDeAdyacencia!G7=1,SUMIFS(tblEnlaces[Coste (peso)],tblEnlaces[Nodo Origen],$C7,tblEnlaces[Nodo Destino],G$3,tblEnlaces[Activo],1),0)</f>
        <v>0</v>
      </c>
      <c r="H7" s="41">
        <f>IF(MatrizDeAdyacencia!H7=1,SUMIFS(tblEnlaces[Coste (peso)],tblEnlaces[Nodo Origen],$C7,tblEnlaces[Nodo Destino],H$3,tblEnlaces[Activo],1),0)</f>
        <v>0</v>
      </c>
      <c r="I7" s="41">
        <f>IF(MatrizDeAdyacencia!I7=1,SUMIFS(tblEnlaces[Coste (peso)],tblEnlaces[Nodo Origen],$C7,tblEnlaces[Nodo Destino],I$3,tblEnlaces[Activo],1),0)</f>
        <v>0</v>
      </c>
      <c r="J7" s="41">
        <f>IF(MatrizDeAdyacencia!J7=1,SUMIFS(tblEnlaces[Coste (peso)],tblEnlaces[Nodo Origen],$C7,tblEnlaces[Nodo Destino],J$3,tblEnlaces[Activo],1),0)</f>
        <v>0</v>
      </c>
      <c r="K7" s="41">
        <f>IF(MatrizDeAdyacencia!K7=1,SUMIFS(tblEnlaces[Coste (peso)],tblEnlaces[Nodo Origen],$C7,tblEnlaces[Nodo Destino],K$3,tblEnlaces[Activo],1),0)</f>
        <v>0</v>
      </c>
      <c r="L7" s="41">
        <f>IF(MatrizDeAdyacencia!L7=1,SUMIFS(tblEnlaces[Coste (peso)],tblEnlaces[Nodo Origen],$C7,tblEnlaces[Nodo Destino],L$3,tblEnlaces[Activo],1),0)</f>
        <v>0</v>
      </c>
      <c r="M7" s="41">
        <f>IF(MatrizDeAdyacencia!M7=1,SUMIFS(tblEnlaces[Coste (peso)],tblEnlaces[Nodo Origen],$C7,tblEnlaces[Nodo Destino],M$3,tblEnlaces[Activo],1),0)</f>
        <v>5</v>
      </c>
      <c r="N7" s="41">
        <f>IF(MatrizDeAdyacencia!N7=1,SUMIFS(tblEnlaces[Coste (peso)],tblEnlaces[Nodo Origen],$C7,tblEnlaces[Nodo Destino],N$3,tblEnlaces[Activo],1),0)</f>
        <v>4</v>
      </c>
      <c r="O7" s="41">
        <f>IF(MatrizDeAdyacencia!O7=1,SUMIFS(tblEnlaces[Coste (peso)],tblEnlaces[Nodo Origen],$C7,tblEnlaces[Nodo Destino],O$3,tblEnlaces[Activo],1),0)</f>
        <v>3</v>
      </c>
      <c r="P7" s="41">
        <f>IF(MatrizDeAdyacencia!P7=1,SUMIFS(tblEnlaces[Coste (peso)],tblEnlaces[Nodo Origen],$C7,tblEnlaces[Nodo Destino],P$3,tblEnlaces[Activo],1),0)</f>
        <v>3</v>
      </c>
      <c r="Q7" s="41">
        <f>IF(MatrizDeAdyacencia!Q7=1,SUMIFS(tblEnlaces[Coste (peso)],tblEnlaces[Nodo Origen],$C7,tblEnlaces[Nodo Destino],Q$3,tblEnlaces[Activo],1),0)</f>
        <v>0</v>
      </c>
      <c r="R7" s="41">
        <f>IF(MatrizDeAdyacencia!R7=1,SUMIFS(tblEnlaces[Coste (peso)],tblEnlaces[Nodo Origen],$C7,tblEnlaces[Nodo Destino],R$3,tblEnlaces[Activo],1),0)</f>
        <v>0</v>
      </c>
      <c r="S7" s="41">
        <f>IF(MatrizDeAdyacencia!S7=1,SUMIFS(tblEnlaces[Coste (peso)],tblEnlaces[Nodo Origen],$C7,tblEnlaces[Nodo Destino],S$3,tblEnlaces[Activo],1),0)</f>
        <v>0</v>
      </c>
      <c r="T7" s="41">
        <f>IF(MatrizDeAdyacencia!T7=1,SUMIFS(tblEnlaces[Coste (peso)],tblEnlaces[Nodo Origen],$C7,tblEnlaces[Nodo Destino],T$3,tblEnlaces[Activo],1),0)</f>
        <v>0</v>
      </c>
      <c r="U7" s="41">
        <f>IF(MatrizDeAdyacencia!U7=1,SUMIFS(tblEnlaces[Coste (peso)],tblEnlaces[Nodo Origen],$C7,tblEnlaces[Nodo Destino],U$3,tblEnlaces[Activo],1),0)</f>
        <v>0</v>
      </c>
      <c r="V7" s="42">
        <f>IF(MatrizDeAdyacencia!V7=1,SUMIFS(tblEnlaces[Coste (peso)],tblEnlaces[Nodo Origen],$C7,tblEnlaces[Nodo Destino],V$3,tblEnlaces[Activo],1),0)</f>
        <v>0</v>
      </c>
      <c r="Y7" s="34" t="s">
        <v>32</v>
      </c>
      <c r="Z7" s="40">
        <v>3</v>
      </c>
    </row>
    <row r="8" spans="2:27" ht="17.25" customHeight="1" x14ac:dyDescent="0.25">
      <c r="B8" s="15" t="str">
        <f>VLOOKUP(tblMatrizPonderadaCostes[[#This Row],[NodoOrigen \ NodoDestino]],tblNodos[#All],2,FALSE)</f>
        <v>Actividades económicas formales / negocios</v>
      </c>
      <c r="C8" s="6" t="s">
        <v>60</v>
      </c>
      <c r="D8" s="41">
        <f>IF(MatrizDeAdyacencia!D8=1,SUMIFS(tblEnlaces[Coste (peso)],tblEnlaces[Nodo Origen],$C8,tblEnlaces[Nodo Destino],D$3,tblEnlaces[Activo],1),0)</f>
        <v>0</v>
      </c>
      <c r="E8" s="41">
        <f>IF(MatrizDeAdyacencia!E8=1,SUMIFS(tblEnlaces[Coste (peso)],tblEnlaces[Nodo Origen],$C8,tblEnlaces[Nodo Destino],E$3,tblEnlaces[Activo],1),0)</f>
        <v>0</v>
      </c>
      <c r="F8" s="41">
        <f>IF(MatrizDeAdyacencia!F8=1,SUMIFS(tblEnlaces[Coste (peso)],tblEnlaces[Nodo Origen],$C8,tblEnlaces[Nodo Destino],F$3,tblEnlaces[Activo],1),0)</f>
        <v>0</v>
      </c>
      <c r="G8" s="41">
        <f>IF(MatrizDeAdyacencia!G8=1,SUMIFS(tblEnlaces[Coste (peso)],tblEnlaces[Nodo Origen],$C8,tblEnlaces[Nodo Destino],G$3,tblEnlaces[Activo],1),0)</f>
        <v>0</v>
      </c>
      <c r="H8" s="41">
        <f>IF(MatrizDeAdyacencia!H8=1,SUMIFS(tblEnlaces[Coste (peso)],tblEnlaces[Nodo Origen],$C8,tblEnlaces[Nodo Destino],H$3,tblEnlaces[Activo],1),0)</f>
        <v>0</v>
      </c>
      <c r="I8" s="41">
        <f>IF(MatrizDeAdyacencia!I8=1,SUMIFS(tblEnlaces[Coste (peso)],tblEnlaces[Nodo Origen],$C8,tblEnlaces[Nodo Destino],I$3,tblEnlaces[Activo],1),0)</f>
        <v>0</v>
      </c>
      <c r="J8" s="41">
        <f>IF(MatrizDeAdyacencia!J8=1,SUMIFS(tblEnlaces[Coste (peso)],tblEnlaces[Nodo Origen],$C8,tblEnlaces[Nodo Destino],J$3,tblEnlaces[Activo],1),0)</f>
        <v>5</v>
      </c>
      <c r="K8" s="41">
        <f>IF(MatrizDeAdyacencia!K8=1,SUMIFS(tblEnlaces[Coste (peso)],tblEnlaces[Nodo Origen],$C8,tblEnlaces[Nodo Destino],K$3,tblEnlaces[Activo],1),0)</f>
        <v>0</v>
      </c>
      <c r="L8" s="41">
        <f>IF(MatrizDeAdyacencia!L8=1,SUMIFS(tblEnlaces[Coste (peso)],tblEnlaces[Nodo Origen],$C8,tblEnlaces[Nodo Destino],L$3,tblEnlaces[Activo],1),0)</f>
        <v>0</v>
      </c>
      <c r="M8" s="41">
        <f>IF(MatrizDeAdyacencia!M8=1,SUMIFS(tblEnlaces[Coste (peso)],tblEnlaces[Nodo Origen],$C8,tblEnlaces[Nodo Destino],M$3,tblEnlaces[Activo],1),0)</f>
        <v>0</v>
      </c>
      <c r="N8" s="41">
        <f>IF(MatrizDeAdyacencia!N8=1,SUMIFS(tblEnlaces[Coste (peso)],tblEnlaces[Nodo Origen],$C8,tblEnlaces[Nodo Destino],N$3,tblEnlaces[Activo],1),0)</f>
        <v>4</v>
      </c>
      <c r="O8" s="41">
        <f>IF(MatrizDeAdyacencia!O8=1,SUMIFS(tblEnlaces[Coste (peso)],tblEnlaces[Nodo Origen],$C8,tblEnlaces[Nodo Destino],O$3,tblEnlaces[Activo],1),0)</f>
        <v>3</v>
      </c>
      <c r="P8" s="41">
        <f>IF(MatrizDeAdyacencia!P8=1,SUMIFS(tblEnlaces[Coste (peso)],tblEnlaces[Nodo Origen],$C8,tblEnlaces[Nodo Destino],P$3,tblEnlaces[Activo],1),0)</f>
        <v>0</v>
      </c>
      <c r="Q8" s="41">
        <f>IF(MatrizDeAdyacencia!Q8=1,SUMIFS(tblEnlaces[Coste (peso)],tblEnlaces[Nodo Origen],$C8,tblEnlaces[Nodo Destino],Q$3,tblEnlaces[Activo],1),0)</f>
        <v>0</v>
      </c>
      <c r="R8" s="41">
        <f>IF(MatrizDeAdyacencia!R8=1,SUMIFS(tblEnlaces[Coste (peso)],tblEnlaces[Nodo Origen],$C8,tblEnlaces[Nodo Destino],R$3,tblEnlaces[Activo],1),0)</f>
        <v>0</v>
      </c>
      <c r="S8" s="41">
        <f>IF(MatrizDeAdyacencia!S8=1,SUMIFS(tblEnlaces[Coste (peso)],tblEnlaces[Nodo Origen],$C8,tblEnlaces[Nodo Destino],S$3,tblEnlaces[Activo],1),0)</f>
        <v>0</v>
      </c>
      <c r="T8" s="41">
        <f>IF(MatrizDeAdyacencia!T8=1,SUMIFS(tblEnlaces[Coste (peso)],tblEnlaces[Nodo Origen],$C8,tblEnlaces[Nodo Destino],T$3,tblEnlaces[Activo],1),0)</f>
        <v>0</v>
      </c>
      <c r="U8" s="41">
        <f>IF(MatrizDeAdyacencia!U8=1,SUMIFS(tblEnlaces[Coste (peso)],tblEnlaces[Nodo Origen],$C8,tblEnlaces[Nodo Destino],U$3,tblEnlaces[Activo],1),0)</f>
        <v>0</v>
      </c>
      <c r="V8" s="42">
        <f>IF(MatrizDeAdyacencia!V8=1,SUMIFS(tblEnlaces[Coste (peso)],tblEnlaces[Nodo Origen],$C8,tblEnlaces[Nodo Destino],V$3,tblEnlaces[Activo],1),0)</f>
        <v>0</v>
      </c>
      <c r="Y8" s="34" t="s">
        <v>71</v>
      </c>
      <c r="Z8" s="40">
        <v>2</v>
      </c>
    </row>
    <row r="9" spans="2:27" ht="17.25" customHeight="1" x14ac:dyDescent="0.25">
      <c r="B9" s="15" t="str">
        <f>VLOOKUP(tblMatrizPonderadaCostes[[#This Row],[NodoOrigen \ NodoDestino]],tblNodos[#All],2,FALSE)</f>
        <v>Donaciones / crowdfunding / apoyo online</v>
      </c>
      <c r="C9" s="6" t="s">
        <v>65</v>
      </c>
      <c r="D9" s="41">
        <f>IF(MatrizDeAdyacencia!D9=1,SUMIFS(tblEnlaces[Coste (peso)],tblEnlaces[Nodo Origen],$C9,tblEnlaces[Nodo Destino],D$3,tblEnlaces[Activo],1),0)</f>
        <v>0</v>
      </c>
      <c r="E9" s="41">
        <f>IF(MatrizDeAdyacencia!E9=1,SUMIFS(tblEnlaces[Coste (peso)],tblEnlaces[Nodo Origen],$C9,tblEnlaces[Nodo Destino],E$3,tblEnlaces[Activo],1),0)</f>
        <v>0</v>
      </c>
      <c r="F9" s="41">
        <f>IF(MatrizDeAdyacencia!F9=1,SUMIFS(tblEnlaces[Coste (peso)],tblEnlaces[Nodo Origen],$C9,tblEnlaces[Nodo Destino],F$3,tblEnlaces[Activo],1),0)</f>
        <v>0</v>
      </c>
      <c r="G9" s="41">
        <f>IF(MatrizDeAdyacencia!G9=1,SUMIFS(tblEnlaces[Coste (peso)],tblEnlaces[Nodo Origen],$C9,tblEnlaces[Nodo Destino],G$3,tblEnlaces[Activo],1),0)</f>
        <v>0</v>
      </c>
      <c r="H9" s="41">
        <f>IF(MatrizDeAdyacencia!H9=1,SUMIFS(tblEnlaces[Coste (peso)],tblEnlaces[Nodo Origen],$C9,tblEnlaces[Nodo Destino],H$3,tblEnlaces[Activo],1),0)</f>
        <v>0</v>
      </c>
      <c r="I9" s="41">
        <f>IF(MatrizDeAdyacencia!I9=1,SUMIFS(tblEnlaces[Coste (peso)],tblEnlaces[Nodo Origen],$C9,tblEnlaces[Nodo Destino],I$3,tblEnlaces[Activo],1),0)</f>
        <v>0</v>
      </c>
      <c r="J9" s="41">
        <f>IF(MatrizDeAdyacencia!J9=1,SUMIFS(tblEnlaces[Coste (peso)],tblEnlaces[Nodo Origen],$C9,tblEnlaces[Nodo Destino],J$3,tblEnlaces[Activo],1),0)</f>
        <v>0</v>
      </c>
      <c r="K9" s="41">
        <f>IF(MatrizDeAdyacencia!K9=1,SUMIFS(tblEnlaces[Coste (peso)],tblEnlaces[Nodo Origen],$C9,tblEnlaces[Nodo Destino],K$3,tblEnlaces[Activo],1),0)</f>
        <v>0</v>
      </c>
      <c r="L9" s="41">
        <f>IF(MatrizDeAdyacencia!L9=1,SUMIFS(tblEnlaces[Coste (peso)],tblEnlaces[Nodo Origen],$C9,tblEnlaces[Nodo Destino],L$3,tblEnlaces[Activo],1),0)</f>
        <v>3</v>
      </c>
      <c r="M9" s="41">
        <f>IF(MatrizDeAdyacencia!M9=1,SUMIFS(tblEnlaces[Coste (peso)],tblEnlaces[Nodo Origen],$C9,tblEnlaces[Nodo Destino],M$3,tblEnlaces[Activo],1),0)</f>
        <v>0</v>
      </c>
      <c r="N9" s="41">
        <f>IF(MatrizDeAdyacencia!N9=1,SUMIFS(tblEnlaces[Coste (peso)],tblEnlaces[Nodo Origen],$C9,tblEnlaces[Nodo Destino],N$3,tblEnlaces[Activo],1),0)</f>
        <v>4</v>
      </c>
      <c r="O9" s="41">
        <f>IF(MatrizDeAdyacencia!O9=1,SUMIFS(tblEnlaces[Coste (peso)],tblEnlaces[Nodo Origen],$C9,tblEnlaces[Nodo Destino],O$3,tblEnlaces[Activo],1),0)</f>
        <v>0</v>
      </c>
      <c r="P9" s="41">
        <f>IF(MatrizDeAdyacencia!P9=1,SUMIFS(tblEnlaces[Coste (peso)],tblEnlaces[Nodo Origen],$C9,tblEnlaces[Nodo Destino],P$3,tblEnlaces[Activo],1),0)</f>
        <v>0</v>
      </c>
      <c r="Q9" s="41">
        <f>IF(MatrizDeAdyacencia!Q9=1,SUMIFS(tblEnlaces[Coste (peso)],tblEnlaces[Nodo Origen],$C9,tblEnlaces[Nodo Destino],Q$3,tblEnlaces[Activo],1),0)</f>
        <v>5</v>
      </c>
      <c r="R9" s="41">
        <f>IF(MatrizDeAdyacencia!R9=1,SUMIFS(tblEnlaces[Coste (peso)],tblEnlaces[Nodo Origen],$C9,tblEnlaces[Nodo Destino],R$3,tblEnlaces[Activo],1),0)</f>
        <v>3</v>
      </c>
      <c r="S9" s="41">
        <f>IF(MatrizDeAdyacencia!S9=1,SUMIFS(tblEnlaces[Coste (peso)],tblEnlaces[Nodo Origen],$C9,tblEnlaces[Nodo Destino],S$3,tblEnlaces[Activo],1),0)</f>
        <v>0</v>
      </c>
      <c r="T9" s="41">
        <f>IF(MatrizDeAdyacencia!T9=1,SUMIFS(tblEnlaces[Coste (peso)],tblEnlaces[Nodo Origen],$C9,tblEnlaces[Nodo Destino],T$3,tblEnlaces[Activo],1),0)</f>
        <v>0</v>
      </c>
      <c r="U9" s="41">
        <f>IF(MatrizDeAdyacencia!U9=1,SUMIFS(tblEnlaces[Coste (peso)],tblEnlaces[Nodo Origen],$C9,tblEnlaces[Nodo Destino],U$3,tblEnlaces[Activo],1),0)</f>
        <v>0</v>
      </c>
      <c r="V9" s="42">
        <f>IF(MatrizDeAdyacencia!V9=1,SUMIFS(tblEnlaces[Coste (peso)],tblEnlaces[Nodo Origen],$C9,tblEnlaces[Nodo Destino],V$3,tblEnlaces[Activo],1),0)</f>
        <v>0</v>
      </c>
      <c r="Y9" s="34" t="s">
        <v>33</v>
      </c>
      <c r="Z9" s="40">
        <v>1</v>
      </c>
    </row>
    <row r="10" spans="2:27" ht="17.25" customHeight="1" x14ac:dyDescent="0.25">
      <c r="B10" s="15" t="str">
        <f>VLOOKUP(tblMatrizPonderadaCostes[[#This Row],[NodoOrigen \ NodoDestino]],tblNodos[#All],2,FALSE)</f>
        <v>Efectivo</v>
      </c>
      <c r="C10" s="6" t="s">
        <v>28</v>
      </c>
      <c r="D10" s="41">
        <f>IF(MatrizDeAdyacencia!D10=1,SUMIFS(tblEnlaces[Coste (peso)],tblEnlaces[Nodo Origen],$C10,tblEnlaces[Nodo Destino],D$3,tblEnlaces[Activo],1),0)</f>
        <v>0</v>
      </c>
      <c r="E10" s="41">
        <f>IF(MatrizDeAdyacencia!E10=1,SUMIFS(tblEnlaces[Coste (peso)],tblEnlaces[Nodo Origen],$C10,tblEnlaces[Nodo Destino],E$3,tblEnlaces[Activo],1),0)</f>
        <v>0</v>
      </c>
      <c r="F10" s="41">
        <f>IF(MatrizDeAdyacencia!F10=1,SUMIFS(tblEnlaces[Coste (peso)],tblEnlaces[Nodo Origen],$C10,tblEnlaces[Nodo Destino],F$3,tblEnlaces[Activo],1),0)</f>
        <v>0</v>
      </c>
      <c r="G10" s="41">
        <f>IF(MatrizDeAdyacencia!G10=1,SUMIFS(tblEnlaces[Coste (peso)],tblEnlaces[Nodo Origen],$C10,tblEnlaces[Nodo Destino],G$3,tblEnlaces[Activo],1),0)</f>
        <v>0</v>
      </c>
      <c r="H10" s="41">
        <f>IF(MatrizDeAdyacencia!H10=1,SUMIFS(tblEnlaces[Coste (peso)],tblEnlaces[Nodo Origen],$C10,tblEnlaces[Nodo Destino],H$3,tblEnlaces[Activo],1),0)</f>
        <v>0</v>
      </c>
      <c r="I10" s="41">
        <f>IF(MatrizDeAdyacencia!I10=1,SUMIFS(tblEnlaces[Coste (peso)],tblEnlaces[Nodo Origen],$C10,tblEnlaces[Nodo Destino],I$3,tblEnlaces[Activo],1),0)</f>
        <v>0</v>
      </c>
      <c r="J10" s="41">
        <f>IF(MatrizDeAdyacencia!J10=1,SUMIFS(tblEnlaces[Coste (peso)],tblEnlaces[Nodo Origen],$C10,tblEnlaces[Nodo Destino],J$3,tblEnlaces[Activo],1),0)</f>
        <v>0</v>
      </c>
      <c r="K10" s="41">
        <f>IF(MatrizDeAdyacencia!K10=1,SUMIFS(tblEnlaces[Coste (peso)],tblEnlaces[Nodo Origen],$C10,tblEnlaces[Nodo Destino],K$3,tblEnlaces[Activo],1),0)</f>
        <v>3</v>
      </c>
      <c r="L10" s="41">
        <f>IF(MatrizDeAdyacencia!L10=1,SUMIFS(tblEnlaces[Coste (peso)],tblEnlaces[Nodo Origen],$C10,tblEnlaces[Nodo Destino],L$3,tblEnlaces[Activo],1),0)</f>
        <v>0</v>
      </c>
      <c r="M10" s="41">
        <f>IF(MatrizDeAdyacencia!M10=1,SUMIFS(tblEnlaces[Coste (peso)],tblEnlaces[Nodo Origen],$C10,tblEnlaces[Nodo Destino],M$3,tblEnlaces[Activo],1),0)</f>
        <v>3</v>
      </c>
      <c r="N10" s="41">
        <f>IF(MatrizDeAdyacencia!N10=1,SUMIFS(tblEnlaces[Coste (peso)],tblEnlaces[Nodo Origen],$C10,tblEnlaces[Nodo Destino],N$3,tblEnlaces[Activo],1),0)</f>
        <v>0</v>
      </c>
      <c r="O10" s="41">
        <f>IF(MatrizDeAdyacencia!O10=1,SUMIFS(tblEnlaces[Coste (peso)],tblEnlaces[Nodo Origen],$C10,tblEnlaces[Nodo Destino],O$3,tblEnlaces[Activo],1),0)</f>
        <v>0</v>
      </c>
      <c r="P10" s="41">
        <f>IF(MatrizDeAdyacencia!P10=1,SUMIFS(tblEnlaces[Coste (peso)],tblEnlaces[Nodo Origen],$C10,tblEnlaces[Nodo Destino],P$3,tblEnlaces[Activo],1),0)</f>
        <v>0</v>
      </c>
      <c r="Q10" s="41">
        <f>IF(MatrizDeAdyacencia!Q10=1,SUMIFS(tblEnlaces[Coste (peso)],tblEnlaces[Nodo Origen],$C10,tblEnlaces[Nodo Destino],Q$3,tblEnlaces[Activo],1),0)</f>
        <v>0</v>
      </c>
      <c r="R10" s="41">
        <f>IF(MatrizDeAdyacencia!R10=1,SUMIFS(tblEnlaces[Coste (peso)],tblEnlaces[Nodo Origen],$C10,tblEnlaces[Nodo Destino],R$3,tblEnlaces[Activo],1),0)</f>
        <v>2</v>
      </c>
      <c r="S10" s="41">
        <f>IF(MatrizDeAdyacencia!S10=1,SUMIFS(tblEnlaces[Coste (peso)],tblEnlaces[Nodo Origen],$C10,tblEnlaces[Nodo Destino],S$3,tblEnlaces[Activo],1),0)</f>
        <v>0</v>
      </c>
      <c r="T10" s="41">
        <f>IF(MatrizDeAdyacencia!T10=1,SUMIFS(tblEnlaces[Coste (peso)],tblEnlaces[Nodo Origen],$C10,tblEnlaces[Nodo Destino],T$3,tblEnlaces[Activo],1),0)</f>
        <v>0</v>
      </c>
      <c r="U10" s="41">
        <f>IF(MatrizDeAdyacencia!U10=1,SUMIFS(tblEnlaces[Coste (peso)],tblEnlaces[Nodo Origen],$C10,tblEnlaces[Nodo Destino],U$3,tblEnlaces[Activo],1),0)</f>
        <v>0</v>
      </c>
      <c r="V10" s="42">
        <f>IF(MatrizDeAdyacencia!V10=1,SUMIFS(tblEnlaces[Coste (peso)],tblEnlaces[Nodo Origen],$C10,tblEnlaces[Nodo Destino],V$3,tblEnlaces[Activo],1),0)</f>
        <v>5</v>
      </c>
      <c r="Y10" s="34"/>
      <c r="Z10" s="34"/>
    </row>
    <row r="11" spans="2:27" ht="17.25" customHeight="1" x14ac:dyDescent="0.25">
      <c r="B11" s="15" t="str">
        <f>VLOOKUP(tblMatrizPonderadaCostes[[#This Row],[NodoOrigen \ NodoDestino]],tblNodos[#All],2,FALSE)</f>
        <v>Hawala / HOSSP</v>
      </c>
      <c r="C11" s="6" t="s">
        <v>41</v>
      </c>
      <c r="D11" s="41">
        <f>IF(MatrizDeAdyacencia!D11=1,SUMIFS(tblEnlaces[Coste (peso)],tblEnlaces[Nodo Origen],$C11,tblEnlaces[Nodo Destino],D$3,tblEnlaces[Activo],1),0)</f>
        <v>0</v>
      </c>
      <c r="E11" s="41">
        <f>IF(MatrizDeAdyacencia!E11=1,SUMIFS(tblEnlaces[Coste (peso)],tblEnlaces[Nodo Origen],$C11,tblEnlaces[Nodo Destino],E$3,tblEnlaces[Activo],1),0)</f>
        <v>0</v>
      </c>
      <c r="F11" s="41">
        <f>IF(MatrizDeAdyacencia!F11=1,SUMIFS(tblEnlaces[Coste (peso)],tblEnlaces[Nodo Origen],$C11,tblEnlaces[Nodo Destino],F$3,tblEnlaces[Activo],1),0)</f>
        <v>0</v>
      </c>
      <c r="G11" s="41">
        <f>IF(MatrizDeAdyacencia!G11=1,SUMIFS(tblEnlaces[Coste (peso)],tblEnlaces[Nodo Origen],$C11,tblEnlaces[Nodo Destino],G$3,tblEnlaces[Activo],1),0)</f>
        <v>0</v>
      </c>
      <c r="H11" s="41">
        <f>IF(MatrizDeAdyacencia!H11=1,SUMIFS(tblEnlaces[Coste (peso)],tblEnlaces[Nodo Origen],$C11,tblEnlaces[Nodo Destino],H$3,tblEnlaces[Activo],1),0)</f>
        <v>0</v>
      </c>
      <c r="I11" s="41">
        <f>IF(MatrizDeAdyacencia!I11=1,SUMIFS(tblEnlaces[Coste (peso)],tblEnlaces[Nodo Origen],$C11,tblEnlaces[Nodo Destino],I$3,tblEnlaces[Activo],1),0)</f>
        <v>0</v>
      </c>
      <c r="J11" s="41">
        <f>IF(MatrizDeAdyacencia!J11=1,SUMIFS(tblEnlaces[Coste (peso)],tblEnlaces[Nodo Origen],$C11,tblEnlaces[Nodo Destino],J$3,tblEnlaces[Activo],1),0)</f>
        <v>0</v>
      </c>
      <c r="K11" s="41">
        <f>IF(MatrizDeAdyacencia!K11=1,SUMIFS(tblEnlaces[Coste (peso)],tblEnlaces[Nodo Origen],$C11,tblEnlaces[Nodo Destino],K$3,tblEnlaces[Activo],1),0)</f>
        <v>0</v>
      </c>
      <c r="L11" s="41">
        <f>IF(MatrizDeAdyacencia!L11=1,SUMIFS(tblEnlaces[Coste (peso)],tblEnlaces[Nodo Origen],$C11,tblEnlaces[Nodo Destino],L$3,tblEnlaces[Activo],1),0)</f>
        <v>0</v>
      </c>
      <c r="M11" s="41">
        <f>IF(MatrizDeAdyacencia!M11=1,SUMIFS(tblEnlaces[Coste (peso)],tblEnlaces[Nodo Origen],$C11,tblEnlaces[Nodo Destino],M$3,tblEnlaces[Activo],1),0)</f>
        <v>0</v>
      </c>
      <c r="N11" s="41">
        <f>IF(MatrizDeAdyacencia!N11=1,SUMIFS(tblEnlaces[Coste (peso)],tblEnlaces[Nodo Origen],$C11,tblEnlaces[Nodo Destino],N$3,tblEnlaces[Activo],1),0)</f>
        <v>0</v>
      </c>
      <c r="O11" s="41">
        <f>IF(MatrizDeAdyacencia!O11=1,SUMIFS(tblEnlaces[Coste (peso)],tblEnlaces[Nodo Origen],$C11,tblEnlaces[Nodo Destino],O$3,tblEnlaces[Activo],1),0)</f>
        <v>0</v>
      </c>
      <c r="P11" s="41">
        <f>IF(MatrizDeAdyacencia!P11=1,SUMIFS(tblEnlaces[Coste (peso)],tblEnlaces[Nodo Origen],$C11,tblEnlaces[Nodo Destino],P$3,tblEnlaces[Activo],1),0)</f>
        <v>0</v>
      </c>
      <c r="Q11" s="41">
        <f>IF(MatrizDeAdyacencia!Q11=1,SUMIFS(tblEnlaces[Coste (peso)],tblEnlaces[Nodo Origen],$C11,tblEnlaces[Nodo Destino],Q$3,tblEnlaces[Activo],1),0)</f>
        <v>0</v>
      </c>
      <c r="R11" s="41">
        <f>IF(MatrizDeAdyacencia!R11=1,SUMIFS(tblEnlaces[Coste (peso)],tblEnlaces[Nodo Origen],$C11,tblEnlaces[Nodo Destino],R$3,tblEnlaces[Activo],1),0)</f>
        <v>0</v>
      </c>
      <c r="S11" s="41">
        <f>IF(MatrizDeAdyacencia!S11=1,SUMIFS(tblEnlaces[Coste (peso)],tblEnlaces[Nodo Origen],$C11,tblEnlaces[Nodo Destino],S$3,tblEnlaces[Activo],1),0)</f>
        <v>3</v>
      </c>
      <c r="T11" s="41">
        <f>IF(MatrizDeAdyacencia!T11=1,SUMIFS(tblEnlaces[Coste (peso)],tblEnlaces[Nodo Origen],$C11,tblEnlaces[Nodo Destino],T$3,tblEnlaces[Activo],1),0)</f>
        <v>3</v>
      </c>
      <c r="U11" s="41">
        <f>IF(MatrizDeAdyacencia!U11=1,SUMIFS(tblEnlaces[Coste (peso)],tblEnlaces[Nodo Origen],$C11,tblEnlaces[Nodo Destino],U$3,tblEnlaces[Activo],1),0)</f>
        <v>0</v>
      </c>
      <c r="V11" s="42">
        <f>IF(MatrizDeAdyacencia!V11=1,SUMIFS(tblEnlaces[Coste (peso)],tblEnlaces[Nodo Origen],$C11,tblEnlaces[Nodo Destino],V$3,tblEnlaces[Activo],1),0)</f>
        <v>3</v>
      </c>
      <c r="Y11" s="80" t="s">
        <v>200</v>
      </c>
      <c r="Z11" s="80"/>
      <c r="AA11" s="39"/>
    </row>
    <row r="12" spans="2:27" ht="17.25" customHeight="1" x14ac:dyDescent="0.25">
      <c r="B12" s="15" t="str">
        <f>VLOOKUP(tblMatrizPonderadaCostes[[#This Row],[NodoOrigen \ NodoDestino]],tblNodos[#All],2,FALSE)</f>
        <v>MVTS / remesas</v>
      </c>
      <c r="C12" s="6" t="s">
        <v>49</v>
      </c>
      <c r="D12" s="41">
        <f>IF(MatrizDeAdyacencia!D12=1,SUMIFS(tblEnlaces[Coste (peso)],tblEnlaces[Nodo Origen],$C12,tblEnlaces[Nodo Destino],D$3,tblEnlaces[Activo],1),0)</f>
        <v>0</v>
      </c>
      <c r="E12" s="41">
        <f>IF(MatrizDeAdyacencia!E12=1,SUMIFS(tblEnlaces[Coste (peso)],tblEnlaces[Nodo Origen],$C12,tblEnlaces[Nodo Destino],E$3,tblEnlaces[Activo],1),0)</f>
        <v>0</v>
      </c>
      <c r="F12" s="41">
        <f>IF(MatrizDeAdyacencia!F12=1,SUMIFS(tblEnlaces[Coste (peso)],tblEnlaces[Nodo Origen],$C12,tblEnlaces[Nodo Destino],F$3,tblEnlaces[Activo],1),0)</f>
        <v>0</v>
      </c>
      <c r="G12" s="41">
        <f>IF(MatrizDeAdyacencia!G12=1,SUMIFS(tblEnlaces[Coste (peso)],tblEnlaces[Nodo Origen],$C12,tblEnlaces[Nodo Destino],G$3,tblEnlaces[Activo],1),0)</f>
        <v>0</v>
      </c>
      <c r="H12" s="41">
        <f>IF(MatrizDeAdyacencia!H12=1,SUMIFS(tblEnlaces[Coste (peso)],tblEnlaces[Nodo Origen],$C12,tblEnlaces[Nodo Destino],H$3,tblEnlaces[Activo],1),0)</f>
        <v>0</v>
      </c>
      <c r="I12" s="41">
        <f>IF(MatrizDeAdyacencia!I12=1,SUMIFS(tblEnlaces[Coste (peso)],tblEnlaces[Nodo Origen],$C12,tblEnlaces[Nodo Destino],I$3,tblEnlaces[Activo],1),0)</f>
        <v>0</v>
      </c>
      <c r="J12" s="41">
        <f>IF(MatrizDeAdyacencia!J12=1,SUMIFS(tblEnlaces[Coste (peso)],tblEnlaces[Nodo Origen],$C12,tblEnlaces[Nodo Destino],J$3,tblEnlaces[Activo],1),0)</f>
        <v>0</v>
      </c>
      <c r="K12" s="41">
        <f>IF(MatrizDeAdyacencia!K12=1,SUMIFS(tblEnlaces[Coste (peso)],tblEnlaces[Nodo Origen],$C12,tblEnlaces[Nodo Destino],K$3,tblEnlaces[Activo],1),0)</f>
        <v>0</v>
      </c>
      <c r="L12" s="41">
        <f>IF(MatrizDeAdyacencia!L12=1,SUMIFS(tblEnlaces[Coste (peso)],tblEnlaces[Nodo Origen],$C12,tblEnlaces[Nodo Destino],L$3,tblEnlaces[Activo],1),0)</f>
        <v>0</v>
      </c>
      <c r="M12" s="41">
        <f>IF(MatrizDeAdyacencia!M12=1,SUMIFS(tblEnlaces[Coste (peso)],tblEnlaces[Nodo Origen],$C12,tblEnlaces[Nodo Destino],M$3,tblEnlaces[Activo],1),0)</f>
        <v>0</v>
      </c>
      <c r="N12" s="41">
        <f>IF(MatrizDeAdyacencia!N12=1,SUMIFS(tblEnlaces[Coste (peso)],tblEnlaces[Nodo Origen],$C12,tblEnlaces[Nodo Destino],N$3,tblEnlaces[Activo],1),0)</f>
        <v>0</v>
      </c>
      <c r="O12" s="41">
        <f>IF(MatrizDeAdyacencia!O12=1,SUMIFS(tblEnlaces[Coste (peso)],tblEnlaces[Nodo Origen],$C12,tblEnlaces[Nodo Destino],O$3,tblEnlaces[Activo],1),0)</f>
        <v>0</v>
      </c>
      <c r="P12" s="41">
        <f>IF(MatrizDeAdyacencia!P12=1,SUMIFS(tblEnlaces[Coste (peso)],tblEnlaces[Nodo Origen],$C12,tblEnlaces[Nodo Destino],P$3,tblEnlaces[Activo],1),0)</f>
        <v>0</v>
      </c>
      <c r="Q12" s="41">
        <f>IF(MatrizDeAdyacencia!Q12=1,SUMIFS(tblEnlaces[Coste (peso)],tblEnlaces[Nodo Origen],$C12,tblEnlaces[Nodo Destino],Q$3,tblEnlaces[Activo],1),0)</f>
        <v>0</v>
      </c>
      <c r="R12" s="41">
        <f>IF(MatrizDeAdyacencia!R12=1,SUMIFS(tblEnlaces[Coste (peso)],tblEnlaces[Nodo Origen],$C12,tblEnlaces[Nodo Destino],R$3,tblEnlaces[Activo],1),0)</f>
        <v>0</v>
      </c>
      <c r="S12" s="41">
        <f>IF(MatrizDeAdyacencia!S12=1,SUMIFS(tblEnlaces[Coste (peso)],tblEnlaces[Nodo Origen],$C12,tblEnlaces[Nodo Destino],S$3,tblEnlaces[Activo],1),0)</f>
        <v>0</v>
      </c>
      <c r="T12" s="41">
        <f>IF(MatrizDeAdyacencia!T12=1,SUMIFS(tblEnlaces[Coste (peso)],tblEnlaces[Nodo Origen],$C12,tblEnlaces[Nodo Destino],T$3,tblEnlaces[Activo],1),0)</f>
        <v>3</v>
      </c>
      <c r="U12" s="41">
        <f>IF(MatrizDeAdyacencia!U12=1,SUMIFS(tblEnlaces[Coste (peso)],tblEnlaces[Nodo Origen],$C12,tblEnlaces[Nodo Destino],U$3,tblEnlaces[Activo],1),0)</f>
        <v>3</v>
      </c>
      <c r="V12" s="42">
        <f>IF(MatrizDeAdyacencia!V12=1,SUMIFS(tblEnlaces[Coste (peso)],tblEnlaces[Nodo Origen],$C12,tblEnlaces[Nodo Destino],V$3,tblEnlaces[Activo],1),0)</f>
        <v>3</v>
      </c>
      <c r="Y12" s="33" t="s">
        <v>196</v>
      </c>
      <c r="Z12" s="33" t="s">
        <v>16</v>
      </c>
    </row>
    <row r="13" spans="2:27" ht="17.25" customHeight="1" x14ac:dyDescent="0.25">
      <c r="B13" s="15" t="str">
        <f>VLOOKUP(tblMatrizPonderadaCostes[[#This Row],[NodoOrigen \ NodoDestino]],tblNodos[#All],2,FALSE)</f>
        <v>Dinero móvil</v>
      </c>
      <c r="C13" s="6" t="s">
        <v>56</v>
      </c>
      <c r="D13" s="41">
        <f>IF(MatrizDeAdyacencia!D13=1,SUMIFS(tblEnlaces[Coste (peso)],tblEnlaces[Nodo Origen],$C13,tblEnlaces[Nodo Destino],D$3,tblEnlaces[Activo],1),0)</f>
        <v>0</v>
      </c>
      <c r="E13" s="41">
        <f>IF(MatrizDeAdyacencia!E13=1,SUMIFS(tblEnlaces[Coste (peso)],tblEnlaces[Nodo Origen],$C13,tblEnlaces[Nodo Destino],E$3,tblEnlaces[Activo],1),0)</f>
        <v>0</v>
      </c>
      <c r="F13" s="41">
        <f>IF(MatrizDeAdyacencia!F13=1,SUMIFS(tblEnlaces[Coste (peso)],tblEnlaces[Nodo Origen],$C13,tblEnlaces[Nodo Destino],F$3,tblEnlaces[Activo],1),0)</f>
        <v>0</v>
      </c>
      <c r="G13" s="41">
        <f>IF(MatrizDeAdyacencia!G13=1,SUMIFS(tblEnlaces[Coste (peso)],tblEnlaces[Nodo Origen],$C13,tblEnlaces[Nodo Destino],G$3,tblEnlaces[Activo],1),0)</f>
        <v>0</v>
      </c>
      <c r="H13" s="41">
        <f>IF(MatrizDeAdyacencia!H13=1,SUMIFS(tblEnlaces[Coste (peso)],tblEnlaces[Nodo Origen],$C13,tblEnlaces[Nodo Destino],H$3,tblEnlaces[Activo],1),0)</f>
        <v>0</v>
      </c>
      <c r="I13" s="41">
        <f>IF(MatrizDeAdyacencia!I13=1,SUMIFS(tblEnlaces[Coste (peso)],tblEnlaces[Nodo Origen],$C13,tblEnlaces[Nodo Destino],I$3,tblEnlaces[Activo],1),0)</f>
        <v>0</v>
      </c>
      <c r="J13" s="41">
        <f>IF(MatrizDeAdyacencia!J13=1,SUMIFS(tblEnlaces[Coste (peso)],tblEnlaces[Nodo Origen],$C13,tblEnlaces[Nodo Destino],J$3,tblEnlaces[Activo],1),0)</f>
        <v>0</v>
      </c>
      <c r="K13" s="41">
        <f>IF(MatrizDeAdyacencia!K13=1,SUMIFS(tblEnlaces[Coste (peso)],tblEnlaces[Nodo Origen],$C13,tblEnlaces[Nodo Destino],K$3,tblEnlaces[Activo],1),0)</f>
        <v>0</v>
      </c>
      <c r="L13" s="41">
        <f>IF(MatrizDeAdyacencia!L13=1,SUMIFS(tblEnlaces[Coste (peso)],tblEnlaces[Nodo Origen],$C13,tblEnlaces[Nodo Destino],L$3,tblEnlaces[Activo],1),0)</f>
        <v>0</v>
      </c>
      <c r="M13" s="41">
        <f>IF(MatrizDeAdyacencia!M13=1,SUMIFS(tblEnlaces[Coste (peso)],tblEnlaces[Nodo Origen],$C13,tblEnlaces[Nodo Destino],M$3,tblEnlaces[Activo],1),0)</f>
        <v>0</v>
      </c>
      <c r="N13" s="41">
        <f>IF(MatrizDeAdyacencia!N13=1,SUMIFS(tblEnlaces[Coste (peso)],tblEnlaces[Nodo Origen],$C13,tblEnlaces[Nodo Destino],N$3,tblEnlaces[Activo],1),0)</f>
        <v>0</v>
      </c>
      <c r="O13" s="41">
        <f>IF(MatrizDeAdyacencia!O13=1,SUMIFS(tblEnlaces[Coste (peso)],tblEnlaces[Nodo Origen],$C13,tblEnlaces[Nodo Destino],O$3,tblEnlaces[Activo],1),0)</f>
        <v>0</v>
      </c>
      <c r="P13" s="41">
        <f>IF(MatrizDeAdyacencia!P13=1,SUMIFS(tblEnlaces[Coste (peso)],tblEnlaces[Nodo Origen],$C13,tblEnlaces[Nodo Destino],P$3,tblEnlaces[Activo],1),0)</f>
        <v>0</v>
      </c>
      <c r="Q13" s="41">
        <f>IF(MatrizDeAdyacencia!Q13=1,SUMIFS(tblEnlaces[Coste (peso)],tblEnlaces[Nodo Origen],$C13,tblEnlaces[Nodo Destino],Q$3,tblEnlaces[Activo],1),0)</f>
        <v>0</v>
      </c>
      <c r="R13" s="41">
        <f>IF(MatrizDeAdyacencia!R13=1,SUMIFS(tblEnlaces[Coste (peso)],tblEnlaces[Nodo Origen],$C13,tblEnlaces[Nodo Destino],R$3,tblEnlaces[Activo],1),0)</f>
        <v>0</v>
      </c>
      <c r="S13" s="41">
        <f>IF(MatrizDeAdyacencia!S13=1,SUMIFS(tblEnlaces[Coste (peso)],tblEnlaces[Nodo Origen],$C13,tblEnlaces[Nodo Destino],S$3,tblEnlaces[Activo],1),0)</f>
        <v>0</v>
      </c>
      <c r="T13" s="41">
        <f>IF(MatrizDeAdyacencia!T13=1,SUMIFS(tblEnlaces[Coste (peso)],tblEnlaces[Nodo Origen],$C13,tblEnlaces[Nodo Destino],T$3,tblEnlaces[Activo],1),0)</f>
        <v>4</v>
      </c>
      <c r="U13" s="41">
        <f>IF(MatrizDeAdyacencia!U13=1,SUMIFS(tblEnlaces[Coste (peso)],tblEnlaces[Nodo Origen],$C13,tblEnlaces[Nodo Destino],U$3,tblEnlaces[Activo],1),0)</f>
        <v>0</v>
      </c>
      <c r="V13" s="42">
        <f>IF(MatrizDeAdyacencia!V13=1,SUMIFS(tblEnlaces[Coste (peso)],tblEnlaces[Nodo Origen],$C13,tblEnlaces[Nodo Destino],V$3,tblEnlaces[Activo],1),0)</f>
        <v>0</v>
      </c>
      <c r="Y13" s="34" t="s">
        <v>198</v>
      </c>
      <c r="Z13" s="45">
        <f>MIN(tblPesosCoste[Coste])</f>
        <v>1</v>
      </c>
    </row>
    <row r="14" spans="2:27" ht="17.25" customHeight="1" x14ac:dyDescent="0.25">
      <c r="B14" s="15" t="str">
        <f>VLOOKUP(tblMatrizPonderadaCostes[[#This Row],[NodoOrigen \ NodoDestino]],tblNodos[#All],2,FALSE)</f>
        <v>Pagos online</v>
      </c>
      <c r="C14" s="6" t="s">
        <v>82</v>
      </c>
      <c r="D14" s="41">
        <f>IF(MatrizDeAdyacencia!D14=1,SUMIFS(tblEnlaces[Coste (peso)],tblEnlaces[Nodo Origen],$C14,tblEnlaces[Nodo Destino],D$3,tblEnlaces[Activo],1),0)</f>
        <v>0</v>
      </c>
      <c r="E14" s="41">
        <f>IF(MatrizDeAdyacencia!E14=1,SUMIFS(tblEnlaces[Coste (peso)],tblEnlaces[Nodo Origen],$C14,tblEnlaces[Nodo Destino],E$3,tblEnlaces[Activo],1),0)</f>
        <v>0</v>
      </c>
      <c r="F14" s="41">
        <f>IF(MatrizDeAdyacencia!F14=1,SUMIFS(tblEnlaces[Coste (peso)],tblEnlaces[Nodo Origen],$C14,tblEnlaces[Nodo Destino],F$3,tblEnlaces[Activo],1),0)</f>
        <v>0</v>
      </c>
      <c r="G14" s="41">
        <f>IF(MatrizDeAdyacencia!G14=1,SUMIFS(tblEnlaces[Coste (peso)],tblEnlaces[Nodo Origen],$C14,tblEnlaces[Nodo Destino],G$3,tblEnlaces[Activo],1),0)</f>
        <v>0</v>
      </c>
      <c r="H14" s="41">
        <f>IF(MatrizDeAdyacencia!H14=1,SUMIFS(tblEnlaces[Coste (peso)],tblEnlaces[Nodo Origen],$C14,tblEnlaces[Nodo Destino],H$3,tblEnlaces[Activo],1),0)</f>
        <v>0</v>
      </c>
      <c r="I14" s="41">
        <f>IF(MatrizDeAdyacencia!I14=1,SUMIFS(tblEnlaces[Coste (peso)],tblEnlaces[Nodo Origen],$C14,tblEnlaces[Nodo Destino],I$3,tblEnlaces[Activo],1),0)</f>
        <v>0</v>
      </c>
      <c r="J14" s="41">
        <f>IF(MatrizDeAdyacencia!J14=1,SUMIFS(tblEnlaces[Coste (peso)],tblEnlaces[Nodo Origen],$C14,tblEnlaces[Nodo Destino],J$3,tblEnlaces[Activo],1),0)</f>
        <v>0</v>
      </c>
      <c r="K14" s="41">
        <f>IF(MatrizDeAdyacencia!K14=1,SUMIFS(tblEnlaces[Coste (peso)],tblEnlaces[Nodo Origen],$C14,tblEnlaces[Nodo Destino],K$3,tblEnlaces[Activo],1),0)</f>
        <v>0</v>
      </c>
      <c r="L14" s="41">
        <f>IF(MatrizDeAdyacencia!L14=1,SUMIFS(tblEnlaces[Coste (peso)],tblEnlaces[Nodo Origen],$C14,tblEnlaces[Nodo Destino],L$3,tblEnlaces[Activo],1),0)</f>
        <v>0</v>
      </c>
      <c r="M14" s="41">
        <f>IF(MatrizDeAdyacencia!M14=1,SUMIFS(tblEnlaces[Coste (peso)],tblEnlaces[Nodo Origen],$C14,tblEnlaces[Nodo Destino],M$3,tblEnlaces[Activo],1),0)</f>
        <v>0</v>
      </c>
      <c r="N14" s="41">
        <f>IF(MatrizDeAdyacencia!N14=1,SUMIFS(tblEnlaces[Coste (peso)],tblEnlaces[Nodo Origen],$C14,tblEnlaces[Nodo Destino],N$3,tblEnlaces[Activo],1),0)</f>
        <v>0</v>
      </c>
      <c r="O14" s="41">
        <f>IF(MatrizDeAdyacencia!O14=1,SUMIFS(tblEnlaces[Coste (peso)],tblEnlaces[Nodo Origen],$C14,tblEnlaces[Nodo Destino],O$3,tblEnlaces[Activo],1),0)</f>
        <v>0</v>
      </c>
      <c r="P14" s="41">
        <f>IF(MatrizDeAdyacencia!P14=1,SUMIFS(tblEnlaces[Coste (peso)],tblEnlaces[Nodo Origen],$C14,tblEnlaces[Nodo Destino],P$3,tblEnlaces[Activo],1),0)</f>
        <v>0</v>
      </c>
      <c r="Q14" s="41">
        <f>IF(MatrizDeAdyacencia!Q14=1,SUMIFS(tblEnlaces[Coste (peso)],tblEnlaces[Nodo Origen],$C14,tblEnlaces[Nodo Destino],Q$3,tblEnlaces[Activo],1),0)</f>
        <v>0</v>
      </c>
      <c r="R14" s="41">
        <f>IF(MatrizDeAdyacencia!R14=1,SUMIFS(tblEnlaces[Coste (peso)],tblEnlaces[Nodo Origen],$C14,tblEnlaces[Nodo Destino],R$3,tblEnlaces[Activo],1),0)</f>
        <v>0</v>
      </c>
      <c r="S14" s="41">
        <f>IF(MatrizDeAdyacencia!S14=1,SUMIFS(tblEnlaces[Coste (peso)],tblEnlaces[Nodo Origen],$C14,tblEnlaces[Nodo Destino],S$3,tblEnlaces[Activo],1),0)</f>
        <v>0</v>
      </c>
      <c r="T14" s="41">
        <f>IF(MatrizDeAdyacencia!T14=1,SUMIFS(tblEnlaces[Coste (peso)],tblEnlaces[Nodo Origen],$C14,tblEnlaces[Nodo Destino],T$3,tblEnlaces[Activo],1),0)</f>
        <v>4</v>
      </c>
      <c r="U14" s="41">
        <f>IF(MatrizDeAdyacencia!U14=1,SUMIFS(tblEnlaces[Coste (peso)],tblEnlaces[Nodo Origen],$C14,tblEnlaces[Nodo Destino],U$3,tblEnlaces[Activo],1),0)</f>
        <v>3</v>
      </c>
      <c r="V14" s="42">
        <f>IF(MatrizDeAdyacencia!V14=1,SUMIFS(tblEnlaces[Coste (peso)],tblEnlaces[Nodo Origen],$C14,tblEnlaces[Nodo Destino],V$3,tblEnlaces[Activo],1),0)</f>
        <v>0</v>
      </c>
      <c r="Y14" s="34" t="s">
        <v>199</v>
      </c>
      <c r="Z14" s="45">
        <f>MAX(tblPesosCoste[Coste])</f>
        <v>5</v>
      </c>
    </row>
    <row r="15" spans="2:27" ht="17.25" customHeight="1" x14ac:dyDescent="0.25">
      <c r="B15" s="15" t="str">
        <f>VLOOKUP(tblMatrizPonderadaCostes[[#This Row],[NodoOrigen \ NodoDestino]],tblNodos[#All],2,FALSE)</f>
        <v>Servicios bancarios</v>
      </c>
      <c r="C15" s="6" t="s">
        <v>86</v>
      </c>
      <c r="D15" s="41">
        <f>IF(MatrizDeAdyacencia!D15=1,SUMIFS(tblEnlaces[Coste (peso)],tblEnlaces[Nodo Origen],$C15,tblEnlaces[Nodo Destino],D$3,tblEnlaces[Activo],1),0)</f>
        <v>0</v>
      </c>
      <c r="E15" s="41">
        <f>IF(MatrizDeAdyacencia!E15=1,SUMIFS(tblEnlaces[Coste (peso)],tblEnlaces[Nodo Origen],$C15,tblEnlaces[Nodo Destino],E$3,tblEnlaces[Activo],1),0)</f>
        <v>0</v>
      </c>
      <c r="F15" s="41">
        <f>IF(MatrizDeAdyacencia!F15=1,SUMIFS(tblEnlaces[Coste (peso)],tblEnlaces[Nodo Origen],$C15,tblEnlaces[Nodo Destino],F$3,tblEnlaces[Activo],1),0)</f>
        <v>0</v>
      </c>
      <c r="G15" s="41">
        <f>IF(MatrizDeAdyacencia!G15=1,SUMIFS(tblEnlaces[Coste (peso)],tblEnlaces[Nodo Origen],$C15,tblEnlaces[Nodo Destino],G$3,tblEnlaces[Activo],1),0)</f>
        <v>0</v>
      </c>
      <c r="H15" s="41">
        <f>IF(MatrizDeAdyacencia!H15=1,SUMIFS(tblEnlaces[Coste (peso)],tblEnlaces[Nodo Origen],$C15,tblEnlaces[Nodo Destino],H$3,tblEnlaces[Activo],1),0)</f>
        <v>0</v>
      </c>
      <c r="I15" s="41">
        <f>IF(MatrizDeAdyacencia!I15=1,SUMIFS(tblEnlaces[Coste (peso)],tblEnlaces[Nodo Origen],$C15,tblEnlaces[Nodo Destino],I$3,tblEnlaces[Activo],1),0)</f>
        <v>0</v>
      </c>
      <c r="J15" s="41">
        <f>IF(MatrizDeAdyacencia!J15=1,SUMIFS(tblEnlaces[Coste (peso)],tblEnlaces[Nodo Origen],$C15,tblEnlaces[Nodo Destino],J$3,tblEnlaces[Activo],1),0)</f>
        <v>0</v>
      </c>
      <c r="K15" s="41">
        <f>IF(MatrizDeAdyacencia!K15=1,SUMIFS(tblEnlaces[Coste (peso)],tblEnlaces[Nodo Origen],$C15,tblEnlaces[Nodo Destino],K$3,tblEnlaces[Activo],1),0)</f>
        <v>0</v>
      </c>
      <c r="L15" s="41">
        <f>IF(MatrizDeAdyacencia!L15=1,SUMIFS(tblEnlaces[Coste (peso)],tblEnlaces[Nodo Origen],$C15,tblEnlaces[Nodo Destino],L$3,tblEnlaces[Activo],1),0)</f>
        <v>0</v>
      </c>
      <c r="M15" s="41">
        <f>IF(MatrizDeAdyacencia!M15=1,SUMIFS(tblEnlaces[Coste (peso)],tblEnlaces[Nodo Origen],$C15,tblEnlaces[Nodo Destino],M$3,tblEnlaces[Activo],1),0)</f>
        <v>0</v>
      </c>
      <c r="N15" s="41">
        <f>IF(MatrizDeAdyacencia!N15=1,SUMIFS(tblEnlaces[Coste (peso)],tblEnlaces[Nodo Origen],$C15,tblEnlaces[Nodo Destino],N$3,tblEnlaces[Activo],1),0)</f>
        <v>0</v>
      </c>
      <c r="O15" s="41">
        <f>IF(MatrizDeAdyacencia!O15=1,SUMIFS(tblEnlaces[Coste (peso)],tblEnlaces[Nodo Origen],$C15,tblEnlaces[Nodo Destino],O$3,tblEnlaces[Activo],1),0)</f>
        <v>0</v>
      </c>
      <c r="P15" s="41">
        <f>IF(MatrizDeAdyacencia!P15=1,SUMIFS(tblEnlaces[Coste (peso)],tblEnlaces[Nodo Origen],$C15,tblEnlaces[Nodo Destino],P$3,tblEnlaces[Activo],1),0)</f>
        <v>0</v>
      </c>
      <c r="Q15" s="41">
        <f>IF(MatrizDeAdyacencia!Q15=1,SUMIFS(tblEnlaces[Coste (peso)],tblEnlaces[Nodo Origen],$C15,tblEnlaces[Nodo Destino],Q$3,tblEnlaces[Activo],1),0)</f>
        <v>0</v>
      </c>
      <c r="R15" s="41">
        <f>IF(MatrizDeAdyacencia!R15=1,SUMIFS(tblEnlaces[Coste (peso)],tblEnlaces[Nodo Origen],$C15,tblEnlaces[Nodo Destino],R$3,tblEnlaces[Activo],1),0)</f>
        <v>0</v>
      </c>
      <c r="S15" s="41">
        <f>IF(MatrizDeAdyacencia!S15=1,SUMIFS(tblEnlaces[Coste (peso)],tblEnlaces[Nodo Origen],$C15,tblEnlaces[Nodo Destino],S$3,tblEnlaces[Activo],1),0)</f>
        <v>3</v>
      </c>
      <c r="T15" s="41">
        <f>IF(MatrizDeAdyacencia!T15=1,SUMIFS(tblEnlaces[Coste (peso)],tblEnlaces[Nodo Origen],$C15,tblEnlaces[Nodo Destino],T$3,tblEnlaces[Activo],1),0)</f>
        <v>0</v>
      </c>
      <c r="U15" s="41">
        <f>IF(MatrizDeAdyacencia!U15=1,SUMIFS(tblEnlaces[Coste (peso)],tblEnlaces[Nodo Origen],$C15,tblEnlaces[Nodo Destino],U$3,tblEnlaces[Activo],1),0)</f>
        <v>3</v>
      </c>
      <c r="V15" s="42">
        <f>IF(MatrizDeAdyacencia!V15=1,SUMIFS(tblEnlaces[Coste (peso)],tblEnlaces[Nodo Origen],$C15,tblEnlaces[Nodo Destino],V$3,tblEnlaces[Activo],1),0)</f>
        <v>0</v>
      </c>
    </row>
    <row r="16" spans="2:27" ht="17.25" customHeight="1" x14ac:dyDescent="0.25">
      <c r="B16" s="15" t="str">
        <f>VLOOKUP(tblMatrizPonderadaCostes[[#This Row],[NodoOrigen \ NodoDestino]],tblNodos[#All],2,FALSE)</f>
        <v>Tarjetas prepago / e-wallets</v>
      </c>
      <c r="C16" s="6" t="s">
        <v>90</v>
      </c>
      <c r="D16" s="41">
        <f>IF(MatrizDeAdyacencia!D16=1,SUMIFS(tblEnlaces[Coste (peso)],tblEnlaces[Nodo Origen],$C16,tblEnlaces[Nodo Destino],D$3,tblEnlaces[Activo],1),0)</f>
        <v>0</v>
      </c>
      <c r="E16" s="41">
        <f>IF(MatrizDeAdyacencia!E16=1,SUMIFS(tblEnlaces[Coste (peso)],tblEnlaces[Nodo Origen],$C16,tblEnlaces[Nodo Destino],E$3,tblEnlaces[Activo],1),0)</f>
        <v>0</v>
      </c>
      <c r="F16" s="41">
        <f>IF(MatrizDeAdyacencia!F16=1,SUMIFS(tblEnlaces[Coste (peso)],tblEnlaces[Nodo Origen],$C16,tblEnlaces[Nodo Destino],F$3,tblEnlaces[Activo],1),0)</f>
        <v>0</v>
      </c>
      <c r="G16" s="41">
        <f>IF(MatrizDeAdyacencia!G16=1,SUMIFS(tblEnlaces[Coste (peso)],tblEnlaces[Nodo Origen],$C16,tblEnlaces[Nodo Destino],G$3,tblEnlaces[Activo],1),0)</f>
        <v>0</v>
      </c>
      <c r="H16" s="41">
        <f>IF(MatrizDeAdyacencia!H16=1,SUMIFS(tblEnlaces[Coste (peso)],tblEnlaces[Nodo Origen],$C16,tblEnlaces[Nodo Destino],H$3,tblEnlaces[Activo],1),0)</f>
        <v>0</v>
      </c>
      <c r="I16" s="41">
        <f>IF(MatrizDeAdyacencia!I16=1,SUMIFS(tblEnlaces[Coste (peso)],tblEnlaces[Nodo Origen],$C16,tblEnlaces[Nodo Destino],I$3,tblEnlaces[Activo],1),0)</f>
        <v>0</v>
      </c>
      <c r="J16" s="41">
        <f>IF(MatrizDeAdyacencia!J16=1,SUMIFS(tblEnlaces[Coste (peso)],tblEnlaces[Nodo Origen],$C16,tblEnlaces[Nodo Destino],J$3,tblEnlaces[Activo],1),0)</f>
        <v>0</v>
      </c>
      <c r="K16" s="41">
        <f>IF(MatrizDeAdyacencia!K16=1,SUMIFS(tblEnlaces[Coste (peso)],tblEnlaces[Nodo Origen],$C16,tblEnlaces[Nodo Destino],K$3,tblEnlaces[Activo],1),0)</f>
        <v>0</v>
      </c>
      <c r="L16" s="41">
        <f>IF(MatrizDeAdyacencia!L16=1,SUMIFS(tblEnlaces[Coste (peso)],tblEnlaces[Nodo Origen],$C16,tblEnlaces[Nodo Destino],L$3,tblEnlaces[Activo],1),0)</f>
        <v>0</v>
      </c>
      <c r="M16" s="41">
        <f>IF(MatrizDeAdyacencia!M16=1,SUMIFS(tblEnlaces[Coste (peso)],tblEnlaces[Nodo Origen],$C16,tblEnlaces[Nodo Destino],M$3,tblEnlaces[Activo],1),0)</f>
        <v>0</v>
      </c>
      <c r="N16" s="41">
        <f>IF(MatrizDeAdyacencia!N16=1,SUMIFS(tblEnlaces[Coste (peso)],tblEnlaces[Nodo Origen],$C16,tblEnlaces[Nodo Destino],N$3,tblEnlaces[Activo],1),0)</f>
        <v>0</v>
      </c>
      <c r="O16" s="41">
        <f>IF(MatrizDeAdyacencia!O16=1,SUMIFS(tblEnlaces[Coste (peso)],tblEnlaces[Nodo Origen],$C16,tblEnlaces[Nodo Destino],O$3,tblEnlaces[Activo],1),0)</f>
        <v>0</v>
      </c>
      <c r="P16" s="41">
        <f>IF(MatrizDeAdyacencia!P16=1,SUMIFS(tblEnlaces[Coste (peso)],tblEnlaces[Nodo Origen],$C16,tblEnlaces[Nodo Destino],P$3,tblEnlaces[Activo],1),0)</f>
        <v>0</v>
      </c>
      <c r="Q16" s="41">
        <f>IF(MatrizDeAdyacencia!Q16=1,SUMIFS(tblEnlaces[Coste (peso)],tblEnlaces[Nodo Origen],$C16,tblEnlaces[Nodo Destino],Q$3,tblEnlaces[Activo],1),0)</f>
        <v>0</v>
      </c>
      <c r="R16" s="41">
        <f>IF(MatrizDeAdyacencia!R16=1,SUMIFS(tblEnlaces[Coste (peso)],tblEnlaces[Nodo Origen],$C16,tblEnlaces[Nodo Destino],R$3,tblEnlaces[Activo],1),0)</f>
        <v>0</v>
      </c>
      <c r="S16" s="41">
        <f>IF(MatrizDeAdyacencia!S16=1,SUMIFS(tblEnlaces[Coste (peso)],tblEnlaces[Nodo Origen],$C16,tblEnlaces[Nodo Destino],S$3,tblEnlaces[Activo],1),0)</f>
        <v>0</v>
      </c>
      <c r="T16" s="41">
        <f>IF(MatrizDeAdyacencia!T16=1,SUMIFS(tblEnlaces[Coste (peso)],tblEnlaces[Nodo Origen],$C16,tblEnlaces[Nodo Destino],T$3,tblEnlaces[Activo],1),0)</f>
        <v>3</v>
      </c>
      <c r="U16" s="41">
        <f>IF(MatrizDeAdyacencia!U16=1,SUMIFS(tblEnlaces[Coste (peso)],tblEnlaces[Nodo Origen],$C16,tblEnlaces[Nodo Destino],U$3,tblEnlaces[Activo],1),0)</f>
        <v>0</v>
      </c>
      <c r="V16" s="42">
        <f>IF(MatrizDeAdyacencia!V16=1,SUMIFS(tblEnlaces[Coste (peso)],tblEnlaces[Nodo Origen],$C16,tblEnlaces[Nodo Destino],V$3,tblEnlaces[Activo],1),0)</f>
        <v>0</v>
      </c>
    </row>
    <row r="17" spans="2:22" ht="17.25" customHeight="1" x14ac:dyDescent="0.25">
      <c r="B17" s="15" t="str">
        <f>VLOOKUP(tblMatrizPonderadaCostes[[#This Row],[NodoOrigen \ NodoDestino]],tblNodos[#All],2,FALSE)</f>
        <v>Plataformas digitales</v>
      </c>
      <c r="C17" s="6" t="s">
        <v>94</v>
      </c>
      <c r="D17" s="41">
        <f>IF(MatrizDeAdyacencia!D17=1,SUMIFS(tblEnlaces[Coste (peso)],tblEnlaces[Nodo Origen],$C17,tblEnlaces[Nodo Destino],D$3,tblEnlaces[Activo],1),0)</f>
        <v>0</v>
      </c>
      <c r="E17" s="41">
        <f>IF(MatrizDeAdyacencia!E17=1,SUMIFS(tblEnlaces[Coste (peso)],tblEnlaces[Nodo Origen],$C17,tblEnlaces[Nodo Destino],E$3,tblEnlaces[Activo],1),0)</f>
        <v>0</v>
      </c>
      <c r="F17" s="41">
        <f>IF(MatrizDeAdyacencia!F17=1,SUMIFS(tblEnlaces[Coste (peso)],tblEnlaces[Nodo Origen],$C17,tblEnlaces[Nodo Destino],F$3,tblEnlaces[Activo],1),0)</f>
        <v>0</v>
      </c>
      <c r="G17" s="41">
        <f>IF(MatrizDeAdyacencia!G17=1,SUMIFS(tblEnlaces[Coste (peso)],tblEnlaces[Nodo Origen],$C17,tblEnlaces[Nodo Destino],G$3,tblEnlaces[Activo],1),0)</f>
        <v>0</v>
      </c>
      <c r="H17" s="41">
        <f>IF(MatrizDeAdyacencia!H17=1,SUMIFS(tblEnlaces[Coste (peso)],tblEnlaces[Nodo Origen],$C17,tblEnlaces[Nodo Destino],H$3,tblEnlaces[Activo],1),0)</f>
        <v>0</v>
      </c>
      <c r="I17" s="41">
        <f>IF(MatrizDeAdyacencia!I17=1,SUMIFS(tblEnlaces[Coste (peso)],tblEnlaces[Nodo Origen],$C17,tblEnlaces[Nodo Destino],I$3,tblEnlaces[Activo],1),0)</f>
        <v>0</v>
      </c>
      <c r="J17" s="41">
        <f>IF(MatrizDeAdyacencia!J17=1,SUMIFS(tblEnlaces[Coste (peso)],tblEnlaces[Nodo Origen],$C17,tblEnlaces[Nodo Destino],J$3,tblEnlaces[Activo],1),0)</f>
        <v>0</v>
      </c>
      <c r="K17" s="41">
        <f>IF(MatrizDeAdyacencia!K17=1,SUMIFS(tblEnlaces[Coste (peso)],tblEnlaces[Nodo Origen],$C17,tblEnlaces[Nodo Destino],K$3,tblEnlaces[Activo],1),0)</f>
        <v>0</v>
      </c>
      <c r="L17" s="41">
        <f>IF(MatrizDeAdyacencia!L17=1,SUMIFS(tblEnlaces[Coste (peso)],tblEnlaces[Nodo Origen],$C17,tblEnlaces[Nodo Destino],L$3,tblEnlaces[Activo],1),0)</f>
        <v>0</v>
      </c>
      <c r="M17" s="41">
        <f>IF(MatrizDeAdyacencia!M17=1,SUMIFS(tblEnlaces[Coste (peso)],tblEnlaces[Nodo Origen],$C17,tblEnlaces[Nodo Destino],M$3,tblEnlaces[Activo],1),0)</f>
        <v>0</v>
      </c>
      <c r="N17" s="41">
        <f>IF(MatrizDeAdyacencia!N17=1,SUMIFS(tblEnlaces[Coste (peso)],tblEnlaces[Nodo Origen],$C17,tblEnlaces[Nodo Destino],N$3,tblEnlaces[Activo],1),0)</f>
        <v>0</v>
      </c>
      <c r="O17" s="41">
        <f>IF(MatrizDeAdyacencia!O17=1,SUMIFS(tblEnlaces[Coste (peso)],tblEnlaces[Nodo Origen],$C17,tblEnlaces[Nodo Destino],O$3,tblEnlaces[Activo],1),0)</f>
        <v>0</v>
      </c>
      <c r="P17" s="41">
        <f>IF(MatrizDeAdyacencia!P17=1,SUMIFS(tblEnlaces[Coste (peso)],tblEnlaces[Nodo Origen],$C17,tblEnlaces[Nodo Destino],P$3,tblEnlaces[Activo],1),0)</f>
        <v>0</v>
      </c>
      <c r="Q17" s="41">
        <f>IF(MatrizDeAdyacencia!Q17=1,SUMIFS(tblEnlaces[Coste (peso)],tblEnlaces[Nodo Origen],$C17,tblEnlaces[Nodo Destino],Q$3,tblEnlaces[Activo],1),0)</f>
        <v>0</v>
      </c>
      <c r="R17" s="41">
        <f>IF(MatrizDeAdyacencia!R17=1,SUMIFS(tblEnlaces[Coste (peso)],tblEnlaces[Nodo Origen],$C17,tblEnlaces[Nodo Destino],R$3,tblEnlaces[Activo],1),0)</f>
        <v>0</v>
      </c>
      <c r="S17" s="41">
        <f>IF(MatrizDeAdyacencia!S17=1,SUMIFS(tblEnlaces[Coste (peso)],tblEnlaces[Nodo Origen],$C17,tblEnlaces[Nodo Destino],S$3,tblEnlaces[Activo],1),0)</f>
        <v>0</v>
      </c>
      <c r="T17" s="41">
        <f>IF(MatrizDeAdyacencia!T17=1,SUMIFS(tblEnlaces[Coste (peso)],tblEnlaces[Nodo Origen],$C17,tblEnlaces[Nodo Destino],T$3,tblEnlaces[Activo],1),0)</f>
        <v>5</v>
      </c>
      <c r="U17" s="41">
        <f>IF(MatrizDeAdyacencia!U17=1,SUMIFS(tblEnlaces[Coste (peso)],tblEnlaces[Nodo Origen],$C17,tblEnlaces[Nodo Destino],U$3,tblEnlaces[Activo],1),0)</f>
        <v>4</v>
      </c>
      <c r="V17" s="42">
        <f>IF(MatrizDeAdyacencia!V17=1,SUMIFS(tblEnlaces[Coste (peso)],tblEnlaces[Nodo Origen],$C17,tblEnlaces[Nodo Destino],V$3,tblEnlaces[Activo],1),0)</f>
        <v>0</v>
      </c>
    </row>
    <row r="18" spans="2:22" ht="17.25" customHeight="1" x14ac:dyDescent="0.25">
      <c r="B18" s="15" t="str">
        <f>VLOOKUP(tblMatrizPonderadaCostes[[#This Row],[NodoOrigen \ NodoDestino]],tblNodos[#All],2,FALSE)</f>
        <v>Activos virtuales</v>
      </c>
      <c r="C18" s="6" t="s">
        <v>63</v>
      </c>
      <c r="D18" s="41">
        <f>IF(MatrizDeAdyacencia!D18=1,SUMIFS(tblEnlaces[Coste (peso)],tblEnlaces[Nodo Origen],$C18,tblEnlaces[Nodo Destino],D$3,tblEnlaces[Activo],1),0)</f>
        <v>0</v>
      </c>
      <c r="E18" s="41">
        <f>IF(MatrizDeAdyacencia!E18=1,SUMIFS(tblEnlaces[Coste (peso)],tblEnlaces[Nodo Origen],$C18,tblEnlaces[Nodo Destino],E$3,tblEnlaces[Activo],1),0)</f>
        <v>0</v>
      </c>
      <c r="F18" s="41">
        <f>IF(MatrizDeAdyacencia!F18=1,SUMIFS(tblEnlaces[Coste (peso)],tblEnlaces[Nodo Origen],$C18,tblEnlaces[Nodo Destino],F$3,tblEnlaces[Activo],1),0)</f>
        <v>0</v>
      </c>
      <c r="G18" s="41">
        <f>IF(MatrizDeAdyacencia!G18=1,SUMIFS(tblEnlaces[Coste (peso)],tblEnlaces[Nodo Origen],$C18,tblEnlaces[Nodo Destino],G$3,tblEnlaces[Activo],1),0)</f>
        <v>0</v>
      </c>
      <c r="H18" s="41">
        <f>IF(MatrizDeAdyacencia!H18=1,SUMIFS(tblEnlaces[Coste (peso)],tblEnlaces[Nodo Origen],$C18,tblEnlaces[Nodo Destino],H$3,tblEnlaces[Activo],1),0)</f>
        <v>0</v>
      </c>
      <c r="I18" s="41">
        <f>IF(MatrizDeAdyacencia!I18=1,SUMIFS(tblEnlaces[Coste (peso)],tblEnlaces[Nodo Origen],$C18,tblEnlaces[Nodo Destino],I$3,tblEnlaces[Activo],1),0)</f>
        <v>0</v>
      </c>
      <c r="J18" s="41">
        <f>IF(MatrizDeAdyacencia!J18=1,SUMIFS(tblEnlaces[Coste (peso)],tblEnlaces[Nodo Origen],$C18,tblEnlaces[Nodo Destino],J$3,tblEnlaces[Activo],1),0)</f>
        <v>0</v>
      </c>
      <c r="K18" s="41">
        <f>IF(MatrizDeAdyacencia!K18=1,SUMIFS(tblEnlaces[Coste (peso)],tblEnlaces[Nodo Origen],$C18,tblEnlaces[Nodo Destino],K$3,tblEnlaces[Activo],1),0)</f>
        <v>0</v>
      </c>
      <c r="L18" s="41">
        <f>IF(MatrizDeAdyacencia!L18=1,SUMIFS(tblEnlaces[Coste (peso)],tblEnlaces[Nodo Origen],$C18,tblEnlaces[Nodo Destino],L$3,tblEnlaces[Activo],1),0)</f>
        <v>0</v>
      </c>
      <c r="M18" s="41">
        <f>IF(MatrizDeAdyacencia!M18=1,SUMIFS(tblEnlaces[Coste (peso)],tblEnlaces[Nodo Origen],$C18,tblEnlaces[Nodo Destino],M$3,tblEnlaces[Activo],1),0)</f>
        <v>0</v>
      </c>
      <c r="N18" s="41">
        <f>IF(MatrizDeAdyacencia!N18=1,SUMIFS(tblEnlaces[Coste (peso)],tblEnlaces[Nodo Origen],$C18,tblEnlaces[Nodo Destino],N$3,tblEnlaces[Activo],1),0)</f>
        <v>0</v>
      </c>
      <c r="O18" s="41">
        <f>IF(MatrizDeAdyacencia!O18=1,SUMIFS(tblEnlaces[Coste (peso)],tblEnlaces[Nodo Origen],$C18,tblEnlaces[Nodo Destino],O$3,tblEnlaces[Activo],1),0)</f>
        <v>0</v>
      </c>
      <c r="P18" s="41">
        <f>IF(MatrizDeAdyacencia!P18=1,SUMIFS(tblEnlaces[Coste (peso)],tblEnlaces[Nodo Origen],$C18,tblEnlaces[Nodo Destino],P$3,tblEnlaces[Activo],1),0)</f>
        <v>0</v>
      </c>
      <c r="Q18" s="41">
        <f>IF(MatrizDeAdyacencia!Q18=1,SUMIFS(tblEnlaces[Coste (peso)],tblEnlaces[Nodo Origen],$C18,tblEnlaces[Nodo Destino],Q$3,tblEnlaces[Activo],1),0)</f>
        <v>0</v>
      </c>
      <c r="R18" s="41">
        <f>IF(MatrizDeAdyacencia!R18=1,SUMIFS(tblEnlaces[Coste (peso)],tblEnlaces[Nodo Origen],$C18,tblEnlaces[Nodo Destino],R$3,tblEnlaces[Activo],1),0)</f>
        <v>0</v>
      </c>
      <c r="S18" s="41">
        <f>IF(MatrizDeAdyacencia!S18=1,SUMIFS(tblEnlaces[Coste (peso)],tblEnlaces[Nodo Origen],$C18,tblEnlaces[Nodo Destino],S$3,tblEnlaces[Activo],1),0)</f>
        <v>0</v>
      </c>
      <c r="T18" s="41">
        <f>IF(MatrizDeAdyacencia!T18=1,SUMIFS(tblEnlaces[Coste (peso)],tblEnlaces[Nodo Origen],$C18,tblEnlaces[Nodo Destino],T$3,tblEnlaces[Activo],1),0)</f>
        <v>3</v>
      </c>
      <c r="U18" s="41">
        <f>IF(MatrizDeAdyacencia!U18=1,SUMIFS(tblEnlaces[Coste (peso)],tblEnlaces[Nodo Origen],$C18,tblEnlaces[Nodo Destino],U$3,tblEnlaces[Activo],1),0)</f>
        <v>3</v>
      </c>
      <c r="V18" s="42">
        <f>IF(MatrizDeAdyacencia!V18=1,SUMIFS(tblEnlaces[Coste (peso)],tblEnlaces[Nodo Origen],$C18,tblEnlaces[Nodo Destino],V$3,tblEnlaces[Activo],1),0)</f>
        <v>0</v>
      </c>
    </row>
    <row r="19" spans="2:22" ht="17.25" customHeight="1" x14ac:dyDescent="0.25">
      <c r="B19" s="15" t="str">
        <f>VLOOKUP(tblMatrizPonderadaCostes[[#This Row],[NodoOrigen \ NodoDestino]],tblNodos[#All],2,FALSE)</f>
        <v>Tesorería central</v>
      </c>
      <c r="C19" s="6" t="s">
        <v>101</v>
      </c>
      <c r="D19" s="41">
        <f>IF(MatrizDeAdyacencia!D19=1,SUMIFS(tblEnlaces[Coste (peso)],tblEnlaces[Nodo Origen],$C19,tblEnlaces[Nodo Destino],D$3,tblEnlaces[Activo],1),0)</f>
        <v>0</v>
      </c>
      <c r="E19" s="41">
        <f>IF(MatrizDeAdyacencia!E19=1,SUMIFS(tblEnlaces[Coste (peso)],tblEnlaces[Nodo Origen],$C19,tblEnlaces[Nodo Destino],E$3,tblEnlaces[Activo],1),0)</f>
        <v>0</v>
      </c>
      <c r="F19" s="41">
        <f>IF(MatrizDeAdyacencia!F19=1,SUMIFS(tblEnlaces[Coste (peso)],tblEnlaces[Nodo Origen],$C19,tblEnlaces[Nodo Destino],F$3,tblEnlaces[Activo],1),0)</f>
        <v>0</v>
      </c>
      <c r="G19" s="41">
        <f>IF(MatrizDeAdyacencia!G19=1,SUMIFS(tblEnlaces[Coste (peso)],tblEnlaces[Nodo Origen],$C19,tblEnlaces[Nodo Destino],G$3,tblEnlaces[Activo],1),0)</f>
        <v>0</v>
      </c>
      <c r="H19" s="41">
        <f>IF(MatrizDeAdyacencia!H19=1,SUMIFS(tblEnlaces[Coste (peso)],tblEnlaces[Nodo Origen],$C19,tblEnlaces[Nodo Destino],H$3,tblEnlaces[Activo],1),0)</f>
        <v>0</v>
      </c>
      <c r="I19" s="41">
        <f>IF(MatrizDeAdyacencia!I19=1,SUMIFS(tblEnlaces[Coste (peso)],tblEnlaces[Nodo Origen],$C19,tblEnlaces[Nodo Destino],I$3,tblEnlaces[Activo],1),0)</f>
        <v>0</v>
      </c>
      <c r="J19" s="41">
        <f>IF(MatrizDeAdyacencia!J19=1,SUMIFS(tblEnlaces[Coste (peso)],tblEnlaces[Nodo Origen],$C19,tblEnlaces[Nodo Destino],J$3,tblEnlaces[Activo],1),0)</f>
        <v>3</v>
      </c>
      <c r="K19" s="41">
        <f>IF(MatrizDeAdyacencia!K19=1,SUMIFS(tblEnlaces[Coste (peso)],tblEnlaces[Nodo Origen],$C19,tblEnlaces[Nodo Destino],K$3,tblEnlaces[Activo],1),0)</f>
        <v>0</v>
      </c>
      <c r="L19" s="41">
        <f>IF(MatrizDeAdyacencia!L19=1,SUMIFS(tblEnlaces[Coste (peso)],tblEnlaces[Nodo Origen],$C19,tblEnlaces[Nodo Destino],L$3,tblEnlaces[Activo],1),0)</f>
        <v>0</v>
      </c>
      <c r="M19" s="41">
        <f>IF(MatrizDeAdyacencia!M19=1,SUMIFS(tblEnlaces[Coste (peso)],tblEnlaces[Nodo Origen],$C19,tblEnlaces[Nodo Destino],M$3,tblEnlaces[Activo],1),0)</f>
        <v>0</v>
      </c>
      <c r="N19" s="41">
        <f>IF(MatrizDeAdyacencia!N19=1,SUMIFS(tblEnlaces[Coste (peso)],tblEnlaces[Nodo Origen],$C19,tblEnlaces[Nodo Destino],N$3,tblEnlaces[Activo],1),0)</f>
        <v>0</v>
      </c>
      <c r="O19" s="41">
        <f>IF(MatrizDeAdyacencia!O19=1,SUMIFS(tblEnlaces[Coste (peso)],tblEnlaces[Nodo Origen],$C19,tblEnlaces[Nodo Destino],O$3,tblEnlaces[Activo],1),0)</f>
        <v>4</v>
      </c>
      <c r="P19" s="41">
        <f>IF(MatrizDeAdyacencia!P19=1,SUMIFS(tblEnlaces[Coste (peso)],tblEnlaces[Nodo Origen],$C19,tblEnlaces[Nodo Destino],P$3,tblEnlaces[Activo],1),0)</f>
        <v>0</v>
      </c>
      <c r="Q19" s="41">
        <f>IF(MatrizDeAdyacencia!Q19=1,SUMIFS(tblEnlaces[Coste (peso)],tblEnlaces[Nodo Origen],$C19,tblEnlaces[Nodo Destino],Q$3,tblEnlaces[Activo],1),0)</f>
        <v>0</v>
      </c>
      <c r="R19" s="41">
        <f>IF(MatrizDeAdyacencia!R19=1,SUMIFS(tblEnlaces[Coste (peso)],tblEnlaces[Nodo Origen],$C19,tblEnlaces[Nodo Destino],R$3,tblEnlaces[Activo],1),0)</f>
        <v>0</v>
      </c>
      <c r="S19" s="41">
        <f>IF(MatrizDeAdyacencia!S19=1,SUMIFS(tblEnlaces[Coste (peso)],tblEnlaces[Nodo Origen],$C19,tblEnlaces[Nodo Destino],S$3,tblEnlaces[Activo],1),0)</f>
        <v>0</v>
      </c>
      <c r="T19" s="41">
        <f>IF(MatrizDeAdyacencia!T19=1,SUMIFS(tblEnlaces[Coste (peso)],tblEnlaces[Nodo Origen],$C19,tblEnlaces[Nodo Destino],T$3,tblEnlaces[Activo],1),0)</f>
        <v>0</v>
      </c>
      <c r="U19" s="41">
        <f>IF(MatrizDeAdyacencia!U19=1,SUMIFS(tblEnlaces[Coste (peso)],tblEnlaces[Nodo Origen],$C19,tblEnlaces[Nodo Destino],U$3,tblEnlaces[Activo],1),0)</f>
        <v>0</v>
      </c>
      <c r="V19" s="42">
        <f>IF(MatrizDeAdyacencia!V19=1,SUMIFS(tblEnlaces[Coste (peso)],tblEnlaces[Nodo Origen],$C19,tblEnlaces[Nodo Destino],V$3,tblEnlaces[Activo],1),0)</f>
        <v>5</v>
      </c>
    </row>
    <row r="20" spans="2:22" ht="17.25" customHeight="1" x14ac:dyDescent="0.25">
      <c r="B20" s="15" t="str">
        <f>VLOOKUP(tblMatrizPonderadaCostes[[#This Row],[NodoOrigen \ NodoDestino]],tblNodos[#All],2,FALSE)</f>
        <v>Centro financiero regional / célula</v>
      </c>
      <c r="C20" s="6" t="s">
        <v>105</v>
      </c>
      <c r="D20" s="41">
        <f>IF(MatrizDeAdyacencia!D20=1,SUMIFS(tblEnlaces[Coste (peso)],tblEnlaces[Nodo Origen],$C20,tblEnlaces[Nodo Destino],D$3,tblEnlaces[Activo],1),0)</f>
        <v>0</v>
      </c>
      <c r="E20" s="41">
        <f>IF(MatrizDeAdyacencia!E20=1,SUMIFS(tblEnlaces[Coste (peso)],tblEnlaces[Nodo Origen],$C20,tblEnlaces[Nodo Destino],E$3,tblEnlaces[Activo],1),0)</f>
        <v>0</v>
      </c>
      <c r="F20" s="41">
        <f>IF(MatrizDeAdyacencia!F20=1,SUMIFS(tblEnlaces[Coste (peso)],tblEnlaces[Nodo Origen],$C20,tblEnlaces[Nodo Destino],F$3,tblEnlaces[Activo],1),0)</f>
        <v>0</v>
      </c>
      <c r="G20" s="41">
        <f>IF(MatrizDeAdyacencia!G20=1,SUMIFS(tblEnlaces[Coste (peso)],tblEnlaces[Nodo Origen],$C20,tblEnlaces[Nodo Destino],G$3,tblEnlaces[Activo],1),0)</f>
        <v>0</v>
      </c>
      <c r="H20" s="41">
        <f>IF(MatrizDeAdyacencia!H20=1,SUMIFS(tblEnlaces[Coste (peso)],tblEnlaces[Nodo Origen],$C20,tblEnlaces[Nodo Destino],H$3,tblEnlaces[Activo],1),0)</f>
        <v>0</v>
      </c>
      <c r="I20" s="41">
        <f>IF(MatrizDeAdyacencia!I20=1,SUMIFS(tblEnlaces[Coste (peso)],tblEnlaces[Nodo Origen],$C20,tblEnlaces[Nodo Destino],I$3,tblEnlaces[Activo],1),0)</f>
        <v>0</v>
      </c>
      <c r="J20" s="41">
        <f>IF(MatrizDeAdyacencia!J20=1,SUMIFS(tblEnlaces[Coste (peso)],tblEnlaces[Nodo Origen],$C20,tblEnlaces[Nodo Destino],J$3,tblEnlaces[Activo],1),0)</f>
        <v>5</v>
      </c>
      <c r="K20" s="41">
        <f>IF(MatrizDeAdyacencia!K20=1,SUMIFS(tblEnlaces[Coste (peso)],tblEnlaces[Nodo Origen],$C20,tblEnlaces[Nodo Destino],K$3,tblEnlaces[Activo],1),0)</f>
        <v>3</v>
      </c>
      <c r="L20" s="41">
        <f>IF(MatrizDeAdyacencia!L20=1,SUMIFS(tblEnlaces[Coste (peso)],tblEnlaces[Nodo Origen],$C20,tblEnlaces[Nodo Destino],L$3,tblEnlaces[Activo],1),0)</f>
        <v>3</v>
      </c>
      <c r="M20" s="41">
        <f>IF(MatrizDeAdyacencia!M20=1,SUMIFS(tblEnlaces[Coste (peso)],tblEnlaces[Nodo Origen],$C20,tblEnlaces[Nodo Destino],M$3,tblEnlaces[Activo],1),0)</f>
        <v>4</v>
      </c>
      <c r="N20" s="41">
        <f>IF(MatrizDeAdyacencia!N20=1,SUMIFS(tblEnlaces[Coste (peso)],tblEnlaces[Nodo Origen],$C20,tblEnlaces[Nodo Destino],N$3,tblEnlaces[Activo],1),0)</f>
        <v>0</v>
      </c>
      <c r="O20" s="41">
        <f>IF(MatrizDeAdyacencia!O20=1,SUMIFS(tblEnlaces[Coste (peso)],tblEnlaces[Nodo Origen],$C20,tblEnlaces[Nodo Destino],O$3,tblEnlaces[Activo],1),0)</f>
        <v>0</v>
      </c>
      <c r="P20" s="41">
        <f>IF(MatrizDeAdyacencia!P20=1,SUMIFS(tblEnlaces[Coste (peso)],tblEnlaces[Nodo Origen],$C20,tblEnlaces[Nodo Destino],P$3,tblEnlaces[Activo],1),0)</f>
        <v>0</v>
      </c>
      <c r="Q20" s="41">
        <f>IF(MatrizDeAdyacencia!Q20=1,SUMIFS(tblEnlaces[Coste (peso)],tblEnlaces[Nodo Origen],$C20,tblEnlaces[Nodo Destino],Q$3,tblEnlaces[Activo],1),0)</f>
        <v>0</v>
      </c>
      <c r="R20" s="41">
        <f>IF(MatrizDeAdyacencia!R20=1,SUMIFS(tblEnlaces[Coste (peso)],tblEnlaces[Nodo Origen],$C20,tblEnlaces[Nodo Destino],R$3,tblEnlaces[Activo],1),0)</f>
        <v>0</v>
      </c>
      <c r="S20" s="41">
        <f>IF(MatrizDeAdyacencia!S20=1,SUMIFS(tblEnlaces[Coste (peso)],tblEnlaces[Nodo Origen],$C20,tblEnlaces[Nodo Destino],S$3,tblEnlaces[Activo],1),0)</f>
        <v>0</v>
      </c>
      <c r="T20" s="41">
        <f>IF(MatrizDeAdyacencia!T20=1,SUMIFS(tblEnlaces[Coste (peso)],tblEnlaces[Nodo Origen],$C20,tblEnlaces[Nodo Destino],T$3,tblEnlaces[Activo],1),0)</f>
        <v>0</v>
      </c>
      <c r="U20" s="41">
        <f>IF(MatrizDeAdyacencia!U20=1,SUMIFS(tblEnlaces[Coste (peso)],tblEnlaces[Nodo Origen],$C20,tblEnlaces[Nodo Destino],U$3,tblEnlaces[Activo],1),0)</f>
        <v>0</v>
      </c>
      <c r="V20" s="42">
        <f>IF(MatrizDeAdyacencia!V20=1,SUMIFS(tblEnlaces[Coste (peso)],tblEnlaces[Nodo Origen],$C20,tblEnlaces[Nodo Destino],V$3,tblEnlaces[Activo],1),0)</f>
        <v>5</v>
      </c>
    </row>
    <row r="21" spans="2:22" ht="17.25" customHeight="1" x14ac:dyDescent="0.25">
      <c r="B21" s="15" t="str">
        <f>VLOOKUP(tblMatrizPonderadaCostes[[#This Row],[NodoOrigen \ NodoDestino]],tblNodos[#All],2,FALSE)</f>
        <v>Facilitador externo / entidad instrumental</v>
      </c>
      <c r="C21" s="6" t="s">
        <v>109</v>
      </c>
      <c r="D21" s="41">
        <f>IF(MatrizDeAdyacencia!D21=1,SUMIFS(tblEnlaces[Coste (peso)],tblEnlaces[Nodo Origen],$C21,tblEnlaces[Nodo Destino],D$3,tblEnlaces[Activo],1),0)</f>
        <v>0</v>
      </c>
      <c r="E21" s="41">
        <f>IF(MatrizDeAdyacencia!E21=1,SUMIFS(tblEnlaces[Coste (peso)],tblEnlaces[Nodo Origen],$C21,tblEnlaces[Nodo Destino],E$3,tblEnlaces[Activo],1),0)</f>
        <v>0</v>
      </c>
      <c r="F21" s="41">
        <f>IF(MatrizDeAdyacencia!F21=1,SUMIFS(tblEnlaces[Coste (peso)],tblEnlaces[Nodo Origen],$C21,tblEnlaces[Nodo Destino],F$3,tblEnlaces[Activo],1),0)</f>
        <v>0</v>
      </c>
      <c r="G21" s="41">
        <f>IF(MatrizDeAdyacencia!G21=1,SUMIFS(tblEnlaces[Coste (peso)],tblEnlaces[Nodo Origen],$C21,tblEnlaces[Nodo Destino],G$3,tblEnlaces[Activo],1),0)</f>
        <v>0</v>
      </c>
      <c r="H21" s="41">
        <f>IF(MatrizDeAdyacencia!H21=1,SUMIFS(tblEnlaces[Coste (peso)],tblEnlaces[Nodo Origen],$C21,tblEnlaces[Nodo Destino],H$3,tblEnlaces[Activo],1),0)</f>
        <v>0</v>
      </c>
      <c r="I21" s="41">
        <f>IF(MatrizDeAdyacencia!I21=1,SUMIFS(tblEnlaces[Coste (peso)],tblEnlaces[Nodo Origen],$C21,tblEnlaces[Nodo Destino],I$3,tblEnlaces[Activo],1),0)</f>
        <v>0</v>
      </c>
      <c r="J21" s="41">
        <f>IF(MatrizDeAdyacencia!J21=1,SUMIFS(tblEnlaces[Coste (peso)],tblEnlaces[Nodo Origen],$C21,tblEnlaces[Nodo Destino],J$3,tblEnlaces[Activo],1),0)</f>
        <v>0</v>
      </c>
      <c r="K21" s="41">
        <f>IF(MatrizDeAdyacencia!K21=1,SUMIFS(tblEnlaces[Coste (peso)],tblEnlaces[Nodo Origen],$C21,tblEnlaces[Nodo Destino],K$3,tblEnlaces[Activo],1),0)</f>
        <v>0</v>
      </c>
      <c r="L21" s="41">
        <f>IF(MatrizDeAdyacencia!L21=1,SUMIFS(tblEnlaces[Coste (peso)],tblEnlaces[Nodo Origen],$C21,tblEnlaces[Nodo Destino],L$3,tblEnlaces[Activo],1),0)</f>
        <v>0</v>
      </c>
      <c r="M21" s="41">
        <f>IF(MatrizDeAdyacencia!M21=1,SUMIFS(tblEnlaces[Coste (peso)],tblEnlaces[Nodo Origen],$C21,tblEnlaces[Nodo Destino],M$3,tblEnlaces[Activo],1),0)</f>
        <v>0</v>
      </c>
      <c r="N21" s="41">
        <f>IF(MatrizDeAdyacencia!N21=1,SUMIFS(tblEnlaces[Coste (peso)],tblEnlaces[Nodo Origen],$C21,tblEnlaces[Nodo Destino],N$3,tblEnlaces[Activo],1),0)</f>
        <v>3</v>
      </c>
      <c r="O21" s="41">
        <f>IF(MatrizDeAdyacencia!O21=1,SUMIFS(tblEnlaces[Coste (peso)],tblEnlaces[Nodo Origen],$C21,tblEnlaces[Nodo Destino],O$3,tblEnlaces[Activo],1),0)</f>
        <v>3</v>
      </c>
      <c r="P21" s="41">
        <f>IF(MatrizDeAdyacencia!P21=1,SUMIFS(tblEnlaces[Coste (peso)],tblEnlaces[Nodo Origen],$C21,tblEnlaces[Nodo Destino],P$3,tblEnlaces[Activo],1),0)</f>
        <v>0</v>
      </c>
      <c r="Q21" s="41">
        <f>IF(MatrizDeAdyacencia!Q21=1,SUMIFS(tblEnlaces[Coste (peso)],tblEnlaces[Nodo Origen],$C21,tblEnlaces[Nodo Destino],Q$3,tblEnlaces[Activo],1),0)</f>
        <v>0</v>
      </c>
      <c r="R21" s="41">
        <f>IF(MatrizDeAdyacencia!R21=1,SUMIFS(tblEnlaces[Coste (peso)],tblEnlaces[Nodo Origen],$C21,tblEnlaces[Nodo Destino],R$3,tblEnlaces[Activo],1),0)</f>
        <v>3</v>
      </c>
      <c r="S21" s="41">
        <f>IF(MatrizDeAdyacencia!S21=1,SUMIFS(tblEnlaces[Coste (peso)],tblEnlaces[Nodo Origen],$C21,tblEnlaces[Nodo Destino],S$3,tblEnlaces[Activo],1),0)</f>
        <v>0</v>
      </c>
      <c r="T21" s="41">
        <f>IF(MatrizDeAdyacencia!T21=1,SUMIFS(tblEnlaces[Coste (peso)],tblEnlaces[Nodo Origen],$C21,tblEnlaces[Nodo Destino],T$3,tblEnlaces[Activo],1),0)</f>
        <v>0</v>
      </c>
      <c r="U21" s="41">
        <f>IF(MatrizDeAdyacencia!U21=1,SUMIFS(tblEnlaces[Coste (peso)],tblEnlaces[Nodo Origen],$C21,tblEnlaces[Nodo Destino],U$3,tblEnlaces[Activo],1),0)</f>
        <v>0</v>
      </c>
      <c r="V21" s="42">
        <f>IF(MatrizDeAdyacencia!V21=1,SUMIFS(tblEnlaces[Coste (peso)],tblEnlaces[Nodo Origen],$C21,tblEnlaces[Nodo Destino],V$3,tblEnlaces[Activo],1),0)</f>
        <v>5</v>
      </c>
    </row>
    <row r="22" spans="2:22" ht="17.25" customHeight="1" x14ac:dyDescent="0.25">
      <c r="B22" s="16" t="str">
        <f>VLOOKUP(tblMatrizPonderadaCostes[[#This Row],[NodoOrigen \ NodoDestino]],tblNodos[#All],2,FALSE)</f>
        <v>Destino operativo</v>
      </c>
      <c r="C22" s="11" t="s">
        <v>51</v>
      </c>
      <c r="D22" s="43">
        <f>IF(MatrizDeAdyacencia!D22=1,SUMIFS(tblEnlaces[Coste (peso)],tblEnlaces[Nodo Origen],$C22,tblEnlaces[Nodo Destino],D$3,tblEnlaces[Activo],1),0)</f>
        <v>0</v>
      </c>
      <c r="E22" s="43">
        <f>IF(MatrizDeAdyacencia!E22=1,SUMIFS(tblEnlaces[Coste (peso)],tblEnlaces[Nodo Origen],$C22,tblEnlaces[Nodo Destino],E$3,tblEnlaces[Activo],1),0)</f>
        <v>0</v>
      </c>
      <c r="F22" s="43">
        <f>IF(MatrizDeAdyacencia!F22=1,SUMIFS(tblEnlaces[Coste (peso)],tblEnlaces[Nodo Origen],$C22,tblEnlaces[Nodo Destino],F$3,tblEnlaces[Activo],1),0)</f>
        <v>0</v>
      </c>
      <c r="G22" s="43">
        <f>IF(MatrizDeAdyacencia!G22=1,SUMIFS(tblEnlaces[Coste (peso)],tblEnlaces[Nodo Origen],$C22,tblEnlaces[Nodo Destino],G$3,tblEnlaces[Activo],1),0)</f>
        <v>0</v>
      </c>
      <c r="H22" s="43">
        <f>IF(MatrizDeAdyacencia!H22=1,SUMIFS(tblEnlaces[Coste (peso)],tblEnlaces[Nodo Origen],$C22,tblEnlaces[Nodo Destino],H$3,tblEnlaces[Activo],1),0)</f>
        <v>0</v>
      </c>
      <c r="I22" s="43">
        <f>IF(MatrizDeAdyacencia!I22=1,SUMIFS(tblEnlaces[Coste (peso)],tblEnlaces[Nodo Origen],$C22,tblEnlaces[Nodo Destino],I$3,tblEnlaces[Activo],1),0)</f>
        <v>0</v>
      </c>
      <c r="J22" s="43">
        <f>IF(MatrizDeAdyacencia!J22=1,SUMIFS(tblEnlaces[Coste (peso)],tblEnlaces[Nodo Origen],$C22,tblEnlaces[Nodo Destino],J$3,tblEnlaces[Activo],1),0)</f>
        <v>0</v>
      </c>
      <c r="K22" s="43">
        <f>IF(MatrizDeAdyacencia!K22=1,SUMIFS(tblEnlaces[Coste (peso)],tblEnlaces[Nodo Origen],$C22,tblEnlaces[Nodo Destino],K$3,tblEnlaces[Activo],1),0)</f>
        <v>0</v>
      </c>
      <c r="L22" s="43">
        <f>IF(MatrizDeAdyacencia!L22=1,SUMIFS(tblEnlaces[Coste (peso)],tblEnlaces[Nodo Origen],$C22,tblEnlaces[Nodo Destino],L$3,tblEnlaces[Activo],1),0)</f>
        <v>0</v>
      </c>
      <c r="M22" s="43">
        <f>IF(MatrizDeAdyacencia!M22=1,SUMIFS(tblEnlaces[Coste (peso)],tblEnlaces[Nodo Origen],$C22,tblEnlaces[Nodo Destino],M$3,tblEnlaces[Activo],1),0)</f>
        <v>0</v>
      </c>
      <c r="N22" s="43">
        <f>IF(MatrizDeAdyacencia!N22=1,SUMIFS(tblEnlaces[Coste (peso)],tblEnlaces[Nodo Origen],$C22,tblEnlaces[Nodo Destino],N$3,tblEnlaces[Activo],1),0)</f>
        <v>0</v>
      </c>
      <c r="O22" s="43">
        <f>IF(MatrizDeAdyacencia!O22=1,SUMIFS(tblEnlaces[Coste (peso)],tblEnlaces[Nodo Origen],$C22,tblEnlaces[Nodo Destino],O$3,tblEnlaces[Activo],1),0)</f>
        <v>0</v>
      </c>
      <c r="P22" s="43">
        <f>IF(MatrizDeAdyacencia!P22=1,SUMIFS(tblEnlaces[Coste (peso)],tblEnlaces[Nodo Origen],$C22,tblEnlaces[Nodo Destino],P$3,tblEnlaces[Activo],1),0)</f>
        <v>0</v>
      </c>
      <c r="Q22" s="43">
        <f>IF(MatrizDeAdyacencia!Q22=1,SUMIFS(tblEnlaces[Coste (peso)],tblEnlaces[Nodo Origen],$C22,tblEnlaces[Nodo Destino],Q$3,tblEnlaces[Activo],1),0)</f>
        <v>0</v>
      </c>
      <c r="R22" s="43">
        <f>IF(MatrizDeAdyacencia!R22=1,SUMIFS(tblEnlaces[Coste (peso)],tblEnlaces[Nodo Origen],$C22,tblEnlaces[Nodo Destino],R$3,tblEnlaces[Activo],1),0)</f>
        <v>0</v>
      </c>
      <c r="S22" s="43">
        <f>IF(MatrizDeAdyacencia!S22=1,SUMIFS(tblEnlaces[Coste (peso)],tblEnlaces[Nodo Origen],$C22,tblEnlaces[Nodo Destino],S$3,tblEnlaces[Activo],1),0)</f>
        <v>0</v>
      </c>
      <c r="T22" s="43">
        <f>IF(MatrizDeAdyacencia!T22=1,SUMIFS(tblEnlaces[Coste (peso)],tblEnlaces[Nodo Origen],$C22,tblEnlaces[Nodo Destino],T$3,tblEnlaces[Activo],1),0)</f>
        <v>0</v>
      </c>
      <c r="U22" s="43">
        <f>IF(MatrizDeAdyacencia!U22=1,SUMIFS(tblEnlaces[Coste (peso)],tblEnlaces[Nodo Origen],$C22,tblEnlaces[Nodo Destino],U$3,tblEnlaces[Activo],1),0)</f>
        <v>0</v>
      </c>
      <c r="V22" s="44">
        <f>IF(MatrizDeAdyacencia!V22=1,SUMIFS(tblEnlaces[Coste (peso)],tblEnlaces[Nodo Origen],$C22,tblEnlaces[Nodo Destino],V$3,tblEnlaces[Activo],1),0)</f>
        <v>0</v>
      </c>
    </row>
  </sheetData>
  <mergeCells count="3">
    <mergeCell ref="B2:C2"/>
    <mergeCell ref="Y11:Z11"/>
    <mergeCell ref="Y3:Z3"/>
  </mergeCells>
  <conditionalFormatting sqref="D4:V22">
    <cfRule type="colorScale" priority="1">
      <colorScale>
        <cfvo type="num" val="0"/>
        <cfvo type="formula" val="($Z$13+$Z$14)/2"/>
        <cfvo type="formula" val="$Z$14"/>
        <color theme="0"/>
        <color rgb="FFFFEB84"/>
        <color rgb="FFF8696B"/>
      </colorScale>
    </cfRule>
    <cfRule type="cellIs" dxfId="4" priority="4" operator="equal">
      <formula>0</formula>
    </cfRule>
  </conditionalFormatting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D335-B43D-4BCD-9E5E-7A66D672F094}">
  <dimension ref="A2:AP40"/>
  <sheetViews>
    <sheetView showGridLines="0" topLeftCell="B2" zoomScaleNormal="100" workbookViewId="0">
      <selection activeCell="Y19" sqref="Y19"/>
    </sheetView>
  </sheetViews>
  <sheetFormatPr baseColWidth="10" defaultColWidth="9.140625" defaultRowHeight="17.25" customHeight="1" x14ac:dyDescent="0.25"/>
  <cols>
    <col min="1" max="1" width="9.140625" style="4" customWidth="1"/>
    <col min="2" max="2" width="40.85546875" style="4" customWidth="1"/>
    <col min="3" max="3" width="12" style="4" customWidth="1"/>
    <col min="4" max="4" width="6.7109375" style="4" customWidth="1"/>
    <col min="5" max="22" width="5.140625" style="4" customWidth="1"/>
    <col min="23" max="24" width="9.140625" style="4" customWidth="1"/>
    <col min="25" max="25" width="18.7109375" style="4" customWidth="1"/>
    <col min="26" max="26" width="10.140625" style="4" customWidth="1"/>
    <col min="27" max="27" width="11.140625" style="4" customWidth="1"/>
    <col min="28" max="28" width="10.85546875" style="4" customWidth="1"/>
    <col min="29" max="29" width="11.140625" style="4" customWidth="1"/>
    <col min="30" max="30" width="9.85546875" style="4" customWidth="1"/>
    <col min="31" max="31" width="7.7109375" style="4" customWidth="1"/>
    <col min="32" max="16384" width="9.140625" style="4"/>
  </cols>
  <sheetData>
    <row r="2" spans="2:42" s="15" customFormat="1" ht="134.25" customHeight="1" x14ac:dyDescent="0.25">
      <c r="B2" s="62" t="s">
        <v>209</v>
      </c>
      <c r="C2" s="63"/>
      <c r="D2" s="27" t="str">
        <f>VLOOKUP(tblMatrizPonderadaValorOperativo[[#Headers],[O1]],tblNodos[#All],2,FALSE)</f>
        <v>Coerción y cobros forzosos</v>
      </c>
      <c r="E2" s="27" t="str">
        <f>VLOOKUP(tblMatrizPonderadaValorOperativo[[#Headers],[O2]],tblNodos[#All],2,FALSE)</f>
        <v>Contrabando / tráfico / comercio ilícito</v>
      </c>
      <c r="F2" s="27" t="str">
        <f>VLOOKUP(tblMatrizPonderadaValorOperativo[[#Headers],[O3]],tblNodos[#All],2,FALSE)</f>
        <v>Explotación de recursos naturales</v>
      </c>
      <c r="G2" s="27" t="str">
        <f>VLOOKUP(tblMatrizPonderadaValorOperativo[[#Headers],[O4]],tblNodos[#All],2,FALSE)</f>
        <v>Autofinanciación lícita / microfinanciación</v>
      </c>
      <c r="H2" s="27" t="str">
        <f>VLOOKUP(tblMatrizPonderadaValorOperativo[[#Headers],[O5]],tblNodos[#All],2,FALSE)</f>
        <v>Actividades económicas formales / negocios</v>
      </c>
      <c r="I2" s="27" t="str">
        <f>VLOOKUP(tblMatrizPonderadaValorOperativo[[#Headers],[O6]],tblNodos[#All],2,FALSE)</f>
        <v>Donaciones / crowdfunding / apoyo online</v>
      </c>
      <c r="J2" s="27" t="str">
        <f>VLOOKUP(tblMatrizPonderadaValorOperativo[[#Headers],[I1]],tblNodos[#All],2,FALSE)</f>
        <v>Efectivo</v>
      </c>
      <c r="K2" s="27" t="str">
        <f>VLOOKUP(tblMatrizPonderadaValorOperativo[[#Headers],[I2]],tblNodos[#All],2,FALSE)</f>
        <v>Hawala / HOSSP</v>
      </c>
      <c r="L2" s="27" t="str">
        <f>VLOOKUP(tblMatrizPonderadaValorOperativo[[#Headers],[I3]],tblNodos[#All],2,FALSE)</f>
        <v>MVTS / remesas</v>
      </c>
      <c r="M2" s="27" t="str">
        <f>VLOOKUP(tblMatrizPonderadaValorOperativo[[#Headers],[I4]],tblNodos[#All],2,FALSE)</f>
        <v>Dinero móvil</v>
      </c>
      <c r="N2" s="27" t="str">
        <f>VLOOKUP(tblMatrizPonderadaValorOperativo[[#Headers],[I5]],tblNodos[#All],2,FALSE)</f>
        <v>Pagos online</v>
      </c>
      <c r="O2" s="27" t="str">
        <f>VLOOKUP(tblMatrizPonderadaValorOperativo[[#Headers],[I6]],tblNodos[#All],2,FALSE)</f>
        <v>Servicios bancarios</v>
      </c>
      <c r="P2" s="27" t="str">
        <f>VLOOKUP(tblMatrizPonderadaValorOperativo[[#Headers],[I7]],tblNodos[#All],2,FALSE)</f>
        <v>Tarjetas prepago / e-wallets</v>
      </c>
      <c r="Q2" s="27" t="str">
        <f>VLOOKUP(tblMatrizPonderadaValorOperativo[[#Headers],[I8]],tblNodos[#All],2,FALSE)</f>
        <v>Plataformas digitales</v>
      </c>
      <c r="R2" s="27" t="str">
        <f>VLOOKUP(tblMatrizPonderadaValorOperativo[[#Headers],[I9]],tblNodos[#All],2,FALSE)</f>
        <v>Activos virtuales</v>
      </c>
      <c r="S2" s="27" t="str">
        <f>VLOOKUP(tblMatrizPonderadaValorOperativo[[#Headers],[G1]],tblNodos[#All],2,FALSE)</f>
        <v>Tesorería central</v>
      </c>
      <c r="T2" s="27" t="str">
        <f>VLOOKUP(tblMatrizPonderadaValorOperativo[[#Headers],[G2]],tblNodos[#All],2,FALSE)</f>
        <v>Centro financiero regional / célula</v>
      </c>
      <c r="U2" s="27" t="str">
        <f>VLOOKUP(tblMatrizPonderadaValorOperativo[[#Headers],[G3]],tblNodos[#All],2,FALSE)</f>
        <v>Facilitador externo / entidad instrumental</v>
      </c>
      <c r="V2" s="27" t="str">
        <f>VLOOKUP(tblMatrizPonderadaValorOperativo[[#Headers],[D]],tblNodos[#All],2,FALSE)</f>
        <v>Destino operativo</v>
      </c>
      <c r="W2" s="26"/>
      <c r="AF2"/>
      <c r="AG2"/>
      <c r="AH2"/>
      <c r="AI2"/>
      <c r="AJ2"/>
      <c r="AK2"/>
      <c r="AL2"/>
      <c r="AM2"/>
      <c r="AN2"/>
      <c r="AO2"/>
      <c r="AP2"/>
    </row>
    <row r="3" spans="2:42" ht="35.25" customHeight="1" x14ac:dyDescent="0.25">
      <c r="B3" s="8" t="s">
        <v>189</v>
      </c>
      <c r="C3" s="61" t="s">
        <v>190</v>
      </c>
      <c r="D3" s="9" t="s">
        <v>25</v>
      </c>
      <c r="E3" s="9" t="s">
        <v>38</v>
      </c>
      <c r="F3" s="9" t="s">
        <v>46</v>
      </c>
      <c r="G3" s="9" t="s">
        <v>53</v>
      </c>
      <c r="H3" s="9" t="s">
        <v>60</v>
      </c>
      <c r="I3" s="9" t="s">
        <v>65</v>
      </c>
      <c r="J3" s="9" t="s">
        <v>28</v>
      </c>
      <c r="K3" s="9" t="s">
        <v>41</v>
      </c>
      <c r="L3" s="9" t="s">
        <v>49</v>
      </c>
      <c r="M3" s="9" t="s">
        <v>56</v>
      </c>
      <c r="N3" s="9" t="s">
        <v>82</v>
      </c>
      <c r="O3" s="9" t="s">
        <v>86</v>
      </c>
      <c r="P3" s="9" t="s">
        <v>90</v>
      </c>
      <c r="Q3" s="9" t="s">
        <v>94</v>
      </c>
      <c r="R3" s="9" t="s">
        <v>63</v>
      </c>
      <c r="S3" s="9" t="s">
        <v>101</v>
      </c>
      <c r="T3" s="9" t="s">
        <v>105</v>
      </c>
      <c r="U3" s="9" t="s">
        <v>109</v>
      </c>
      <c r="V3" s="10" t="s">
        <v>51</v>
      </c>
      <c r="Y3" s="81" t="s">
        <v>193</v>
      </c>
      <c r="Z3" s="82"/>
      <c r="AA3" s="82"/>
      <c r="AB3" s="82"/>
      <c r="AC3" s="82"/>
      <c r="AD3" s="46"/>
      <c r="AF3"/>
      <c r="AG3"/>
      <c r="AH3"/>
      <c r="AI3"/>
      <c r="AJ3"/>
      <c r="AK3"/>
      <c r="AL3"/>
      <c r="AM3"/>
      <c r="AN3"/>
      <c r="AO3"/>
      <c r="AP3"/>
    </row>
    <row r="4" spans="2:42" ht="17.25" customHeight="1" x14ac:dyDescent="0.25">
      <c r="B4" s="14" t="str">
        <f>VLOOKUP(tblMatrizPonderadaValorOperativo[[#This Row],[NodoOrigen \ NodoDestino]],tblNodos[#All],2,FALSE)</f>
        <v>Coerción y cobros forzosos</v>
      </c>
      <c r="C4" s="6" t="s">
        <v>25</v>
      </c>
      <c r="D4" s="41">
        <f>IF(MatrizDeAdyacencia!D4=1, SUMIFS(tblEnlaces[ValorOperativo (peso)], tblEnlaces[Nodo Origen], $C4, tblEnlaces[Nodo Destino], D$3, tblEnlaces[Activo], 1), 0)</f>
        <v>0</v>
      </c>
      <c r="E4" s="41">
        <f>IF(MatrizDeAdyacencia!E4=1, SUMIFS(tblEnlaces[ValorOperativo (peso)], tblEnlaces[Nodo Origen], $C4, tblEnlaces[Nodo Destino], E$3, tblEnlaces[Activo], 1), 0)</f>
        <v>0</v>
      </c>
      <c r="F4" s="41">
        <f>IF(MatrizDeAdyacencia!F4=1, SUMIFS(tblEnlaces[ValorOperativo (peso)], tblEnlaces[Nodo Origen], $C4, tblEnlaces[Nodo Destino], F$3, tblEnlaces[Activo], 1), 0)</f>
        <v>0</v>
      </c>
      <c r="G4" s="41">
        <f>IF(MatrizDeAdyacencia!G4=1, SUMIFS(tblEnlaces[ValorOperativo (peso)], tblEnlaces[Nodo Origen], $C4, tblEnlaces[Nodo Destino], G$3, tblEnlaces[Activo], 1), 0)</f>
        <v>0</v>
      </c>
      <c r="H4" s="41">
        <f>IF(MatrizDeAdyacencia!H4=1, SUMIFS(tblEnlaces[ValorOperativo (peso)], tblEnlaces[Nodo Origen], $C4, tblEnlaces[Nodo Destino], H$3, tblEnlaces[Activo], 1), 0)</f>
        <v>0</v>
      </c>
      <c r="I4" s="41">
        <f>IF(MatrizDeAdyacencia!I4=1, SUMIFS(tblEnlaces[ValorOperativo (peso)], tblEnlaces[Nodo Origen], $C4, tblEnlaces[Nodo Destino], I$3, tblEnlaces[Activo], 1), 0)</f>
        <v>0</v>
      </c>
      <c r="J4" s="41">
        <f>IF(MatrizDeAdyacencia!J4=1, SUMIFS(tblEnlaces[ValorOperativo (peso)], tblEnlaces[Nodo Origen], $C4, tblEnlaces[Nodo Destino], J$3, tblEnlaces[Activo], 1), 0)</f>
        <v>18</v>
      </c>
      <c r="K4" s="41">
        <f>IF(MatrizDeAdyacencia!K4=1, SUMIFS(tblEnlaces[ValorOperativo (peso)], tblEnlaces[Nodo Origen], $C4, tblEnlaces[Nodo Destino], K$3, tblEnlaces[Activo], 1), 0)</f>
        <v>18</v>
      </c>
      <c r="L4" s="41">
        <f>IF(MatrizDeAdyacencia!L4=1, SUMIFS(tblEnlaces[ValorOperativo (peso)], tblEnlaces[Nodo Origen], $C4, tblEnlaces[Nodo Destino], L$3, tblEnlaces[Activo], 1), 0)</f>
        <v>14</v>
      </c>
      <c r="M4" s="41">
        <f>IF(MatrizDeAdyacencia!M4=1, SUMIFS(tblEnlaces[ValorOperativo (peso)], tblEnlaces[Nodo Origen], $C4, tblEnlaces[Nodo Destino], M$3, tblEnlaces[Activo], 1), 0)</f>
        <v>14</v>
      </c>
      <c r="N4" s="41">
        <f>IF(MatrizDeAdyacencia!N4=1, SUMIFS(tblEnlaces[ValorOperativo (peso)], tblEnlaces[Nodo Origen], $C4, tblEnlaces[Nodo Destino], N$3, tblEnlaces[Activo], 1), 0)</f>
        <v>0</v>
      </c>
      <c r="O4" s="41">
        <f>IF(MatrizDeAdyacencia!O4=1, SUMIFS(tblEnlaces[ValorOperativo (peso)], tblEnlaces[Nodo Origen], $C4, tblEnlaces[Nodo Destino], O$3, tblEnlaces[Activo], 1), 0)</f>
        <v>0</v>
      </c>
      <c r="P4" s="41">
        <f>IF(MatrizDeAdyacencia!P4=1, SUMIFS(tblEnlaces[ValorOperativo (peso)], tblEnlaces[Nodo Origen], $C4, tblEnlaces[Nodo Destino], P$3, tblEnlaces[Activo], 1), 0)</f>
        <v>0</v>
      </c>
      <c r="Q4" s="41">
        <f>IF(MatrizDeAdyacencia!Q4=1, SUMIFS(tblEnlaces[ValorOperativo (peso)], tblEnlaces[Nodo Origen], $C4, tblEnlaces[Nodo Destino], Q$3, tblEnlaces[Activo], 1), 0)</f>
        <v>0</v>
      </c>
      <c r="R4" s="41">
        <f>IF(MatrizDeAdyacencia!R4=1, SUMIFS(tblEnlaces[ValorOperativo (peso)], tblEnlaces[Nodo Origen], $C4, tblEnlaces[Nodo Destino], R$3, tblEnlaces[Activo], 1), 0)</f>
        <v>12</v>
      </c>
      <c r="S4" s="41">
        <f>IF(MatrizDeAdyacencia!S4=1, SUMIFS(tblEnlaces[ValorOperativo (peso)], tblEnlaces[Nodo Origen], $C4, tblEnlaces[Nodo Destino], S$3, tblEnlaces[Activo], 1), 0)</f>
        <v>0</v>
      </c>
      <c r="T4" s="41">
        <f>IF(MatrizDeAdyacencia!T4=1, SUMIFS(tblEnlaces[ValorOperativo (peso)], tblEnlaces[Nodo Origen], $C4, tblEnlaces[Nodo Destino], T$3, tblEnlaces[Activo], 1), 0)</f>
        <v>0</v>
      </c>
      <c r="U4" s="41">
        <f>IF(MatrizDeAdyacencia!U4=1, SUMIFS(tblEnlaces[ValorOperativo (peso)], tblEnlaces[Nodo Origen], $C4, tblEnlaces[Nodo Destino], U$3, tblEnlaces[Activo], 1), 0)</f>
        <v>0</v>
      </c>
      <c r="V4" s="42">
        <f>IF(MatrizDeAdyacencia!V4=1, SUMIFS(tblEnlaces[ValorOperativo (peso)], tblEnlaces[Nodo Origen], $C4, tblEnlaces[Nodo Destino], V$3, tblEnlaces[Activo], 1), 0)</f>
        <v>0</v>
      </c>
      <c r="Y4" s="33" t="s">
        <v>194</v>
      </c>
      <c r="Z4" s="33" t="s">
        <v>17</v>
      </c>
      <c r="AA4" s="33" t="s">
        <v>18</v>
      </c>
      <c r="AB4" s="33" t="s">
        <v>19</v>
      </c>
      <c r="AC4" s="33" t="s">
        <v>20</v>
      </c>
      <c r="AD4" s="46"/>
      <c r="AF4"/>
      <c r="AG4"/>
      <c r="AH4"/>
      <c r="AI4"/>
      <c r="AJ4"/>
      <c r="AK4"/>
      <c r="AL4"/>
      <c r="AM4"/>
      <c r="AN4"/>
      <c r="AO4"/>
      <c r="AP4"/>
    </row>
    <row r="5" spans="2:42" ht="17.25" customHeight="1" x14ac:dyDescent="0.25">
      <c r="B5" s="15" t="str">
        <f>VLOOKUP(tblMatrizPonderadaValorOperativo[[#This Row],[NodoOrigen \ NodoDestino]],tblNodos[#All],2,FALSE)</f>
        <v>Contrabando / tráfico / comercio ilícito</v>
      </c>
      <c r="C5" s="6" t="s">
        <v>38</v>
      </c>
      <c r="D5" s="41">
        <f>IF(MatrizDeAdyacencia!D5=1, SUMIFS(tblEnlaces[ValorOperativo (peso)], tblEnlaces[Nodo Origen], $C5, tblEnlaces[Nodo Destino], D$3, tblEnlaces[Activo], 1), 0)</f>
        <v>0</v>
      </c>
      <c r="E5" s="41">
        <f>IF(MatrizDeAdyacencia!E5=1, SUMIFS(tblEnlaces[ValorOperativo (peso)], tblEnlaces[Nodo Origen], $C5, tblEnlaces[Nodo Destino], E$3, tblEnlaces[Activo], 1), 0)</f>
        <v>0</v>
      </c>
      <c r="F5" s="41">
        <f>IF(MatrizDeAdyacencia!F5=1, SUMIFS(tblEnlaces[ValorOperativo (peso)], tblEnlaces[Nodo Origen], $C5, tblEnlaces[Nodo Destino], F$3, tblEnlaces[Activo], 1), 0)</f>
        <v>0</v>
      </c>
      <c r="G5" s="41">
        <f>IF(MatrizDeAdyacencia!G5=1, SUMIFS(tblEnlaces[ValorOperativo (peso)], tblEnlaces[Nodo Origen], $C5, tblEnlaces[Nodo Destino], G$3, tblEnlaces[Activo], 1), 0)</f>
        <v>0</v>
      </c>
      <c r="H5" s="41">
        <f>IF(MatrizDeAdyacencia!H5=1, SUMIFS(tblEnlaces[ValorOperativo (peso)], tblEnlaces[Nodo Origen], $C5, tblEnlaces[Nodo Destino], H$3, tblEnlaces[Activo], 1), 0)</f>
        <v>0</v>
      </c>
      <c r="I5" s="41">
        <f>IF(MatrizDeAdyacencia!I5=1, SUMIFS(tblEnlaces[ValorOperativo (peso)], tblEnlaces[Nodo Origen], $C5, tblEnlaces[Nodo Destino], I$3, tblEnlaces[Activo], 1), 0)</f>
        <v>0</v>
      </c>
      <c r="J5" s="41">
        <f>IF(MatrizDeAdyacencia!J5=1, SUMIFS(tblEnlaces[ValorOperativo (peso)], tblEnlaces[Nodo Origen], $C5, tblEnlaces[Nodo Destino], J$3, tblEnlaces[Activo], 1), 0)</f>
        <v>17</v>
      </c>
      <c r="K5" s="41">
        <f>IF(MatrizDeAdyacencia!K5=1, SUMIFS(tblEnlaces[ValorOperativo (peso)], tblEnlaces[Nodo Origen], $C5, tblEnlaces[Nodo Destino], K$3, tblEnlaces[Activo], 1), 0)</f>
        <v>19</v>
      </c>
      <c r="L5" s="41">
        <f>IF(MatrizDeAdyacencia!L5=1, SUMIFS(tblEnlaces[ValorOperativo (peso)], tblEnlaces[Nodo Origen], $C5, tblEnlaces[Nodo Destino], L$3, tblEnlaces[Activo], 1), 0)</f>
        <v>14</v>
      </c>
      <c r="M5" s="41">
        <f>IF(MatrizDeAdyacencia!M5=1, SUMIFS(tblEnlaces[ValorOperativo (peso)], tblEnlaces[Nodo Origen], $C5, tblEnlaces[Nodo Destino], M$3, tblEnlaces[Activo], 1), 0)</f>
        <v>0</v>
      </c>
      <c r="N5" s="41">
        <f>IF(MatrizDeAdyacencia!N5=1, SUMIFS(tblEnlaces[ValorOperativo (peso)], tblEnlaces[Nodo Origen], $C5, tblEnlaces[Nodo Destino], N$3, tblEnlaces[Activo], 1), 0)</f>
        <v>0</v>
      </c>
      <c r="O5" s="41">
        <f>IF(MatrizDeAdyacencia!O5=1, SUMIFS(tblEnlaces[ValorOperativo (peso)], tblEnlaces[Nodo Origen], $C5, tblEnlaces[Nodo Destino], O$3, tblEnlaces[Activo], 1), 0)</f>
        <v>0</v>
      </c>
      <c r="P5" s="41">
        <f>IF(MatrizDeAdyacencia!P5=1, SUMIFS(tblEnlaces[ValorOperativo (peso)], tblEnlaces[Nodo Origen], $C5, tblEnlaces[Nodo Destino], P$3, tblEnlaces[Activo], 1), 0)</f>
        <v>0</v>
      </c>
      <c r="Q5" s="41">
        <f>IF(MatrizDeAdyacencia!Q5=1, SUMIFS(tblEnlaces[ValorOperativo (peso)], tblEnlaces[Nodo Origen], $C5, tblEnlaces[Nodo Destino], Q$3, tblEnlaces[Activo], 1), 0)</f>
        <v>0</v>
      </c>
      <c r="R5" s="41">
        <f>IF(MatrizDeAdyacencia!R5=1, SUMIFS(tblEnlaces[ValorOperativo (peso)], tblEnlaces[Nodo Origen], $C5, tblEnlaces[Nodo Destino], R$3, tblEnlaces[Activo], 1), 0)</f>
        <v>0</v>
      </c>
      <c r="S5" s="41">
        <f>IF(MatrizDeAdyacencia!S5=1, SUMIFS(tblEnlaces[ValorOperativo (peso)], tblEnlaces[Nodo Origen], $C5, tblEnlaces[Nodo Destino], S$3, tblEnlaces[Activo], 1), 0)</f>
        <v>0</v>
      </c>
      <c r="T5" s="41">
        <f>IF(MatrizDeAdyacencia!T5=1, SUMIFS(tblEnlaces[ValorOperativo (peso)], tblEnlaces[Nodo Origen], $C5, tblEnlaces[Nodo Destino], T$3, tblEnlaces[Activo], 1), 0)</f>
        <v>0</v>
      </c>
      <c r="U5" s="41">
        <f>IF(MatrizDeAdyacencia!U5=1, SUMIFS(tblEnlaces[ValorOperativo (peso)], tblEnlaces[Nodo Origen], $C5, tblEnlaces[Nodo Destino], U$3, tblEnlaces[Activo], 1), 0)</f>
        <v>0</v>
      </c>
      <c r="V5" s="42">
        <f>IF(MatrizDeAdyacencia!V5=1, SUMIFS(tblEnlaces[ValorOperativo (peso)], tblEnlaces[Nodo Origen], $C5, tblEnlaces[Nodo Destino], V$3, tblEnlaces[Activo], 1), 0)</f>
        <v>0</v>
      </c>
      <c r="Y5" s="34" t="s">
        <v>31</v>
      </c>
      <c r="Z5" s="34">
        <v>1</v>
      </c>
      <c r="AA5" s="34">
        <v>5</v>
      </c>
      <c r="AB5" s="34">
        <v>1</v>
      </c>
      <c r="AC5" s="34">
        <v>1</v>
      </c>
      <c r="AD5" s="46"/>
      <c r="AF5"/>
      <c r="AG5"/>
      <c r="AH5"/>
      <c r="AI5"/>
      <c r="AJ5"/>
      <c r="AK5"/>
      <c r="AL5"/>
      <c r="AM5"/>
      <c r="AN5"/>
      <c r="AO5"/>
      <c r="AP5"/>
    </row>
    <row r="6" spans="2:42" ht="17.25" customHeight="1" x14ac:dyDescent="0.25">
      <c r="B6" s="15" t="str">
        <f>VLOOKUP(tblMatrizPonderadaValorOperativo[[#This Row],[NodoOrigen \ NodoDestino]],tblNodos[#All],2,FALSE)</f>
        <v>Explotación de recursos naturales</v>
      </c>
      <c r="C6" s="6" t="s">
        <v>46</v>
      </c>
      <c r="D6" s="41">
        <f>IF(MatrizDeAdyacencia!D6=1, SUMIFS(tblEnlaces[ValorOperativo (peso)], tblEnlaces[Nodo Origen], $C6, tblEnlaces[Nodo Destino], D$3, tblEnlaces[Activo], 1), 0)</f>
        <v>0</v>
      </c>
      <c r="E6" s="41">
        <f>IF(MatrizDeAdyacencia!E6=1, SUMIFS(tblEnlaces[ValorOperativo (peso)], tblEnlaces[Nodo Origen], $C6, tblEnlaces[Nodo Destino], E$3, tblEnlaces[Activo], 1), 0)</f>
        <v>0</v>
      </c>
      <c r="F6" s="41">
        <f>IF(MatrizDeAdyacencia!F6=1, SUMIFS(tblEnlaces[ValorOperativo (peso)], tblEnlaces[Nodo Origen], $C6, tblEnlaces[Nodo Destino], F$3, tblEnlaces[Activo], 1), 0)</f>
        <v>0</v>
      </c>
      <c r="G6" s="41">
        <f>IF(MatrizDeAdyacencia!G6=1, SUMIFS(tblEnlaces[ValorOperativo (peso)], tblEnlaces[Nodo Origen], $C6, tblEnlaces[Nodo Destino], G$3, tblEnlaces[Activo], 1), 0)</f>
        <v>0</v>
      </c>
      <c r="H6" s="41">
        <f>IF(MatrizDeAdyacencia!H6=1, SUMIFS(tblEnlaces[ValorOperativo (peso)], tblEnlaces[Nodo Origen], $C6, tblEnlaces[Nodo Destino], H$3, tblEnlaces[Activo], 1), 0)</f>
        <v>0</v>
      </c>
      <c r="I6" s="41">
        <f>IF(MatrizDeAdyacencia!I6=1, SUMIFS(tblEnlaces[ValorOperativo (peso)], tblEnlaces[Nodo Origen], $C6, tblEnlaces[Nodo Destino], I$3, tblEnlaces[Activo], 1), 0)</f>
        <v>0</v>
      </c>
      <c r="J6" s="41">
        <f>IF(MatrizDeAdyacencia!J6=1, SUMIFS(tblEnlaces[ValorOperativo (peso)], tblEnlaces[Nodo Origen], $C6, tblEnlaces[Nodo Destino], J$3, tblEnlaces[Activo], 1), 0)</f>
        <v>17</v>
      </c>
      <c r="K6" s="41">
        <f>IF(MatrizDeAdyacencia!K6=1, SUMIFS(tblEnlaces[ValorOperativo (peso)], tblEnlaces[Nodo Origen], $C6, tblEnlaces[Nodo Destino], K$3, tblEnlaces[Activo], 1), 0)</f>
        <v>19</v>
      </c>
      <c r="L6" s="41">
        <f>IF(MatrizDeAdyacencia!L6=1, SUMIFS(tblEnlaces[ValorOperativo (peso)], tblEnlaces[Nodo Origen], $C6, tblEnlaces[Nodo Destino], L$3, tblEnlaces[Activo], 1), 0)</f>
        <v>15</v>
      </c>
      <c r="M6" s="41">
        <f>IF(MatrizDeAdyacencia!M6=1, SUMIFS(tblEnlaces[ValorOperativo (peso)], tblEnlaces[Nodo Origen], $C6, tblEnlaces[Nodo Destino], M$3, tblEnlaces[Activo], 1), 0)</f>
        <v>0</v>
      </c>
      <c r="N6" s="41">
        <f>IF(MatrizDeAdyacencia!N6=1, SUMIFS(tblEnlaces[ValorOperativo (peso)], tblEnlaces[Nodo Origen], $C6, tblEnlaces[Nodo Destino], N$3, tblEnlaces[Activo], 1), 0)</f>
        <v>0</v>
      </c>
      <c r="O6" s="41">
        <f>IF(MatrizDeAdyacencia!O6=1, SUMIFS(tblEnlaces[ValorOperativo (peso)], tblEnlaces[Nodo Origen], $C6, tblEnlaces[Nodo Destino], O$3, tblEnlaces[Activo], 1), 0)</f>
        <v>0</v>
      </c>
      <c r="P6" s="41">
        <f>IF(MatrizDeAdyacencia!P6=1, SUMIFS(tblEnlaces[ValorOperativo (peso)], tblEnlaces[Nodo Origen], $C6, tblEnlaces[Nodo Destino], P$3, tblEnlaces[Activo], 1), 0)</f>
        <v>0</v>
      </c>
      <c r="Q6" s="41">
        <f>IF(MatrizDeAdyacencia!Q6=1, SUMIFS(tblEnlaces[ValorOperativo (peso)], tblEnlaces[Nodo Origen], $C6, tblEnlaces[Nodo Destino], Q$3, tblEnlaces[Activo], 1), 0)</f>
        <v>0</v>
      </c>
      <c r="R6" s="41">
        <f>IF(MatrizDeAdyacencia!R6=1, SUMIFS(tblEnlaces[ValorOperativo (peso)], tblEnlaces[Nodo Origen], $C6, tblEnlaces[Nodo Destino], R$3, tblEnlaces[Activo], 1), 0)</f>
        <v>0</v>
      </c>
      <c r="S6" s="41">
        <f>IF(MatrizDeAdyacencia!S6=1, SUMIFS(tblEnlaces[ValorOperativo (peso)], tblEnlaces[Nodo Origen], $C6, tblEnlaces[Nodo Destino], S$3, tblEnlaces[Activo], 1), 0)</f>
        <v>0</v>
      </c>
      <c r="T6" s="41">
        <f>IF(MatrizDeAdyacencia!T6=1, SUMIFS(tblEnlaces[ValorOperativo (peso)], tblEnlaces[Nodo Origen], $C6, tblEnlaces[Nodo Destino], T$3, tblEnlaces[Activo], 1), 0)</f>
        <v>0</v>
      </c>
      <c r="U6" s="41">
        <f>IF(MatrizDeAdyacencia!U6=1, SUMIFS(tblEnlaces[ValorOperativo (peso)], tblEnlaces[Nodo Origen], $C6, tblEnlaces[Nodo Destino], U$3, tblEnlaces[Activo], 1), 0)</f>
        <v>0</v>
      </c>
      <c r="V6" s="42">
        <f>IF(MatrizDeAdyacencia!V6=1, SUMIFS(tblEnlaces[ValorOperativo (peso)], tblEnlaces[Nodo Origen], $C6, tblEnlaces[Nodo Destino], V$3, tblEnlaces[Activo], 1), 0)</f>
        <v>0</v>
      </c>
      <c r="Y6" s="34" t="s">
        <v>58</v>
      </c>
      <c r="Z6" s="34">
        <v>2</v>
      </c>
      <c r="AA6" s="34">
        <v>4</v>
      </c>
      <c r="AB6" s="34">
        <v>2</v>
      </c>
      <c r="AC6" s="34">
        <v>2</v>
      </c>
      <c r="AD6" s="46"/>
      <c r="AF6"/>
      <c r="AG6"/>
      <c r="AH6"/>
      <c r="AI6"/>
      <c r="AJ6"/>
      <c r="AK6"/>
      <c r="AL6"/>
      <c r="AM6"/>
      <c r="AN6"/>
      <c r="AO6"/>
      <c r="AP6"/>
    </row>
    <row r="7" spans="2:42" ht="17.25" customHeight="1" x14ac:dyDescent="0.25">
      <c r="B7" s="15" t="str">
        <f>VLOOKUP(tblMatrizPonderadaValorOperativo[[#This Row],[NodoOrigen \ NodoDestino]],tblNodos[#All],2,FALSE)</f>
        <v>Autofinanciación lícita / microfinanciación</v>
      </c>
      <c r="C7" s="6" t="s">
        <v>53</v>
      </c>
      <c r="D7" s="41">
        <f>IF(MatrizDeAdyacencia!D7=1, SUMIFS(tblEnlaces[ValorOperativo (peso)], tblEnlaces[Nodo Origen], $C7, tblEnlaces[Nodo Destino], D$3, tblEnlaces[Activo], 1), 0)</f>
        <v>0</v>
      </c>
      <c r="E7" s="41">
        <f>IF(MatrizDeAdyacencia!E7=1, SUMIFS(tblEnlaces[ValorOperativo (peso)], tblEnlaces[Nodo Origen], $C7, tblEnlaces[Nodo Destino], E$3, tblEnlaces[Activo], 1), 0)</f>
        <v>0</v>
      </c>
      <c r="F7" s="41">
        <f>IF(MatrizDeAdyacencia!F7=1, SUMIFS(tblEnlaces[ValorOperativo (peso)], tblEnlaces[Nodo Origen], $C7, tblEnlaces[Nodo Destino], F$3, tblEnlaces[Activo], 1), 0)</f>
        <v>0</v>
      </c>
      <c r="G7" s="41">
        <f>IF(MatrizDeAdyacencia!G7=1, SUMIFS(tblEnlaces[ValorOperativo (peso)], tblEnlaces[Nodo Origen], $C7, tblEnlaces[Nodo Destino], G$3, tblEnlaces[Activo], 1), 0)</f>
        <v>0</v>
      </c>
      <c r="H7" s="41">
        <f>IF(MatrizDeAdyacencia!H7=1, SUMIFS(tblEnlaces[ValorOperativo (peso)], tblEnlaces[Nodo Origen], $C7, tblEnlaces[Nodo Destino], H$3, tblEnlaces[Activo], 1), 0)</f>
        <v>0</v>
      </c>
      <c r="I7" s="41">
        <f>IF(MatrizDeAdyacencia!I7=1, SUMIFS(tblEnlaces[ValorOperativo (peso)], tblEnlaces[Nodo Origen], $C7, tblEnlaces[Nodo Destino], I$3, tblEnlaces[Activo], 1), 0)</f>
        <v>0</v>
      </c>
      <c r="J7" s="41">
        <f>IF(MatrizDeAdyacencia!J7=1, SUMIFS(tblEnlaces[ValorOperativo (peso)], tblEnlaces[Nodo Origen], $C7, tblEnlaces[Nodo Destino], J$3, tblEnlaces[Activo], 1), 0)</f>
        <v>0</v>
      </c>
      <c r="K7" s="41">
        <f>IF(MatrizDeAdyacencia!K7=1, SUMIFS(tblEnlaces[ValorOperativo (peso)], tblEnlaces[Nodo Origen], $C7, tblEnlaces[Nodo Destino], K$3, tblEnlaces[Activo], 1), 0)</f>
        <v>0</v>
      </c>
      <c r="L7" s="41">
        <f>IF(MatrizDeAdyacencia!L7=1, SUMIFS(tblEnlaces[ValorOperativo (peso)], tblEnlaces[Nodo Origen], $C7, tblEnlaces[Nodo Destino], L$3, tblEnlaces[Activo], 1), 0)</f>
        <v>0</v>
      </c>
      <c r="M7" s="41">
        <f>IF(MatrizDeAdyacencia!M7=1, SUMIFS(tblEnlaces[ValorOperativo (peso)], tblEnlaces[Nodo Origen], $C7, tblEnlaces[Nodo Destino], M$3, tblEnlaces[Activo], 1), 0)</f>
        <v>14</v>
      </c>
      <c r="N7" s="41">
        <f>IF(MatrizDeAdyacencia!N7=1, SUMIFS(tblEnlaces[ValorOperativo (peso)], tblEnlaces[Nodo Origen], $C7, tblEnlaces[Nodo Destino], N$3, tblEnlaces[Activo], 1), 0)</f>
        <v>13</v>
      </c>
      <c r="O7" s="41">
        <f>IF(MatrizDeAdyacencia!O7=1, SUMIFS(tblEnlaces[ValorOperativo (peso)], tblEnlaces[Nodo Origen], $C7, tblEnlaces[Nodo Destino], O$3, tblEnlaces[Activo], 1), 0)</f>
        <v>12</v>
      </c>
      <c r="P7" s="41">
        <f>IF(MatrizDeAdyacencia!P7=1, SUMIFS(tblEnlaces[ValorOperativo (peso)], tblEnlaces[Nodo Origen], $C7, tblEnlaces[Nodo Destino], P$3, tblEnlaces[Activo], 1), 0)</f>
        <v>10</v>
      </c>
      <c r="Q7" s="41">
        <f>IF(MatrizDeAdyacencia!Q7=1, SUMIFS(tblEnlaces[ValorOperativo (peso)], tblEnlaces[Nodo Origen], $C7, tblEnlaces[Nodo Destino], Q$3, tblEnlaces[Activo], 1), 0)</f>
        <v>0</v>
      </c>
      <c r="R7" s="41">
        <f>IF(MatrizDeAdyacencia!R7=1, SUMIFS(tblEnlaces[ValorOperativo (peso)], tblEnlaces[Nodo Origen], $C7, tblEnlaces[Nodo Destino], R$3, tblEnlaces[Activo], 1), 0)</f>
        <v>0</v>
      </c>
      <c r="S7" s="41">
        <f>IF(MatrizDeAdyacencia!S7=1, SUMIFS(tblEnlaces[ValorOperativo (peso)], tblEnlaces[Nodo Origen], $C7, tblEnlaces[Nodo Destino], S$3, tblEnlaces[Activo], 1), 0)</f>
        <v>0</v>
      </c>
      <c r="T7" s="41">
        <f>IF(MatrizDeAdyacencia!T7=1, SUMIFS(tblEnlaces[ValorOperativo (peso)], tblEnlaces[Nodo Origen], $C7, tblEnlaces[Nodo Destino], T$3, tblEnlaces[Activo], 1), 0)</f>
        <v>0</v>
      </c>
      <c r="U7" s="41">
        <f>IF(MatrizDeAdyacencia!U7=1, SUMIFS(tblEnlaces[ValorOperativo (peso)], tblEnlaces[Nodo Origen], $C7, tblEnlaces[Nodo Destino], U$3, tblEnlaces[Activo], 1), 0)</f>
        <v>0</v>
      </c>
      <c r="V7" s="42">
        <f>IF(MatrizDeAdyacencia!V7=1, SUMIFS(tblEnlaces[ValorOperativo (peso)], tblEnlaces[Nodo Origen], $C7, tblEnlaces[Nodo Destino], V$3, tblEnlaces[Activo], 1), 0)</f>
        <v>0</v>
      </c>
      <c r="Y7" s="34" t="s">
        <v>32</v>
      </c>
      <c r="Z7" s="34">
        <v>3</v>
      </c>
      <c r="AA7" s="34">
        <v>3</v>
      </c>
      <c r="AB7" s="34">
        <v>3</v>
      </c>
      <c r="AC7" s="34">
        <v>3</v>
      </c>
      <c r="AD7" s="46"/>
      <c r="AF7"/>
      <c r="AG7"/>
      <c r="AH7"/>
      <c r="AI7"/>
      <c r="AJ7"/>
      <c r="AK7"/>
      <c r="AL7"/>
      <c r="AM7"/>
      <c r="AN7"/>
      <c r="AO7"/>
      <c r="AP7"/>
    </row>
    <row r="8" spans="2:42" ht="17.25" customHeight="1" x14ac:dyDescent="0.25">
      <c r="B8" s="15" t="str">
        <f>VLOOKUP(tblMatrizPonderadaValorOperativo[[#This Row],[NodoOrigen \ NodoDestino]],tblNodos[#All],2,FALSE)</f>
        <v>Actividades económicas formales / negocios</v>
      </c>
      <c r="C8" s="6" t="s">
        <v>60</v>
      </c>
      <c r="D8" s="41">
        <f>IF(MatrizDeAdyacencia!D8=1, SUMIFS(tblEnlaces[ValorOperativo (peso)], tblEnlaces[Nodo Origen], $C8, tblEnlaces[Nodo Destino], D$3, tblEnlaces[Activo], 1), 0)</f>
        <v>0</v>
      </c>
      <c r="E8" s="41">
        <f>IF(MatrizDeAdyacencia!E8=1, SUMIFS(tblEnlaces[ValorOperativo (peso)], tblEnlaces[Nodo Origen], $C8, tblEnlaces[Nodo Destino], E$3, tblEnlaces[Activo], 1), 0)</f>
        <v>0</v>
      </c>
      <c r="F8" s="41">
        <f>IF(MatrizDeAdyacencia!F8=1, SUMIFS(tblEnlaces[ValorOperativo (peso)], tblEnlaces[Nodo Origen], $C8, tblEnlaces[Nodo Destino], F$3, tblEnlaces[Activo], 1), 0)</f>
        <v>0</v>
      </c>
      <c r="G8" s="41">
        <f>IF(MatrizDeAdyacencia!G8=1, SUMIFS(tblEnlaces[ValorOperativo (peso)], tblEnlaces[Nodo Origen], $C8, tblEnlaces[Nodo Destino], G$3, tblEnlaces[Activo], 1), 0)</f>
        <v>0</v>
      </c>
      <c r="H8" s="41">
        <f>IF(MatrizDeAdyacencia!H8=1, SUMIFS(tblEnlaces[ValorOperativo (peso)], tblEnlaces[Nodo Origen], $C8, tblEnlaces[Nodo Destino], H$3, tblEnlaces[Activo], 1), 0)</f>
        <v>0</v>
      </c>
      <c r="I8" s="41">
        <f>IF(MatrizDeAdyacencia!I8=1, SUMIFS(tblEnlaces[ValorOperativo (peso)], tblEnlaces[Nodo Origen], $C8, tblEnlaces[Nodo Destino], I$3, tblEnlaces[Activo], 1), 0)</f>
        <v>0</v>
      </c>
      <c r="J8" s="41">
        <f>IF(MatrizDeAdyacencia!J8=1, SUMIFS(tblEnlaces[ValorOperativo (peso)], tblEnlaces[Nodo Origen], $C8, tblEnlaces[Nodo Destino], J$3, tblEnlaces[Activo], 1), 0)</f>
        <v>16</v>
      </c>
      <c r="K8" s="41">
        <f>IF(MatrizDeAdyacencia!K8=1, SUMIFS(tblEnlaces[ValorOperativo (peso)], tblEnlaces[Nodo Origen], $C8, tblEnlaces[Nodo Destino], K$3, tblEnlaces[Activo], 1), 0)</f>
        <v>0</v>
      </c>
      <c r="L8" s="41">
        <f>IF(MatrizDeAdyacencia!L8=1, SUMIFS(tblEnlaces[ValorOperativo (peso)], tblEnlaces[Nodo Origen], $C8, tblEnlaces[Nodo Destino], L$3, tblEnlaces[Activo], 1), 0)</f>
        <v>0</v>
      </c>
      <c r="M8" s="41">
        <f>IF(MatrizDeAdyacencia!M8=1, SUMIFS(tblEnlaces[ValorOperativo (peso)], tblEnlaces[Nodo Origen], $C8, tblEnlaces[Nodo Destino], M$3, tblEnlaces[Activo], 1), 0)</f>
        <v>0</v>
      </c>
      <c r="N8" s="41">
        <f>IF(MatrizDeAdyacencia!N8=1, SUMIFS(tblEnlaces[ValorOperativo (peso)], tblEnlaces[Nodo Origen], $C8, tblEnlaces[Nodo Destino], N$3, tblEnlaces[Activo], 1), 0)</f>
        <v>13</v>
      </c>
      <c r="O8" s="41">
        <f>IF(MatrizDeAdyacencia!O8=1, SUMIFS(tblEnlaces[ValorOperativo (peso)], tblEnlaces[Nodo Origen], $C8, tblEnlaces[Nodo Destino], O$3, tblEnlaces[Activo], 1), 0)</f>
        <v>14</v>
      </c>
      <c r="P8" s="41">
        <f>IF(MatrizDeAdyacencia!P8=1, SUMIFS(tblEnlaces[ValorOperativo (peso)], tblEnlaces[Nodo Origen], $C8, tblEnlaces[Nodo Destino], P$3, tblEnlaces[Activo], 1), 0)</f>
        <v>0</v>
      </c>
      <c r="Q8" s="41">
        <f>IF(MatrizDeAdyacencia!Q8=1, SUMIFS(tblEnlaces[ValorOperativo (peso)], tblEnlaces[Nodo Origen], $C8, tblEnlaces[Nodo Destino], Q$3, tblEnlaces[Activo], 1), 0)</f>
        <v>0</v>
      </c>
      <c r="R8" s="41">
        <f>IF(MatrizDeAdyacencia!R8=1, SUMIFS(tblEnlaces[ValorOperativo (peso)], tblEnlaces[Nodo Origen], $C8, tblEnlaces[Nodo Destino], R$3, tblEnlaces[Activo], 1), 0)</f>
        <v>0</v>
      </c>
      <c r="S8" s="41">
        <f>IF(MatrizDeAdyacencia!S8=1, SUMIFS(tblEnlaces[ValorOperativo (peso)], tblEnlaces[Nodo Origen], $C8, tblEnlaces[Nodo Destino], S$3, tblEnlaces[Activo], 1), 0)</f>
        <v>0</v>
      </c>
      <c r="T8" s="41">
        <f>IF(MatrizDeAdyacencia!T8=1, SUMIFS(tblEnlaces[ValorOperativo (peso)], tblEnlaces[Nodo Origen], $C8, tblEnlaces[Nodo Destino], T$3, tblEnlaces[Activo], 1), 0)</f>
        <v>0</v>
      </c>
      <c r="U8" s="41">
        <f>IF(MatrizDeAdyacencia!U8=1, SUMIFS(tblEnlaces[ValorOperativo (peso)], tblEnlaces[Nodo Origen], $C8, tblEnlaces[Nodo Destino], U$3, tblEnlaces[Activo], 1), 0)</f>
        <v>0</v>
      </c>
      <c r="V8" s="42">
        <f>IF(MatrizDeAdyacencia!V8=1, SUMIFS(tblEnlaces[ValorOperativo (peso)], tblEnlaces[Nodo Origen], $C8, tblEnlaces[Nodo Destino], V$3, tblEnlaces[Activo], 1), 0)</f>
        <v>0</v>
      </c>
      <c r="Y8" s="34" t="s">
        <v>71</v>
      </c>
      <c r="Z8" s="34">
        <v>4</v>
      </c>
      <c r="AA8" s="34">
        <v>2</v>
      </c>
      <c r="AB8" s="34">
        <v>4</v>
      </c>
      <c r="AC8" s="34">
        <v>4</v>
      </c>
      <c r="AD8" s="46"/>
      <c r="AF8"/>
      <c r="AG8"/>
      <c r="AH8"/>
      <c r="AI8"/>
      <c r="AJ8"/>
      <c r="AK8"/>
      <c r="AL8"/>
      <c r="AM8"/>
      <c r="AN8"/>
      <c r="AO8"/>
      <c r="AP8"/>
    </row>
    <row r="9" spans="2:42" ht="17.25" customHeight="1" x14ac:dyDescent="0.25">
      <c r="B9" s="15" t="str">
        <f>VLOOKUP(tblMatrizPonderadaValorOperativo[[#This Row],[NodoOrigen \ NodoDestino]],tblNodos[#All],2,FALSE)</f>
        <v>Donaciones / crowdfunding / apoyo online</v>
      </c>
      <c r="C9" s="6" t="s">
        <v>65</v>
      </c>
      <c r="D9" s="41">
        <f>IF(MatrizDeAdyacencia!D9=1, SUMIFS(tblEnlaces[ValorOperativo (peso)], tblEnlaces[Nodo Origen], $C9, tblEnlaces[Nodo Destino], D$3, tblEnlaces[Activo], 1), 0)</f>
        <v>0</v>
      </c>
      <c r="E9" s="41">
        <f>IF(MatrizDeAdyacencia!E9=1, SUMIFS(tblEnlaces[ValorOperativo (peso)], tblEnlaces[Nodo Origen], $C9, tblEnlaces[Nodo Destino], E$3, tblEnlaces[Activo], 1), 0)</f>
        <v>0</v>
      </c>
      <c r="F9" s="41">
        <f>IF(MatrizDeAdyacencia!F9=1, SUMIFS(tblEnlaces[ValorOperativo (peso)], tblEnlaces[Nodo Origen], $C9, tblEnlaces[Nodo Destino], F$3, tblEnlaces[Activo], 1), 0)</f>
        <v>0</v>
      </c>
      <c r="G9" s="41">
        <f>IF(MatrizDeAdyacencia!G9=1, SUMIFS(tblEnlaces[ValorOperativo (peso)], tblEnlaces[Nodo Origen], $C9, tblEnlaces[Nodo Destino], G$3, tblEnlaces[Activo], 1), 0)</f>
        <v>0</v>
      </c>
      <c r="H9" s="41">
        <f>IF(MatrizDeAdyacencia!H9=1, SUMIFS(tblEnlaces[ValorOperativo (peso)], tblEnlaces[Nodo Origen], $C9, tblEnlaces[Nodo Destino], H$3, tblEnlaces[Activo], 1), 0)</f>
        <v>0</v>
      </c>
      <c r="I9" s="41">
        <f>IF(MatrizDeAdyacencia!I9=1, SUMIFS(tblEnlaces[ValorOperativo (peso)], tblEnlaces[Nodo Origen], $C9, tblEnlaces[Nodo Destino], I$3, tblEnlaces[Activo], 1), 0)</f>
        <v>0</v>
      </c>
      <c r="J9" s="41">
        <f>IF(MatrizDeAdyacencia!J9=1, SUMIFS(tblEnlaces[ValorOperativo (peso)], tblEnlaces[Nodo Origen], $C9, tblEnlaces[Nodo Destino], J$3, tblEnlaces[Activo], 1), 0)</f>
        <v>0</v>
      </c>
      <c r="K9" s="41">
        <f>IF(MatrizDeAdyacencia!K9=1, SUMIFS(tblEnlaces[ValorOperativo (peso)], tblEnlaces[Nodo Origen], $C9, tblEnlaces[Nodo Destino], K$3, tblEnlaces[Activo], 1), 0)</f>
        <v>0</v>
      </c>
      <c r="L9" s="41">
        <f>IF(MatrizDeAdyacencia!L9=1, SUMIFS(tblEnlaces[ValorOperativo (peso)], tblEnlaces[Nodo Origen], $C9, tblEnlaces[Nodo Destino], L$3, tblEnlaces[Activo], 1), 0)</f>
        <v>14</v>
      </c>
      <c r="M9" s="41">
        <f>IF(MatrizDeAdyacencia!M9=1, SUMIFS(tblEnlaces[ValorOperativo (peso)], tblEnlaces[Nodo Origen], $C9, tblEnlaces[Nodo Destino], M$3, tblEnlaces[Activo], 1), 0)</f>
        <v>0</v>
      </c>
      <c r="N9" s="41">
        <f>IF(MatrizDeAdyacencia!N9=1, SUMIFS(tblEnlaces[ValorOperativo (peso)], tblEnlaces[Nodo Origen], $C9, tblEnlaces[Nodo Destino], N$3, tblEnlaces[Activo], 1), 0)</f>
        <v>13</v>
      </c>
      <c r="O9" s="41">
        <f>IF(MatrizDeAdyacencia!O9=1, SUMIFS(tblEnlaces[ValorOperativo (peso)], tblEnlaces[Nodo Origen], $C9, tblEnlaces[Nodo Destino], O$3, tblEnlaces[Activo], 1), 0)</f>
        <v>0</v>
      </c>
      <c r="P9" s="41">
        <f>IF(MatrizDeAdyacencia!P9=1, SUMIFS(tblEnlaces[ValorOperativo (peso)], tblEnlaces[Nodo Origen], $C9, tblEnlaces[Nodo Destino], P$3, tblEnlaces[Activo], 1), 0)</f>
        <v>0</v>
      </c>
      <c r="Q9" s="41">
        <f>IF(MatrizDeAdyacencia!Q9=1, SUMIFS(tblEnlaces[ValorOperativo (peso)], tblEnlaces[Nodo Origen], $C9, tblEnlaces[Nodo Destino], Q$3, tblEnlaces[Activo], 1), 0)</f>
        <v>11</v>
      </c>
      <c r="R9" s="41">
        <f>IF(MatrizDeAdyacencia!R9=1, SUMIFS(tblEnlaces[ValorOperativo (peso)], tblEnlaces[Nodo Origen], $C9, tblEnlaces[Nodo Destino], R$3, tblEnlaces[Activo], 1), 0)</f>
        <v>12</v>
      </c>
      <c r="S9" s="41">
        <f>IF(MatrizDeAdyacencia!S9=1, SUMIFS(tblEnlaces[ValorOperativo (peso)], tblEnlaces[Nodo Origen], $C9, tblEnlaces[Nodo Destino], S$3, tblEnlaces[Activo], 1), 0)</f>
        <v>0</v>
      </c>
      <c r="T9" s="41">
        <f>IF(MatrizDeAdyacencia!T9=1, SUMIFS(tblEnlaces[ValorOperativo (peso)], tblEnlaces[Nodo Origen], $C9, tblEnlaces[Nodo Destino], T$3, tblEnlaces[Activo], 1), 0)</f>
        <v>0</v>
      </c>
      <c r="U9" s="41">
        <f>IF(MatrizDeAdyacencia!U9=1, SUMIFS(tblEnlaces[ValorOperativo (peso)], tblEnlaces[Nodo Origen], $C9, tblEnlaces[Nodo Destino], U$3, tblEnlaces[Activo], 1), 0)</f>
        <v>0</v>
      </c>
      <c r="V9" s="42">
        <f>IF(MatrizDeAdyacencia!V9=1, SUMIFS(tblEnlaces[ValorOperativo (peso)], tblEnlaces[Nodo Origen], $C9, tblEnlaces[Nodo Destino], V$3, tblEnlaces[Activo], 1), 0)</f>
        <v>0</v>
      </c>
      <c r="Y9" s="34" t="s">
        <v>33</v>
      </c>
      <c r="Z9" s="34">
        <v>5</v>
      </c>
      <c r="AA9" s="34">
        <v>1</v>
      </c>
      <c r="AB9" s="34">
        <v>5</v>
      </c>
      <c r="AC9" s="34">
        <v>5</v>
      </c>
      <c r="AD9" s="46"/>
      <c r="AF9"/>
      <c r="AG9"/>
      <c r="AH9"/>
      <c r="AI9"/>
      <c r="AJ9"/>
      <c r="AK9"/>
      <c r="AL9"/>
      <c r="AM9"/>
      <c r="AN9"/>
      <c r="AO9"/>
      <c r="AP9"/>
    </row>
    <row r="10" spans="2:42" ht="17.25" customHeight="1" x14ac:dyDescent="0.25">
      <c r="B10" s="15" t="str">
        <f>VLOOKUP(tblMatrizPonderadaValorOperativo[[#This Row],[NodoOrigen \ NodoDestino]],tblNodos[#All],2,FALSE)</f>
        <v>Efectivo</v>
      </c>
      <c r="C10" s="6" t="s">
        <v>28</v>
      </c>
      <c r="D10" s="41">
        <f>IF(MatrizDeAdyacencia!D10=1, SUMIFS(tblEnlaces[ValorOperativo (peso)], tblEnlaces[Nodo Origen], $C10, tblEnlaces[Nodo Destino], D$3, tblEnlaces[Activo], 1), 0)</f>
        <v>0</v>
      </c>
      <c r="E10" s="41">
        <f>IF(MatrizDeAdyacencia!E10=1, SUMIFS(tblEnlaces[ValorOperativo (peso)], tblEnlaces[Nodo Origen], $C10, tblEnlaces[Nodo Destino], E$3, tblEnlaces[Activo], 1), 0)</f>
        <v>0</v>
      </c>
      <c r="F10" s="41">
        <f>IF(MatrizDeAdyacencia!F10=1, SUMIFS(tblEnlaces[ValorOperativo (peso)], tblEnlaces[Nodo Origen], $C10, tblEnlaces[Nodo Destino], F$3, tblEnlaces[Activo], 1), 0)</f>
        <v>0</v>
      </c>
      <c r="G10" s="41">
        <f>IF(MatrizDeAdyacencia!G10=1, SUMIFS(tblEnlaces[ValorOperativo (peso)], tblEnlaces[Nodo Origen], $C10, tblEnlaces[Nodo Destino], G$3, tblEnlaces[Activo], 1), 0)</f>
        <v>0</v>
      </c>
      <c r="H10" s="41">
        <f>IF(MatrizDeAdyacencia!H10=1, SUMIFS(tblEnlaces[ValorOperativo (peso)], tblEnlaces[Nodo Origen], $C10, tblEnlaces[Nodo Destino], H$3, tblEnlaces[Activo], 1), 0)</f>
        <v>0</v>
      </c>
      <c r="I10" s="41">
        <f>IF(MatrizDeAdyacencia!I10=1, SUMIFS(tblEnlaces[ValorOperativo (peso)], tblEnlaces[Nodo Origen], $C10, tblEnlaces[Nodo Destino], I$3, tblEnlaces[Activo], 1), 0)</f>
        <v>0</v>
      </c>
      <c r="J10" s="41">
        <f>IF(MatrizDeAdyacencia!J10=1, SUMIFS(tblEnlaces[ValorOperativo (peso)], tblEnlaces[Nodo Origen], $C10, tblEnlaces[Nodo Destino], J$3, tblEnlaces[Activo], 1), 0)</f>
        <v>0</v>
      </c>
      <c r="K10" s="41">
        <f>IF(MatrizDeAdyacencia!K10=1, SUMIFS(tblEnlaces[ValorOperativo (peso)], tblEnlaces[Nodo Origen], $C10, tblEnlaces[Nodo Destino], K$3, tblEnlaces[Activo], 1), 0)</f>
        <v>18</v>
      </c>
      <c r="L10" s="41">
        <f>IF(MatrizDeAdyacencia!L10=1, SUMIFS(tblEnlaces[ValorOperativo (peso)], tblEnlaces[Nodo Origen], $C10, tblEnlaces[Nodo Destino], L$3, tblEnlaces[Activo], 1), 0)</f>
        <v>0</v>
      </c>
      <c r="M10" s="41">
        <f>IF(MatrizDeAdyacencia!M10=1, SUMIFS(tblEnlaces[ValorOperativo (peso)], tblEnlaces[Nodo Origen], $C10, tblEnlaces[Nodo Destino], M$3, tblEnlaces[Activo], 1), 0)</f>
        <v>13</v>
      </c>
      <c r="N10" s="41">
        <f>IF(MatrizDeAdyacencia!N10=1, SUMIFS(tblEnlaces[ValorOperativo (peso)], tblEnlaces[Nodo Origen], $C10, tblEnlaces[Nodo Destino], N$3, tblEnlaces[Activo], 1), 0)</f>
        <v>0</v>
      </c>
      <c r="O10" s="41">
        <f>IF(MatrizDeAdyacencia!O10=1, SUMIFS(tblEnlaces[ValorOperativo (peso)], tblEnlaces[Nodo Origen], $C10, tblEnlaces[Nodo Destino], O$3, tblEnlaces[Activo], 1), 0)</f>
        <v>0</v>
      </c>
      <c r="P10" s="41">
        <f>IF(MatrizDeAdyacencia!P10=1, SUMIFS(tblEnlaces[ValorOperativo (peso)], tblEnlaces[Nodo Origen], $C10, tblEnlaces[Nodo Destino], P$3, tblEnlaces[Activo], 1), 0)</f>
        <v>0</v>
      </c>
      <c r="Q10" s="41">
        <f>IF(MatrizDeAdyacencia!Q10=1, SUMIFS(tblEnlaces[ValorOperativo (peso)], tblEnlaces[Nodo Origen], $C10, tblEnlaces[Nodo Destino], Q$3, tblEnlaces[Activo], 1), 0)</f>
        <v>0</v>
      </c>
      <c r="R10" s="41">
        <f>IF(MatrizDeAdyacencia!R10=1, SUMIFS(tblEnlaces[ValorOperativo (peso)], tblEnlaces[Nodo Origen], $C10, tblEnlaces[Nodo Destino], R$3, tblEnlaces[Activo], 1), 0)</f>
        <v>12</v>
      </c>
      <c r="S10" s="41">
        <f>IF(MatrizDeAdyacencia!S10=1, SUMIFS(tblEnlaces[ValorOperativo (peso)], tblEnlaces[Nodo Origen], $C10, tblEnlaces[Nodo Destino], S$3, tblEnlaces[Activo], 1), 0)</f>
        <v>0</v>
      </c>
      <c r="T10" s="41">
        <f>IF(MatrizDeAdyacencia!T10=1, SUMIFS(tblEnlaces[ValorOperativo (peso)], tblEnlaces[Nodo Origen], $C10, tblEnlaces[Nodo Destino], T$3, tblEnlaces[Activo], 1), 0)</f>
        <v>0</v>
      </c>
      <c r="U10" s="41">
        <f>IF(MatrizDeAdyacencia!U10=1, SUMIFS(tblEnlaces[ValorOperativo (peso)], tblEnlaces[Nodo Origen], $C10, tblEnlaces[Nodo Destino], U$3, tblEnlaces[Activo], 1), 0)</f>
        <v>0</v>
      </c>
      <c r="V10" s="42">
        <f>IF(MatrizDeAdyacencia!V10=1, SUMIFS(tblEnlaces[ValorOperativo (peso)], tblEnlaces[Nodo Origen], $C10, tblEnlaces[Nodo Destino], V$3, tblEnlaces[Activo], 1), 0)</f>
        <v>15</v>
      </c>
      <c r="Y10" s="34"/>
      <c r="Z10" s="34"/>
      <c r="AA10" s="34"/>
      <c r="AB10" s="34"/>
      <c r="AC10" s="34"/>
      <c r="AD10" s="34"/>
      <c r="AF10"/>
      <c r="AG10"/>
      <c r="AH10"/>
      <c r="AI10"/>
      <c r="AJ10"/>
      <c r="AK10"/>
      <c r="AL10"/>
      <c r="AM10"/>
      <c r="AN10"/>
      <c r="AO10"/>
      <c r="AP10"/>
    </row>
    <row r="11" spans="2:42" ht="17.25" customHeight="1" x14ac:dyDescent="0.25">
      <c r="B11" s="15" t="str">
        <f>VLOOKUP(tblMatrizPonderadaValorOperativo[[#This Row],[NodoOrigen \ NodoDestino]],tblNodos[#All],2,FALSE)</f>
        <v>Hawala / HOSSP</v>
      </c>
      <c r="C11" s="6" t="s">
        <v>41</v>
      </c>
      <c r="D11" s="41">
        <f>IF(MatrizDeAdyacencia!D11=1, SUMIFS(tblEnlaces[ValorOperativo (peso)], tblEnlaces[Nodo Origen], $C11, tblEnlaces[Nodo Destino], D$3, tblEnlaces[Activo], 1), 0)</f>
        <v>0</v>
      </c>
      <c r="E11" s="41">
        <f>IF(MatrizDeAdyacencia!E11=1, SUMIFS(tblEnlaces[ValorOperativo (peso)], tblEnlaces[Nodo Origen], $C11, tblEnlaces[Nodo Destino], E$3, tblEnlaces[Activo], 1), 0)</f>
        <v>0</v>
      </c>
      <c r="F11" s="41">
        <f>IF(MatrizDeAdyacencia!F11=1, SUMIFS(tblEnlaces[ValorOperativo (peso)], tblEnlaces[Nodo Origen], $C11, tblEnlaces[Nodo Destino], F$3, tblEnlaces[Activo], 1), 0)</f>
        <v>0</v>
      </c>
      <c r="G11" s="41">
        <f>IF(MatrizDeAdyacencia!G11=1, SUMIFS(tblEnlaces[ValorOperativo (peso)], tblEnlaces[Nodo Origen], $C11, tblEnlaces[Nodo Destino], G$3, tblEnlaces[Activo], 1), 0)</f>
        <v>0</v>
      </c>
      <c r="H11" s="41">
        <f>IF(MatrizDeAdyacencia!H11=1, SUMIFS(tblEnlaces[ValorOperativo (peso)], tblEnlaces[Nodo Origen], $C11, tblEnlaces[Nodo Destino], H$3, tblEnlaces[Activo], 1), 0)</f>
        <v>0</v>
      </c>
      <c r="I11" s="41">
        <f>IF(MatrizDeAdyacencia!I11=1, SUMIFS(tblEnlaces[ValorOperativo (peso)], tblEnlaces[Nodo Origen], $C11, tblEnlaces[Nodo Destino], I$3, tblEnlaces[Activo], 1), 0)</f>
        <v>0</v>
      </c>
      <c r="J11" s="41">
        <f>IF(MatrizDeAdyacencia!J11=1, SUMIFS(tblEnlaces[ValorOperativo (peso)], tblEnlaces[Nodo Origen], $C11, tblEnlaces[Nodo Destino], J$3, tblEnlaces[Activo], 1), 0)</f>
        <v>0</v>
      </c>
      <c r="K11" s="41">
        <f>IF(MatrizDeAdyacencia!K11=1, SUMIFS(tblEnlaces[ValorOperativo (peso)], tblEnlaces[Nodo Origen], $C11, tblEnlaces[Nodo Destino], K$3, tblEnlaces[Activo], 1), 0)</f>
        <v>0</v>
      </c>
      <c r="L11" s="41">
        <f>IF(MatrizDeAdyacencia!L11=1, SUMIFS(tblEnlaces[ValorOperativo (peso)], tblEnlaces[Nodo Origen], $C11, tblEnlaces[Nodo Destino], L$3, tblEnlaces[Activo], 1), 0)</f>
        <v>0</v>
      </c>
      <c r="M11" s="41">
        <f>IF(MatrizDeAdyacencia!M11=1, SUMIFS(tblEnlaces[ValorOperativo (peso)], tblEnlaces[Nodo Origen], $C11, tblEnlaces[Nodo Destino], M$3, tblEnlaces[Activo], 1), 0)</f>
        <v>0</v>
      </c>
      <c r="N11" s="41">
        <f>IF(MatrizDeAdyacencia!N11=1, SUMIFS(tblEnlaces[ValorOperativo (peso)], tblEnlaces[Nodo Origen], $C11, tblEnlaces[Nodo Destino], N$3, tblEnlaces[Activo], 1), 0)</f>
        <v>0</v>
      </c>
      <c r="O11" s="41">
        <f>IF(MatrizDeAdyacencia!O11=1, SUMIFS(tblEnlaces[ValorOperativo (peso)], tblEnlaces[Nodo Origen], $C11, tblEnlaces[Nodo Destino], O$3, tblEnlaces[Activo], 1), 0)</f>
        <v>0</v>
      </c>
      <c r="P11" s="41">
        <f>IF(MatrizDeAdyacencia!P11=1, SUMIFS(tblEnlaces[ValorOperativo (peso)], tblEnlaces[Nodo Origen], $C11, tblEnlaces[Nodo Destino], P$3, tblEnlaces[Activo], 1), 0)</f>
        <v>0</v>
      </c>
      <c r="Q11" s="41">
        <f>IF(MatrizDeAdyacencia!Q11=1, SUMIFS(tblEnlaces[ValorOperativo (peso)], tblEnlaces[Nodo Origen], $C11, tblEnlaces[Nodo Destino], Q$3, tblEnlaces[Activo], 1), 0)</f>
        <v>0</v>
      </c>
      <c r="R11" s="41">
        <f>IF(MatrizDeAdyacencia!R11=1, SUMIFS(tblEnlaces[ValorOperativo (peso)], tblEnlaces[Nodo Origen], $C11, tblEnlaces[Nodo Destino], R$3, tblEnlaces[Activo], 1), 0)</f>
        <v>0</v>
      </c>
      <c r="S11" s="41">
        <f>IF(MatrizDeAdyacencia!S11=1, SUMIFS(tblEnlaces[ValorOperativo (peso)], tblEnlaces[Nodo Origen], $C11, tblEnlaces[Nodo Destino], S$3, tblEnlaces[Activo], 1), 0)</f>
        <v>15</v>
      </c>
      <c r="T11" s="41">
        <f>IF(MatrizDeAdyacencia!T11=1, SUMIFS(tblEnlaces[ValorOperativo (peso)], tblEnlaces[Nodo Origen], $C11, tblEnlaces[Nodo Destino], T$3, tblEnlaces[Activo], 1), 0)</f>
        <v>19</v>
      </c>
      <c r="U11" s="41">
        <f>IF(MatrizDeAdyacencia!U11=1, SUMIFS(tblEnlaces[ValorOperativo (peso)], tblEnlaces[Nodo Origen], $C11, tblEnlaces[Nodo Destino], U$3, tblEnlaces[Activo], 1), 0)</f>
        <v>0</v>
      </c>
      <c r="V11" s="42">
        <f>IF(MatrizDeAdyacencia!V11=1, SUMIFS(tblEnlaces[ValorOperativo (peso)], tblEnlaces[Nodo Origen], $C11, tblEnlaces[Nodo Destino], V$3, tblEnlaces[Activo], 1), 0)</f>
        <v>17</v>
      </c>
      <c r="Y11" s="48"/>
      <c r="Z11" s="48"/>
      <c r="AA11" s="48"/>
      <c r="AB11" s="48"/>
      <c r="AC11" s="48"/>
      <c r="AD11" s="48"/>
      <c r="AE11" s="39"/>
      <c r="AF11"/>
      <c r="AG11"/>
      <c r="AH11"/>
      <c r="AI11"/>
      <c r="AJ11"/>
      <c r="AK11"/>
      <c r="AL11"/>
      <c r="AM11"/>
      <c r="AN11"/>
      <c r="AO11"/>
      <c r="AP11"/>
    </row>
    <row r="12" spans="2:42" ht="17.25" customHeight="1" x14ac:dyDescent="0.25">
      <c r="B12" s="15" t="str">
        <f>VLOOKUP(tblMatrizPonderadaValorOperativo[[#This Row],[NodoOrigen \ NodoDestino]],tblNodos[#All],2,FALSE)</f>
        <v>MVTS / remesas</v>
      </c>
      <c r="C12" s="6" t="s">
        <v>49</v>
      </c>
      <c r="D12" s="41">
        <f>IF(MatrizDeAdyacencia!D12=1, SUMIFS(tblEnlaces[ValorOperativo (peso)], tblEnlaces[Nodo Origen], $C12, tblEnlaces[Nodo Destino], D$3, tblEnlaces[Activo], 1), 0)</f>
        <v>0</v>
      </c>
      <c r="E12" s="41">
        <f>IF(MatrizDeAdyacencia!E12=1, SUMIFS(tblEnlaces[ValorOperativo (peso)], tblEnlaces[Nodo Origen], $C12, tblEnlaces[Nodo Destino], E$3, tblEnlaces[Activo], 1), 0)</f>
        <v>0</v>
      </c>
      <c r="F12" s="41">
        <f>IF(MatrizDeAdyacencia!F12=1, SUMIFS(tblEnlaces[ValorOperativo (peso)], tblEnlaces[Nodo Origen], $C12, tblEnlaces[Nodo Destino], F$3, tblEnlaces[Activo], 1), 0)</f>
        <v>0</v>
      </c>
      <c r="G12" s="41">
        <f>IF(MatrizDeAdyacencia!G12=1, SUMIFS(tblEnlaces[ValorOperativo (peso)], tblEnlaces[Nodo Origen], $C12, tblEnlaces[Nodo Destino], G$3, tblEnlaces[Activo], 1), 0)</f>
        <v>0</v>
      </c>
      <c r="H12" s="41">
        <f>IF(MatrizDeAdyacencia!H12=1, SUMIFS(tblEnlaces[ValorOperativo (peso)], tblEnlaces[Nodo Origen], $C12, tblEnlaces[Nodo Destino], H$3, tblEnlaces[Activo], 1), 0)</f>
        <v>0</v>
      </c>
      <c r="I12" s="41">
        <f>IF(MatrizDeAdyacencia!I12=1, SUMIFS(tblEnlaces[ValorOperativo (peso)], tblEnlaces[Nodo Origen], $C12, tblEnlaces[Nodo Destino], I$3, tblEnlaces[Activo], 1), 0)</f>
        <v>0</v>
      </c>
      <c r="J12" s="41">
        <f>IF(MatrizDeAdyacencia!J12=1, SUMIFS(tblEnlaces[ValorOperativo (peso)], tblEnlaces[Nodo Origen], $C12, tblEnlaces[Nodo Destino], J$3, tblEnlaces[Activo], 1), 0)</f>
        <v>0</v>
      </c>
      <c r="K12" s="41">
        <f>IF(MatrizDeAdyacencia!K12=1, SUMIFS(tblEnlaces[ValorOperativo (peso)], tblEnlaces[Nodo Origen], $C12, tblEnlaces[Nodo Destino], K$3, tblEnlaces[Activo], 1), 0)</f>
        <v>0</v>
      </c>
      <c r="L12" s="41">
        <f>IF(MatrizDeAdyacencia!L12=1, SUMIFS(tblEnlaces[ValorOperativo (peso)], tblEnlaces[Nodo Origen], $C12, tblEnlaces[Nodo Destino], L$3, tblEnlaces[Activo], 1), 0)</f>
        <v>0</v>
      </c>
      <c r="M12" s="41">
        <f>IF(MatrizDeAdyacencia!M12=1, SUMIFS(tblEnlaces[ValorOperativo (peso)], tblEnlaces[Nodo Origen], $C12, tblEnlaces[Nodo Destino], M$3, tblEnlaces[Activo], 1), 0)</f>
        <v>0</v>
      </c>
      <c r="N12" s="41">
        <f>IF(MatrizDeAdyacencia!N12=1, SUMIFS(tblEnlaces[ValorOperativo (peso)], tblEnlaces[Nodo Origen], $C12, tblEnlaces[Nodo Destino], N$3, tblEnlaces[Activo], 1), 0)</f>
        <v>0</v>
      </c>
      <c r="O12" s="41">
        <f>IF(MatrizDeAdyacencia!O12=1, SUMIFS(tblEnlaces[ValorOperativo (peso)], tblEnlaces[Nodo Origen], $C12, tblEnlaces[Nodo Destino], O$3, tblEnlaces[Activo], 1), 0)</f>
        <v>0</v>
      </c>
      <c r="P12" s="41">
        <f>IF(MatrizDeAdyacencia!P12=1, SUMIFS(tblEnlaces[ValorOperativo (peso)], tblEnlaces[Nodo Origen], $C12, tblEnlaces[Nodo Destino], P$3, tblEnlaces[Activo], 1), 0)</f>
        <v>0</v>
      </c>
      <c r="Q12" s="41">
        <f>IF(MatrizDeAdyacencia!Q12=1, SUMIFS(tblEnlaces[ValorOperativo (peso)], tblEnlaces[Nodo Origen], $C12, tblEnlaces[Nodo Destino], Q$3, tblEnlaces[Activo], 1), 0)</f>
        <v>0</v>
      </c>
      <c r="R12" s="41">
        <f>IF(MatrizDeAdyacencia!R12=1, SUMIFS(tblEnlaces[ValorOperativo (peso)], tblEnlaces[Nodo Origen], $C12, tblEnlaces[Nodo Destino], R$3, tblEnlaces[Activo], 1), 0)</f>
        <v>0</v>
      </c>
      <c r="S12" s="41">
        <f>IF(MatrizDeAdyacencia!S12=1, SUMIFS(tblEnlaces[ValorOperativo (peso)], tblEnlaces[Nodo Origen], $C12, tblEnlaces[Nodo Destino], S$3, tblEnlaces[Activo], 1), 0)</f>
        <v>0</v>
      </c>
      <c r="T12" s="41">
        <f>IF(MatrizDeAdyacencia!T12=1, SUMIFS(tblEnlaces[ValorOperativo (peso)], tblEnlaces[Nodo Origen], $C12, tblEnlaces[Nodo Destino], T$3, tblEnlaces[Activo], 1), 0)</f>
        <v>15</v>
      </c>
      <c r="U12" s="41">
        <f>IF(MatrizDeAdyacencia!U12=1, SUMIFS(tblEnlaces[ValorOperativo (peso)], tblEnlaces[Nodo Origen], $C12, tblEnlaces[Nodo Destino], U$3, tblEnlaces[Activo], 1), 0)</f>
        <v>14</v>
      </c>
      <c r="V12" s="42">
        <f>IF(MatrizDeAdyacencia!V12=1, SUMIFS(tblEnlaces[ValorOperativo (peso)], tblEnlaces[Nodo Origen], $C12, tblEnlaces[Nodo Destino], V$3, tblEnlaces[Activo], 1), 0)</f>
        <v>14</v>
      </c>
      <c r="Y12" s="33" t="s">
        <v>196</v>
      </c>
      <c r="Z12" s="33" t="s">
        <v>17</v>
      </c>
      <c r="AA12" s="33" t="s">
        <v>18</v>
      </c>
      <c r="AB12" s="33" t="s">
        <v>19</v>
      </c>
      <c r="AC12" s="33" t="s">
        <v>20</v>
      </c>
      <c r="AD12" s="33" t="s">
        <v>197</v>
      </c>
      <c r="AF12"/>
      <c r="AG12"/>
      <c r="AH12"/>
      <c r="AI12"/>
      <c r="AJ12"/>
      <c r="AK12"/>
      <c r="AL12"/>
      <c r="AM12"/>
      <c r="AN12"/>
      <c r="AO12"/>
      <c r="AP12"/>
    </row>
    <row r="13" spans="2:42" ht="17.25" customHeight="1" x14ac:dyDescent="0.25">
      <c r="B13" s="15" t="str">
        <f>VLOOKUP(tblMatrizPonderadaValorOperativo[[#This Row],[NodoOrigen \ NodoDestino]],tblNodos[#All],2,FALSE)</f>
        <v>Dinero móvil</v>
      </c>
      <c r="C13" s="6" t="s">
        <v>56</v>
      </c>
      <c r="D13" s="41">
        <f>IF(MatrizDeAdyacencia!D13=1, SUMIFS(tblEnlaces[ValorOperativo (peso)], tblEnlaces[Nodo Origen], $C13, tblEnlaces[Nodo Destino], D$3, tblEnlaces[Activo], 1), 0)</f>
        <v>0</v>
      </c>
      <c r="E13" s="41">
        <f>IF(MatrizDeAdyacencia!E13=1, SUMIFS(tblEnlaces[ValorOperativo (peso)], tblEnlaces[Nodo Origen], $C13, tblEnlaces[Nodo Destino], E$3, tblEnlaces[Activo], 1), 0)</f>
        <v>0</v>
      </c>
      <c r="F13" s="41">
        <f>IF(MatrizDeAdyacencia!F13=1, SUMIFS(tblEnlaces[ValorOperativo (peso)], tblEnlaces[Nodo Origen], $C13, tblEnlaces[Nodo Destino], F$3, tblEnlaces[Activo], 1), 0)</f>
        <v>0</v>
      </c>
      <c r="G13" s="41">
        <f>IF(MatrizDeAdyacencia!G13=1, SUMIFS(tblEnlaces[ValorOperativo (peso)], tblEnlaces[Nodo Origen], $C13, tblEnlaces[Nodo Destino], G$3, tblEnlaces[Activo], 1), 0)</f>
        <v>0</v>
      </c>
      <c r="H13" s="41">
        <f>IF(MatrizDeAdyacencia!H13=1, SUMIFS(tblEnlaces[ValorOperativo (peso)], tblEnlaces[Nodo Origen], $C13, tblEnlaces[Nodo Destino], H$3, tblEnlaces[Activo], 1), 0)</f>
        <v>0</v>
      </c>
      <c r="I13" s="41">
        <f>IF(MatrizDeAdyacencia!I13=1, SUMIFS(tblEnlaces[ValorOperativo (peso)], tblEnlaces[Nodo Origen], $C13, tblEnlaces[Nodo Destino], I$3, tblEnlaces[Activo], 1), 0)</f>
        <v>0</v>
      </c>
      <c r="J13" s="41">
        <f>IF(MatrizDeAdyacencia!J13=1, SUMIFS(tblEnlaces[ValorOperativo (peso)], tblEnlaces[Nodo Origen], $C13, tblEnlaces[Nodo Destino], J$3, tblEnlaces[Activo], 1), 0)</f>
        <v>0</v>
      </c>
      <c r="K13" s="41">
        <f>IF(MatrizDeAdyacencia!K13=1, SUMIFS(tblEnlaces[ValorOperativo (peso)], tblEnlaces[Nodo Origen], $C13, tblEnlaces[Nodo Destino], K$3, tblEnlaces[Activo], 1), 0)</f>
        <v>0</v>
      </c>
      <c r="L13" s="41">
        <f>IF(MatrizDeAdyacencia!L13=1, SUMIFS(tblEnlaces[ValorOperativo (peso)], tblEnlaces[Nodo Origen], $C13, tblEnlaces[Nodo Destino], L$3, tblEnlaces[Activo], 1), 0)</f>
        <v>0</v>
      </c>
      <c r="M13" s="41">
        <f>IF(MatrizDeAdyacencia!M13=1, SUMIFS(tblEnlaces[ValorOperativo (peso)], tblEnlaces[Nodo Origen], $C13, tblEnlaces[Nodo Destino], M$3, tblEnlaces[Activo], 1), 0)</f>
        <v>0</v>
      </c>
      <c r="N13" s="41">
        <f>IF(MatrizDeAdyacencia!N13=1, SUMIFS(tblEnlaces[ValorOperativo (peso)], tblEnlaces[Nodo Origen], $C13, tblEnlaces[Nodo Destino], N$3, tblEnlaces[Activo], 1), 0)</f>
        <v>0</v>
      </c>
      <c r="O13" s="41">
        <f>IF(MatrizDeAdyacencia!O13=1, SUMIFS(tblEnlaces[ValorOperativo (peso)], tblEnlaces[Nodo Origen], $C13, tblEnlaces[Nodo Destino], O$3, tblEnlaces[Activo], 1), 0)</f>
        <v>0</v>
      </c>
      <c r="P13" s="41">
        <f>IF(MatrizDeAdyacencia!P13=1, SUMIFS(tblEnlaces[ValorOperativo (peso)], tblEnlaces[Nodo Origen], $C13, tblEnlaces[Nodo Destino], P$3, tblEnlaces[Activo], 1), 0)</f>
        <v>0</v>
      </c>
      <c r="Q13" s="41">
        <f>IF(MatrizDeAdyacencia!Q13=1, SUMIFS(tblEnlaces[ValorOperativo (peso)], tblEnlaces[Nodo Origen], $C13, tblEnlaces[Nodo Destino], Q$3, tblEnlaces[Activo], 1), 0)</f>
        <v>0</v>
      </c>
      <c r="R13" s="41">
        <f>IF(MatrizDeAdyacencia!R13=1, SUMIFS(tblEnlaces[ValorOperativo (peso)], tblEnlaces[Nodo Origen], $C13, tblEnlaces[Nodo Destino], R$3, tblEnlaces[Activo], 1), 0)</f>
        <v>0</v>
      </c>
      <c r="S13" s="41">
        <f>IF(MatrizDeAdyacencia!S13=1, SUMIFS(tblEnlaces[ValorOperativo (peso)], tblEnlaces[Nodo Origen], $C13, tblEnlaces[Nodo Destino], S$3, tblEnlaces[Activo], 1), 0)</f>
        <v>0</v>
      </c>
      <c r="T13" s="41">
        <f>IF(MatrizDeAdyacencia!T13=1, SUMIFS(tblEnlaces[ValorOperativo (peso)], tblEnlaces[Nodo Origen], $C13, tblEnlaces[Nodo Destino], T$3, tblEnlaces[Activo], 1), 0)</f>
        <v>14</v>
      </c>
      <c r="U13" s="41">
        <f>IF(MatrizDeAdyacencia!U13=1, SUMIFS(tblEnlaces[ValorOperativo (peso)], tblEnlaces[Nodo Origen], $C13, tblEnlaces[Nodo Destino], U$3, tblEnlaces[Activo], 1), 0)</f>
        <v>0</v>
      </c>
      <c r="V13" s="42">
        <f>IF(MatrizDeAdyacencia!V13=1, SUMIFS(tblEnlaces[ValorOperativo (peso)], tblEnlaces[Nodo Origen], $C13, tblEnlaces[Nodo Destino], V$3, tblEnlaces[Activo], 1), 0)</f>
        <v>0</v>
      </c>
      <c r="Y13" s="34" t="s">
        <v>198</v>
      </c>
      <c r="Z13" s="47">
        <v>1</v>
      </c>
      <c r="AA13" s="47">
        <v>1</v>
      </c>
      <c r="AB13" s="47">
        <v>1</v>
      </c>
      <c r="AC13" s="47">
        <v>1</v>
      </c>
      <c r="AD13" s="47">
        <v>4</v>
      </c>
      <c r="AF13"/>
      <c r="AG13"/>
      <c r="AH13"/>
      <c r="AI13"/>
      <c r="AJ13"/>
      <c r="AK13"/>
      <c r="AL13"/>
      <c r="AM13"/>
      <c r="AN13"/>
      <c r="AO13"/>
      <c r="AP13"/>
    </row>
    <row r="14" spans="2:42" ht="17.25" customHeight="1" x14ac:dyDescent="0.25">
      <c r="B14" s="15" t="str">
        <f>VLOOKUP(tblMatrizPonderadaValorOperativo[[#This Row],[NodoOrigen \ NodoDestino]],tblNodos[#All],2,FALSE)</f>
        <v>Pagos online</v>
      </c>
      <c r="C14" s="6" t="s">
        <v>82</v>
      </c>
      <c r="D14" s="41">
        <f>IF(MatrizDeAdyacencia!D14=1, SUMIFS(tblEnlaces[ValorOperativo (peso)], tblEnlaces[Nodo Origen], $C14, tblEnlaces[Nodo Destino], D$3, tblEnlaces[Activo], 1), 0)</f>
        <v>0</v>
      </c>
      <c r="E14" s="41">
        <f>IF(MatrizDeAdyacencia!E14=1, SUMIFS(tblEnlaces[ValorOperativo (peso)], tblEnlaces[Nodo Origen], $C14, tblEnlaces[Nodo Destino], E$3, tblEnlaces[Activo], 1), 0)</f>
        <v>0</v>
      </c>
      <c r="F14" s="41">
        <f>IF(MatrizDeAdyacencia!F14=1, SUMIFS(tblEnlaces[ValorOperativo (peso)], tblEnlaces[Nodo Origen], $C14, tblEnlaces[Nodo Destino], F$3, tblEnlaces[Activo], 1), 0)</f>
        <v>0</v>
      </c>
      <c r="G14" s="41">
        <f>IF(MatrizDeAdyacencia!G14=1, SUMIFS(tblEnlaces[ValorOperativo (peso)], tblEnlaces[Nodo Origen], $C14, tblEnlaces[Nodo Destino], G$3, tblEnlaces[Activo], 1), 0)</f>
        <v>0</v>
      </c>
      <c r="H14" s="41">
        <f>IF(MatrizDeAdyacencia!H14=1, SUMIFS(tblEnlaces[ValorOperativo (peso)], tblEnlaces[Nodo Origen], $C14, tblEnlaces[Nodo Destino], H$3, tblEnlaces[Activo], 1), 0)</f>
        <v>0</v>
      </c>
      <c r="I14" s="41">
        <f>IF(MatrizDeAdyacencia!I14=1, SUMIFS(tblEnlaces[ValorOperativo (peso)], tblEnlaces[Nodo Origen], $C14, tblEnlaces[Nodo Destino], I$3, tblEnlaces[Activo], 1), 0)</f>
        <v>0</v>
      </c>
      <c r="J14" s="41">
        <f>IF(MatrizDeAdyacencia!J14=1, SUMIFS(tblEnlaces[ValorOperativo (peso)], tblEnlaces[Nodo Origen], $C14, tblEnlaces[Nodo Destino], J$3, tblEnlaces[Activo], 1), 0)</f>
        <v>0</v>
      </c>
      <c r="K14" s="41">
        <f>IF(MatrizDeAdyacencia!K14=1, SUMIFS(tblEnlaces[ValorOperativo (peso)], tblEnlaces[Nodo Origen], $C14, tblEnlaces[Nodo Destino], K$3, tblEnlaces[Activo], 1), 0)</f>
        <v>0</v>
      </c>
      <c r="L14" s="41">
        <f>IF(MatrizDeAdyacencia!L14=1, SUMIFS(tblEnlaces[ValorOperativo (peso)], tblEnlaces[Nodo Origen], $C14, tblEnlaces[Nodo Destino], L$3, tblEnlaces[Activo], 1), 0)</f>
        <v>0</v>
      </c>
      <c r="M14" s="41">
        <f>IF(MatrizDeAdyacencia!M14=1, SUMIFS(tblEnlaces[ValorOperativo (peso)], tblEnlaces[Nodo Origen], $C14, tblEnlaces[Nodo Destino], M$3, tblEnlaces[Activo], 1), 0)</f>
        <v>0</v>
      </c>
      <c r="N14" s="41">
        <f>IF(MatrizDeAdyacencia!N14=1, SUMIFS(tblEnlaces[ValorOperativo (peso)], tblEnlaces[Nodo Origen], $C14, tblEnlaces[Nodo Destino], N$3, tblEnlaces[Activo], 1), 0)</f>
        <v>0</v>
      </c>
      <c r="O14" s="41">
        <f>IF(MatrizDeAdyacencia!O14=1, SUMIFS(tblEnlaces[ValorOperativo (peso)], tblEnlaces[Nodo Origen], $C14, tblEnlaces[Nodo Destino], O$3, tblEnlaces[Activo], 1), 0)</f>
        <v>0</v>
      </c>
      <c r="P14" s="41">
        <f>IF(MatrizDeAdyacencia!P14=1, SUMIFS(tblEnlaces[ValorOperativo (peso)], tblEnlaces[Nodo Origen], $C14, tblEnlaces[Nodo Destino], P$3, tblEnlaces[Activo], 1), 0)</f>
        <v>0</v>
      </c>
      <c r="Q14" s="41">
        <f>IF(MatrizDeAdyacencia!Q14=1, SUMIFS(tblEnlaces[ValorOperativo (peso)], tblEnlaces[Nodo Origen], $C14, tblEnlaces[Nodo Destino], Q$3, tblEnlaces[Activo], 1), 0)</f>
        <v>0</v>
      </c>
      <c r="R14" s="41">
        <f>IF(MatrizDeAdyacencia!R14=1, SUMIFS(tblEnlaces[ValorOperativo (peso)], tblEnlaces[Nodo Origen], $C14, tblEnlaces[Nodo Destino], R$3, tblEnlaces[Activo], 1), 0)</f>
        <v>0</v>
      </c>
      <c r="S14" s="41">
        <f>IF(MatrizDeAdyacencia!S14=1, SUMIFS(tblEnlaces[ValorOperativo (peso)], tblEnlaces[Nodo Origen], $C14, tblEnlaces[Nodo Destino], S$3, tblEnlaces[Activo], 1), 0)</f>
        <v>0</v>
      </c>
      <c r="T14" s="41">
        <f>IF(MatrizDeAdyacencia!T14=1, SUMIFS(tblEnlaces[ValorOperativo (peso)], tblEnlaces[Nodo Origen], $C14, tblEnlaces[Nodo Destino], T$3, tblEnlaces[Activo], 1), 0)</f>
        <v>13</v>
      </c>
      <c r="U14" s="41">
        <f>IF(MatrizDeAdyacencia!U14=1, SUMIFS(tblEnlaces[ValorOperativo (peso)], tblEnlaces[Nodo Origen], $C14, tblEnlaces[Nodo Destino], U$3, tblEnlaces[Activo], 1), 0)</f>
        <v>13</v>
      </c>
      <c r="V14" s="42">
        <f>IF(MatrizDeAdyacencia!V14=1, SUMIFS(tblEnlaces[ValorOperativo (peso)], tblEnlaces[Nodo Origen], $C14, tblEnlaces[Nodo Destino], V$3, tblEnlaces[Activo], 1), 0)</f>
        <v>0</v>
      </c>
      <c r="Y14" s="34" t="s">
        <v>199</v>
      </c>
      <c r="Z14" s="47">
        <v>5</v>
      </c>
      <c r="AA14" s="47">
        <v>5</v>
      </c>
      <c r="AB14" s="47">
        <v>5</v>
      </c>
      <c r="AC14" s="47">
        <v>5</v>
      </c>
      <c r="AD14" s="47">
        <v>20</v>
      </c>
      <c r="AF14"/>
      <c r="AG14"/>
      <c r="AH14"/>
      <c r="AI14"/>
      <c r="AJ14"/>
      <c r="AK14"/>
      <c r="AL14"/>
      <c r="AM14"/>
      <c r="AN14"/>
      <c r="AO14"/>
      <c r="AP14"/>
    </row>
    <row r="15" spans="2:42" ht="17.25" customHeight="1" x14ac:dyDescent="0.25">
      <c r="B15" s="15" t="str">
        <f>VLOOKUP(tblMatrizPonderadaValorOperativo[[#This Row],[NodoOrigen \ NodoDestino]],tblNodos[#All],2,FALSE)</f>
        <v>Servicios bancarios</v>
      </c>
      <c r="C15" s="6" t="s">
        <v>86</v>
      </c>
      <c r="D15" s="41">
        <f>IF(MatrizDeAdyacencia!D15=1, SUMIFS(tblEnlaces[ValorOperativo (peso)], tblEnlaces[Nodo Origen], $C15, tblEnlaces[Nodo Destino], D$3, tblEnlaces[Activo], 1), 0)</f>
        <v>0</v>
      </c>
      <c r="E15" s="41">
        <f>IF(MatrizDeAdyacencia!E15=1, SUMIFS(tblEnlaces[ValorOperativo (peso)], tblEnlaces[Nodo Origen], $C15, tblEnlaces[Nodo Destino], E$3, tblEnlaces[Activo], 1), 0)</f>
        <v>0</v>
      </c>
      <c r="F15" s="41">
        <f>IF(MatrizDeAdyacencia!F15=1, SUMIFS(tblEnlaces[ValorOperativo (peso)], tblEnlaces[Nodo Origen], $C15, tblEnlaces[Nodo Destino], F$3, tblEnlaces[Activo], 1), 0)</f>
        <v>0</v>
      </c>
      <c r="G15" s="41">
        <f>IF(MatrizDeAdyacencia!G15=1, SUMIFS(tblEnlaces[ValorOperativo (peso)], tblEnlaces[Nodo Origen], $C15, tblEnlaces[Nodo Destino], G$3, tblEnlaces[Activo], 1), 0)</f>
        <v>0</v>
      </c>
      <c r="H15" s="41">
        <f>IF(MatrizDeAdyacencia!H15=1, SUMIFS(tblEnlaces[ValorOperativo (peso)], tblEnlaces[Nodo Origen], $C15, tblEnlaces[Nodo Destino], H$3, tblEnlaces[Activo], 1), 0)</f>
        <v>0</v>
      </c>
      <c r="I15" s="41">
        <f>IF(MatrizDeAdyacencia!I15=1, SUMIFS(tblEnlaces[ValorOperativo (peso)], tblEnlaces[Nodo Origen], $C15, tblEnlaces[Nodo Destino], I$3, tblEnlaces[Activo], 1), 0)</f>
        <v>0</v>
      </c>
      <c r="J15" s="41">
        <f>IF(MatrizDeAdyacencia!J15=1, SUMIFS(tblEnlaces[ValorOperativo (peso)], tblEnlaces[Nodo Origen], $C15, tblEnlaces[Nodo Destino], J$3, tblEnlaces[Activo], 1), 0)</f>
        <v>0</v>
      </c>
      <c r="K15" s="41">
        <f>IF(MatrizDeAdyacencia!K15=1, SUMIFS(tblEnlaces[ValorOperativo (peso)], tblEnlaces[Nodo Origen], $C15, tblEnlaces[Nodo Destino], K$3, tblEnlaces[Activo], 1), 0)</f>
        <v>0</v>
      </c>
      <c r="L15" s="41">
        <f>IF(MatrizDeAdyacencia!L15=1, SUMIFS(tblEnlaces[ValorOperativo (peso)], tblEnlaces[Nodo Origen], $C15, tblEnlaces[Nodo Destino], L$3, tblEnlaces[Activo], 1), 0)</f>
        <v>0</v>
      </c>
      <c r="M15" s="41">
        <f>IF(MatrizDeAdyacencia!M15=1, SUMIFS(tblEnlaces[ValorOperativo (peso)], tblEnlaces[Nodo Origen], $C15, tblEnlaces[Nodo Destino], M$3, tblEnlaces[Activo], 1), 0)</f>
        <v>0</v>
      </c>
      <c r="N15" s="41">
        <f>IF(MatrizDeAdyacencia!N15=1, SUMIFS(tblEnlaces[ValorOperativo (peso)], tblEnlaces[Nodo Origen], $C15, tblEnlaces[Nodo Destino], N$3, tblEnlaces[Activo], 1), 0)</f>
        <v>0</v>
      </c>
      <c r="O15" s="41">
        <f>IF(MatrizDeAdyacencia!O15=1, SUMIFS(tblEnlaces[ValorOperativo (peso)], tblEnlaces[Nodo Origen], $C15, tblEnlaces[Nodo Destino], O$3, tblEnlaces[Activo], 1), 0)</f>
        <v>0</v>
      </c>
      <c r="P15" s="41">
        <f>IF(MatrizDeAdyacencia!P15=1, SUMIFS(tblEnlaces[ValorOperativo (peso)], tblEnlaces[Nodo Origen], $C15, tblEnlaces[Nodo Destino], P$3, tblEnlaces[Activo], 1), 0)</f>
        <v>0</v>
      </c>
      <c r="Q15" s="41">
        <f>IF(MatrizDeAdyacencia!Q15=1, SUMIFS(tblEnlaces[ValorOperativo (peso)], tblEnlaces[Nodo Origen], $C15, tblEnlaces[Nodo Destino], Q$3, tblEnlaces[Activo], 1), 0)</f>
        <v>0</v>
      </c>
      <c r="R15" s="41">
        <f>IF(MatrizDeAdyacencia!R15=1, SUMIFS(tblEnlaces[ValorOperativo (peso)], tblEnlaces[Nodo Origen], $C15, tblEnlaces[Nodo Destino], R$3, tblEnlaces[Activo], 1), 0)</f>
        <v>0</v>
      </c>
      <c r="S15" s="41">
        <f>IF(MatrizDeAdyacencia!S15=1, SUMIFS(tblEnlaces[ValorOperativo (peso)], tblEnlaces[Nodo Origen], $C15, tblEnlaces[Nodo Destino], S$3, tblEnlaces[Activo], 1), 0)</f>
        <v>14</v>
      </c>
      <c r="T15" s="41">
        <f>IF(MatrizDeAdyacencia!T15=1, SUMIFS(tblEnlaces[ValorOperativo (peso)], tblEnlaces[Nodo Origen], $C15, tblEnlaces[Nodo Destino], T$3, tblEnlaces[Activo], 1), 0)</f>
        <v>0</v>
      </c>
      <c r="U15" s="41">
        <f>IF(MatrizDeAdyacencia!U15=1, SUMIFS(tblEnlaces[ValorOperativo (peso)], tblEnlaces[Nodo Origen], $C15, tblEnlaces[Nodo Destino], U$3, tblEnlaces[Activo], 1), 0)</f>
        <v>14</v>
      </c>
      <c r="V15" s="42">
        <f>IF(MatrizDeAdyacencia!V15=1, SUMIFS(tblEnlaces[ValorOperativo (peso)], tblEnlaces[Nodo Origen], $C15, tblEnlaces[Nodo Destino], V$3, tblEnlaces[Activo], 1), 0)</f>
        <v>0</v>
      </c>
      <c r="AF15"/>
      <c r="AG15"/>
      <c r="AH15"/>
      <c r="AI15"/>
      <c r="AJ15"/>
      <c r="AK15"/>
      <c r="AL15"/>
      <c r="AM15"/>
      <c r="AN15"/>
      <c r="AO15"/>
      <c r="AP15"/>
    </row>
    <row r="16" spans="2:42" ht="17.25" customHeight="1" x14ac:dyDescent="0.25">
      <c r="B16" s="15" t="str">
        <f>VLOOKUP(tblMatrizPonderadaValorOperativo[[#This Row],[NodoOrigen \ NodoDestino]],tblNodos[#All],2,FALSE)</f>
        <v>Tarjetas prepago / e-wallets</v>
      </c>
      <c r="C16" s="6" t="s">
        <v>90</v>
      </c>
      <c r="D16" s="41">
        <f>IF(MatrizDeAdyacencia!D16=1, SUMIFS(tblEnlaces[ValorOperativo (peso)], tblEnlaces[Nodo Origen], $C16, tblEnlaces[Nodo Destino], D$3, tblEnlaces[Activo], 1), 0)</f>
        <v>0</v>
      </c>
      <c r="E16" s="41">
        <f>IF(MatrizDeAdyacencia!E16=1, SUMIFS(tblEnlaces[ValorOperativo (peso)], tblEnlaces[Nodo Origen], $C16, tblEnlaces[Nodo Destino], E$3, tblEnlaces[Activo], 1), 0)</f>
        <v>0</v>
      </c>
      <c r="F16" s="41">
        <f>IF(MatrizDeAdyacencia!F16=1, SUMIFS(tblEnlaces[ValorOperativo (peso)], tblEnlaces[Nodo Origen], $C16, tblEnlaces[Nodo Destino], F$3, tblEnlaces[Activo], 1), 0)</f>
        <v>0</v>
      </c>
      <c r="G16" s="41">
        <f>IF(MatrizDeAdyacencia!G16=1, SUMIFS(tblEnlaces[ValorOperativo (peso)], tblEnlaces[Nodo Origen], $C16, tblEnlaces[Nodo Destino], G$3, tblEnlaces[Activo], 1), 0)</f>
        <v>0</v>
      </c>
      <c r="H16" s="41">
        <f>IF(MatrizDeAdyacencia!H16=1, SUMIFS(tblEnlaces[ValorOperativo (peso)], tblEnlaces[Nodo Origen], $C16, tblEnlaces[Nodo Destino], H$3, tblEnlaces[Activo], 1), 0)</f>
        <v>0</v>
      </c>
      <c r="I16" s="41">
        <f>IF(MatrizDeAdyacencia!I16=1, SUMIFS(tblEnlaces[ValorOperativo (peso)], tblEnlaces[Nodo Origen], $C16, tblEnlaces[Nodo Destino], I$3, tblEnlaces[Activo], 1), 0)</f>
        <v>0</v>
      </c>
      <c r="J16" s="41">
        <f>IF(MatrizDeAdyacencia!J16=1, SUMIFS(tblEnlaces[ValorOperativo (peso)], tblEnlaces[Nodo Origen], $C16, tblEnlaces[Nodo Destino], J$3, tblEnlaces[Activo], 1), 0)</f>
        <v>0</v>
      </c>
      <c r="K16" s="41">
        <f>IF(MatrizDeAdyacencia!K16=1, SUMIFS(tblEnlaces[ValorOperativo (peso)], tblEnlaces[Nodo Origen], $C16, tblEnlaces[Nodo Destino], K$3, tblEnlaces[Activo], 1), 0)</f>
        <v>0</v>
      </c>
      <c r="L16" s="41">
        <f>IF(MatrizDeAdyacencia!L16=1, SUMIFS(tblEnlaces[ValorOperativo (peso)], tblEnlaces[Nodo Origen], $C16, tblEnlaces[Nodo Destino], L$3, tblEnlaces[Activo], 1), 0)</f>
        <v>0</v>
      </c>
      <c r="M16" s="41">
        <f>IF(MatrizDeAdyacencia!M16=1, SUMIFS(tblEnlaces[ValorOperativo (peso)], tblEnlaces[Nodo Origen], $C16, tblEnlaces[Nodo Destino], M$3, tblEnlaces[Activo], 1), 0)</f>
        <v>0</v>
      </c>
      <c r="N16" s="41">
        <f>IF(MatrizDeAdyacencia!N16=1, SUMIFS(tblEnlaces[ValorOperativo (peso)], tblEnlaces[Nodo Origen], $C16, tblEnlaces[Nodo Destino], N$3, tblEnlaces[Activo], 1), 0)</f>
        <v>0</v>
      </c>
      <c r="O16" s="41">
        <f>IF(MatrizDeAdyacencia!O16=1, SUMIFS(tblEnlaces[ValorOperativo (peso)], tblEnlaces[Nodo Origen], $C16, tblEnlaces[Nodo Destino], O$3, tblEnlaces[Activo], 1), 0)</f>
        <v>0</v>
      </c>
      <c r="P16" s="41">
        <f>IF(MatrizDeAdyacencia!P16=1, SUMIFS(tblEnlaces[ValorOperativo (peso)], tblEnlaces[Nodo Origen], $C16, tblEnlaces[Nodo Destino], P$3, tblEnlaces[Activo], 1), 0)</f>
        <v>0</v>
      </c>
      <c r="Q16" s="41">
        <f>IF(MatrizDeAdyacencia!Q16=1, SUMIFS(tblEnlaces[ValorOperativo (peso)], tblEnlaces[Nodo Origen], $C16, tblEnlaces[Nodo Destino], Q$3, tblEnlaces[Activo], 1), 0)</f>
        <v>0</v>
      </c>
      <c r="R16" s="41">
        <f>IF(MatrizDeAdyacencia!R16=1, SUMIFS(tblEnlaces[ValorOperativo (peso)], tblEnlaces[Nodo Origen], $C16, tblEnlaces[Nodo Destino], R$3, tblEnlaces[Activo], 1), 0)</f>
        <v>0</v>
      </c>
      <c r="S16" s="41">
        <f>IF(MatrizDeAdyacencia!S16=1, SUMIFS(tblEnlaces[ValorOperativo (peso)], tblEnlaces[Nodo Origen], $C16, tblEnlaces[Nodo Destino], S$3, tblEnlaces[Activo], 1), 0)</f>
        <v>0</v>
      </c>
      <c r="T16" s="41">
        <f>IF(MatrizDeAdyacencia!T16=1, SUMIFS(tblEnlaces[ValorOperativo (peso)], tblEnlaces[Nodo Origen], $C16, tblEnlaces[Nodo Destino], T$3, tblEnlaces[Activo], 1), 0)</f>
        <v>10</v>
      </c>
      <c r="U16" s="41">
        <f>IF(MatrizDeAdyacencia!U16=1, SUMIFS(tblEnlaces[ValorOperativo (peso)], tblEnlaces[Nodo Origen], $C16, tblEnlaces[Nodo Destino], U$3, tblEnlaces[Activo], 1), 0)</f>
        <v>0</v>
      </c>
      <c r="V16" s="42">
        <f>IF(MatrizDeAdyacencia!V16=1, SUMIFS(tblEnlaces[ValorOperativo (peso)], tblEnlaces[Nodo Origen], $C16, tblEnlaces[Nodo Destino], V$3, tblEnlaces[Activo], 1), 0)</f>
        <v>0</v>
      </c>
      <c r="AF16"/>
      <c r="AG16"/>
      <c r="AH16"/>
      <c r="AI16"/>
      <c r="AJ16"/>
      <c r="AK16"/>
      <c r="AL16"/>
      <c r="AM16"/>
      <c r="AN16"/>
      <c r="AO16"/>
      <c r="AP16"/>
    </row>
    <row r="17" spans="1:42" ht="17.25" customHeight="1" x14ac:dyDescent="0.25">
      <c r="B17" s="15" t="str">
        <f>VLOOKUP(tblMatrizPonderadaValorOperativo[[#This Row],[NodoOrigen \ NodoDestino]],tblNodos[#All],2,FALSE)</f>
        <v>Plataformas digitales</v>
      </c>
      <c r="C17" s="6" t="s">
        <v>94</v>
      </c>
      <c r="D17" s="41">
        <f>IF(MatrizDeAdyacencia!D17=1, SUMIFS(tblEnlaces[ValorOperativo (peso)], tblEnlaces[Nodo Origen], $C17, tblEnlaces[Nodo Destino], D$3, tblEnlaces[Activo], 1), 0)</f>
        <v>0</v>
      </c>
      <c r="E17" s="41">
        <f>IF(MatrizDeAdyacencia!E17=1, SUMIFS(tblEnlaces[ValorOperativo (peso)], tblEnlaces[Nodo Origen], $C17, tblEnlaces[Nodo Destino], E$3, tblEnlaces[Activo], 1), 0)</f>
        <v>0</v>
      </c>
      <c r="F17" s="41">
        <f>IF(MatrizDeAdyacencia!F17=1, SUMIFS(tblEnlaces[ValorOperativo (peso)], tblEnlaces[Nodo Origen], $C17, tblEnlaces[Nodo Destino], F$3, tblEnlaces[Activo], 1), 0)</f>
        <v>0</v>
      </c>
      <c r="G17" s="41">
        <f>IF(MatrizDeAdyacencia!G17=1, SUMIFS(tblEnlaces[ValorOperativo (peso)], tblEnlaces[Nodo Origen], $C17, tblEnlaces[Nodo Destino], G$3, tblEnlaces[Activo], 1), 0)</f>
        <v>0</v>
      </c>
      <c r="H17" s="41">
        <f>IF(MatrizDeAdyacencia!H17=1, SUMIFS(tblEnlaces[ValorOperativo (peso)], tblEnlaces[Nodo Origen], $C17, tblEnlaces[Nodo Destino], H$3, tblEnlaces[Activo], 1), 0)</f>
        <v>0</v>
      </c>
      <c r="I17" s="41">
        <f>IF(MatrizDeAdyacencia!I17=1, SUMIFS(tblEnlaces[ValorOperativo (peso)], tblEnlaces[Nodo Origen], $C17, tblEnlaces[Nodo Destino], I$3, tblEnlaces[Activo], 1), 0)</f>
        <v>0</v>
      </c>
      <c r="J17" s="41">
        <f>IF(MatrizDeAdyacencia!J17=1, SUMIFS(tblEnlaces[ValorOperativo (peso)], tblEnlaces[Nodo Origen], $C17, tblEnlaces[Nodo Destino], J$3, tblEnlaces[Activo], 1), 0)</f>
        <v>0</v>
      </c>
      <c r="K17" s="41">
        <f>IF(MatrizDeAdyacencia!K17=1, SUMIFS(tblEnlaces[ValorOperativo (peso)], tblEnlaces[Nodo Origen], $C17, tblEnlaces[Nodo Destino], K$3, tblEnlaces[Activo], 1), 0)</f>
        <v>0</v>
      </c>
      <c r="L17" s="41">
        <f>IF(MatrizDeAdyacencia!L17=1, SUMIFS(tblEnlaces[ValorOperativo (peso)], tblEnlaces[Nodo Origen], $C17, tblEnlaces[Nodo Destino], L$3, tblEnlaces[Activo], 1), 0)</f>
        <v>0</v>
      </c>
      <c r="M17" s="41">
        <f>IF(MatrizDeAdyacencia!M17=1, SUMIFS(tblEnlaces[ValorOperativo (peso)], tblEnlaces[Nodo Origen], $C17, tblEnlaces[Nodo Destino], M$3, tblEnlaces[Activo], 1), 0)</f>
        <v>0</v>
      </c>
      <c r="N17" s="41">
        <f>IF(MatrizDeAdyacencia!N17=1, SUMIFS(tblEnlaces[ValorOperativo (peso)], tblEnlaces[Nodo Origen], $C17, tblEnlaces[Nodo Destino], N$3, tblEnlaces[Activo], 1), 0)</f>
        <v>0</v>
      </c>
      <c r="O17" s="41">
        <f>IF(MatrizDeAdyacencia!O17=1, SUMIFS(tblEnlaces[ValorOperativo (peso)], tblEnlaces[Nodo Origen], $C17, tblEnlaces[Nodo Destino], O$3, tblEnlaces[Activo], 1), 0)</f>
        <v>0</v>
      </c>
      <c r="P17" s="41">
        <f>IF(MatrizDeAdyacencia!P17=1, SUMIFS(tblEnlaces[ValorOperativo (peso)], tblEnlaces[Nodo Origen], $C17, tblEnlaces[Nodo Destino], P$3, tblEnlaces[Activo], 1), 0)</f>
        <v>0</v>
      </c>
      <c r="Q17" s="41">
        <f>IF(MatrizDeAdyacencia!Q17=1, SUMIFS(tblEnlaces[ValorOperativo (peso)], tblEnlaces[Nodo Origen], $C17, tblEnlaces[Nodo Destino], Q$3, tblEnlaces[Activo], 1), 0)</f>
        <v>0</v>
      </c>
      <c r="R17" s="41">
        <f>IF(MatrizDeAdyacencia!R17=1, SUMIFS(tblEnlaces[ValorOperativo (peso)], tblEnlaces[Nodo Origen], $C17, tblEnlaces[Nodo Destino], R$3, tblEnlaces[Activo], 1), 0)</f>
        <v>0</v>
      </c>
      <c r="S17" s="41">
        <f>IF(MatrizDeAdyacencia!S17=1, SUMIFS(tblEnlaces[ValorOperativo (peso)], tblEnlaces[Nodo Origen], $C17, tblEnlaces[Nodo Destino], S$3, tblEnlaces[Activo], 1), 0)</f>
        <v>0</v>
      </c>
      <c r="T17" s="41">
        <f>IF(MatrizDeAdyacencia!T17=1, SUMIFS(tblEnlaces[ValorOperativo (peso)], tblEnlaces[Nodo Origen], $C17, tblEnlaces[Nodo Destino], T$3, tblEnlaces[Activo], 1), 0)</f>
        <v>11</v>
      </c>
      <c r="U17" s="41">
        <f>IF(MatrizDeAdyacencia!U17=1, SUMIFS(tblEnlaces[ValorOperativo (peso)], tblEnlaces[Nodo Origen], $C17, tblEnlaces[Nodo Destino], U$3, tblEnlaces[Activo], 1), 0)</f>
        <v>11</v>
      </c>
      <c r="V17" s="42">
        <f>IF(MatrizDeAdyacencia!V17=1, SUMIFS(tblEnlaces[ValorOperativo (peso)], tblEnlaces[Nodo Origen], $C17, tblEnlaces[Nodo Destino], V$3, tblEnlaces[Activo], 1), 0)</f>
        <v>0</v>
      </c>
      <c r="AF17"/>
      <c r="AG17"/>
      <c r="AH17"/>
      <c r="AI17"/>
      <c r="AJ17"/>
      <c r="AK17"/>
      <c r="AL17"/>
      <c r="AM17"/>
      <c r="AN17"/>
      <c r="AO17"/>
      <c r="AP17"/>
    </row>
    <row r="18" spans="1:42" ht="17.25" customHeight="1" x14ac:dyDescent="0.25">
      <c r="B18" s="15" t="str">
        <f>VLOOKUP(tblMatrizPonderadaValorOperativo[[#This Row],[NodoOrigen \ NodoDestino]],tblNodos[#All],2,FALSE)</f>
        <v>Activos virtuales</v>
      </c>
      <c r="C18" s="6" t="s">
        <v>63</v>
      </c>
      <c r="D18" s="41">
        <f>IF(MatrizDeAdyacencia!D18=1, SUMIFS(tblEnlaces[ValorOperativo (peso)], tblEnlaces[Nodo Origen], $C18, tblEnlaces[Nodo Destino], D$3, tblEnlaces[Activo], 1), 0)</f>
        <v>0</v>
      </c>
      <c r="E18" s="41">
        <f>IF(MatrizDeAdyacencia!E18=1, SUMIFS(tblEnlaces[ValorOperativo (peso)], tblEnlaces[Nodo Origen], $C18, tblEnlaces[Nodo Destino], E$3, tblEnlaces[Activo], 1), 0)</f>
        <v>0</v>
      </c>
      <c r="F18" s="41">
        <f>IF(MatrizDeAdyacencia!F18=1, SUMIFS(tblEnlaces[ValorOperativo (peso)], tblEnlaces[Nodo Origen], $C18, tblEnlaces[Nodo Destino], F$3, tblEnlaces[Activo], 1), 0)</f>
        <v>0</v>
      </c>
      <c r="G18" s="41">
        <f>IF(MatrizDeAdyacencia!G18=1, SUMIFS(tblEnlaces[ValorOperativo (peso)], tblEnlaces[Nodo Origen], $C18, tblEnlaces[Nodo Destino], G$3, tblEnlaces[Activo], 1), 0)</f>
        <v>0</v>
      </c>
      <c r="H18" s="41">
        <f>IF(MatrizDeAdyacencia!H18=1, SUMIFS(tblEnlaces[ValorOperativo (peso)], tblEnlaces[Nodo Origen], $C18, tblEnlaces[Nodo Destino], H$3, tblEnlaces[Activo], 1), 0)</f>
        <v>0</v>
      </c>
      <c r="I18" s="41">
        <f>IF(MatrizDeAdyacencia!I18=1, SUMIFS(tblEnlaces[ValorOperativo (peso)], tblEnlaces[Nodo Origen], $C18, tblEnlaces[Nodo Destino], I$3, tblEnlaces[Activo], 1), 0)</f>
        <v>0</v>
      </c>
      <c r="J18" s="41">
        <f>IF(MatrizDeAdyacencia!J18=1, SUMIFS(tblEnlaces[ValorOperativo (peso)], tblEnlaces[Nodo Origen], $C18, tblEnlaces[Nodo Destino], J$3, tblEnlaces[Activo], 1), 0)</f>
        <v>0</v>
      </c>
      <c r="K18" s="41">
        <f>IF(MatrizDeAdyacencia!K18=1, SUMIFS(tblEnlaces[ValorOperativo (peso)], tblEnlaces[Nodo Origen], $C18, tblEnlaces[Nodo Destino], K$3, tblEnlaces[Activo], 1), 0)</f>
        <v>0</v>
      </c>
      <c r="L18" s="41">
        <f>IF(MatrizDeAdyacencia!L18=1, SUMIFS(tblEnlaces[ValorOperativo (peso)], tblEnlaces[Nodo Origen], $C18, tblEnlaces[Nodo Destino], L$3, tblEnlaces[Activo], 1), 0)</f>
        <v>0</v>
      </c>
      <c r="M18" s="41">
        <f>IF(MatrizDeAdyacencia!M18=1, SUMIFS(tblEnlaces[ValorOperativo (peso)], tblEnlaces[Nodo Origen], $C18, tblEnlaces[Nodo Destino], M$3, tblEnlaces[Activo], 1), 0)</f>
        <v>0</v>
      </c>
      <c r="N18" s="41">
        <f>IF(MatrizDeAdyacencia!N18=1, SUMIFS(tblEnlaces[ValorOperativo (peso)], tblEnlaces[Nodo Origen], $C18, tblEnlaces[Nodo Destino], N$3, tblEnlaces[Activo], 1), 0)</f>
        <v>0</v>
      </c>
      <c r="O18" s="41">
        <f>IF(MatrizDeAdyacencia!O18=1, SUMIFS(tblEnlaces[ValorOperativo (peso)], tblEnlaces[Nodo Origen], $C18, tblEnlaces[Nodo Destino], O$3, tblEnlaces[Activo], 1), 0)</f>
        <v>0</v>
      </c>
      <c r="P18" s="41">
        <f>IF(MatrizDeAdyacencia!P18=1, SUMIFS(tblEnlaces[ValorOperativo (peso)], tblEnlaces[Nodo Origen], $C18, tblEnlaces[Nodo Destino], P$3, tblEnlaces[Activo], 1), 0)</f>
        <v>0</v>
      </c>
      <c r="Q18" s="41">
        <f>IF(MatrizDeAdyacencia!Q18=1, SUMIFS(tblEnlaces[ValorOperativo (peso)], tblEnlaces[Nodo Origen], $C18, tblEnlaces[Nodo Destino], Q$3, tblEnlaces[Activo], 1), 0)</f>
        <v>0</v>
      </c>
      <c r="R18" s="41">
        <f>IF(MatrizDeAdyacencia!R18=1, SUMIFS(tblEnlaces[ValorOperativo (peso)], tblEnlaces[Nodo Origen], $C18, tblEnlaces[Nodo Destino], R$3, tblEnlaces[Activo], 1), 0)</f>
        <v>0</v>
      </c>
      <c r="S18" s="41">
        <f>IF(MatrizDeAdyacencia!S18=1, SUMIFS(tblEnlaces[ValorOperativo (peso)], tblEnlaces[Nodo Origen], $C18, tblEnlaces[Nodo Destino], S$3, tblEnlaces[Activo], 1), 0)</f>
        <v>0</v>
      </c>
      <c r="T18" s="41">
        <f>IF(MatrizDeAdyacencia!T18=1, SUMIFS(tblEnlaces[ValorOperativo (peso)], tblEnlaces[Nodo Origen], $C18, tblEnlaces[Nodo Destino], T$3, tblEnlaces[Activo], 1), 0)</f>
        <v>12</v>
      </c>
      <c r="U18" s="41">
        <f>IF(MatrizDeAdyacencia!U18=1, SUMIFS(tblEnlaces[ValorOperativo (peso)], tblEnlaces[Nodo Origen], $C18, tblEnlaces[Nodo Destino], U$3, tblEnlaces[Activo], 1), 0)</f>
        <v>12</v>
      </c>
      <c r="V18" s="42">
        <f>IF(MatrizDeAdyacencia!V18=1, SUMIFS(tblEnlaces[ValorOperativo (peso)], tblEnlaces[Nodo Origen], $C18, tblEnlaces[Nodo Destino], V$3, tblEnlaces[Activo], 1), 0)</f>
        <v>0</v>
      </c>
      <c r="AF18"/>
      <c r="AG18"/>
      <c r="AH18"/>
      <c r="AI18"/>
      <c r="AJ18"/>
      <c r="AK18"/>
      <c r="AL18"/>
      <c r="AM18"/>
      <c r="AN18"/>
      <c r="AO18"/>
      <c r="AP18"/>
    </row>
    <row r="19" spans="1:42" ht="17.25" customHeight="1" x14ac:dyDescent="0.25">
      <c r="B19" s="15" t="str">
        <f>VLOOKUP(tblMatrizPonderadaValorOperativo[[#This Row],[NodoOrigen \ NodoDestino]],tblNodos[#All],2,FALSE)</f>
        <v>Tesorería central</v>
      </c>
      <c r="C19" s="6" t="s">
        <v>101</v>
      </c>
      <c r="D19" s="41">
        <f>IF(MatrizDeAdyacencia!D19=1, SUMIFS(tblEnlaces[ValorOperativo (peso)], tblEnlaces[Nodo Origen], $C19, tblEnlaces[Nodo Destino], D$3, tblEnlaces[Activo], 1), 0)</f>
        <v>0</v>
      </c>
      <c r="E19" s="41">
        <f>IF(MatrizDeAdyacencia!E19=1, SUMIFS(tblEnlaces[ValorOperativo (peso)], tblEnlaces[Nodo Origen], $C19, tblEnlaces[Nodo Destino], E$3, tblEnlaces[Activo], 1), 0)</f>
        <v>0</v>
      </c>
      <c r="F19" s="41">
        <f>IF(MatrizDeAdyacencia!F19=1, SUMIFS(tblEnlaces[ValorOperativo (peso)], tblEnlaces[Nodo Origen], $C19, tblEnlaces[Nodo Destino], F$3, tblEnlaces[Activo], 1), 0)</f>
        <v>0</v>
      </c>
      <c r="G19" s="41">
        <f>IF(MatrizDeAdyacencia!G19=1, SUMIFS(tblEnlaces[ValorOperativo (peso)], tblEnlaces[Nodo Origen], $C19, tblEnlaces[Nodo Destino], G$3, tblEnlaces[Activo], 1), 0)</f>
        <v>0</v>
      </c>
      <c r="H19" s="41">
        <f>IF(MatrizDeAdyacencia!H19=1, SUMIFS(tblEnlaces[ValorOperativo (peso)], tblEnlaces[Nodo Origen], $C19, tblEnlaces[Nodo Destino], H$3, tblEnlaces[Activo], 1), 0)</f>
        <v>0</v>
      </c>
      <c r="I19" s="41">
        <f>IF(MatrizDeAdyacencia!I19=1, SUMIFS(tblEnlaces[ValorOperativo (peso)], tblEnlaces[Nodo Origen], $C19, tblEnlaces[Nodo Destino], I$3, tblEnlaces[Activo], 1), 0)</f>
        <v>0</v>
      </c>
      <c r="J19" s="41">
        <f>IF(MatrizDeAdyacencia!J19=1, SUMIFS(tblEnlaces[ValorOperativo (peso)], tblEnlaces[Nodo Origen], $C19, tblEnlaces[Nodo Destino], J$3, tblEnlaces[Activo], 1), 0)</f>
        <v>17</v>
      </c>
      <c r="K19" s="41">
        <f>IF(MatrizDeAdyacencia!K19=1, SUMIFS(tblEnlaces[ValorOperativo (peso)], tblEnlaces[Nodo Origen], $C19, tblEnlaces[Nodo Destino], K$3, tblEnlaces[Activo], 1), 0)</f>
        <v>0</v>
      </c>
      <c r="L19" s="41">
        <f>IF(MatrizDeAdyacencia!L19=1, SUMIFS(tblEnlaces[ValorOperativo (peso)], tblEnlaces[Nodo Origen], $C19, tblEnlaces[Nodo Destino], L$3, tblEnlaces[Activo], 1), 0)</f>
        <v>0</v>
      </c>
      <c r="M19" s="41">
        <f>IF(MatrizDeAdyacencia!M19=1, SUMIFS(tblEnlaces[ValorOperativo (peso)], tblEnlaces[Nodo Origen], $C19, tblEnlaces[Nodo Destino], M$3, tblEnlaces[Activo], 1), 0)</f>
        <v>0</v>
      </c>
      <c r="N19" s="41">
        <f>IF(MatrizDeAdyacencia!N19=1, SUMIFS(tblEnlaces[ValorOperativo (peso)], tblEnlaces[Nodo Origen], $C19, tblEnlaces[Nodo Destino], N$3, tblEnlaces[Activo], 1), 0)</f>
        <v>0</v>
      </c>
      <c r="O19" s="41">
        <f>IF(MatrizDeAdyacencia!O19=1, SUMIFS(tblEnlaces[ValorOperativo (peso)], tblEnlaces[Nodo Origen], $C19, tblEnlaces[Nodo Destino], O$3, tblEnlaces[Activo], 1), 0)</f>
        <v>14</v>
      </c>
      <c r="P19" s="41">
        <f>IF(MatrizDeAdyacencia!P19=1, SUMIFS(tblEnlaces[ValorOperativo (peso)], tblEnlaces[Nodo Origen], $C19, tblEnlaces[Nodo Destino], P$3, tblEnlaces[Activo], 1), 0)</f>
        <v>0</v>
      </c>
      <c r="Q19" s="41">
        <f>IF(MatrizDeAdyacencia!Q19=1, SUMIFS(tblEnlaces[ValorOperativo (peso)], tblEnlaces[Nodo Origen], $C19, tblEnlaces[Nodo Destino], Q$3, tblEnlaces[Activo], 1), 0)</f>
        <v>0</v>
      </c>
      <c r="R19" s="41">
        <f>IF(MatrizDeAdyacencia!R19=1, SUMIFS(tblEnlaces[ValorOperativo (peso)], tblEnlaces[Nodo Origen], $C19, tblEnlaces[Nodo Destino], R$3, tblEnlaces[Activo], 1), 0)</f>
        <v>0</v>
      </c>
      <c r="S19" s="41">
        <f>IF(MatrizDeAdyacencia!S19=1, SUMIFS(tblEnlaces[ValorOperativo (peso)], tblEnlaces[Nodo Origen], $C19, tblEnlaces[Nodo Destino], S$3, tblEnlaces[Activo], 1), 0)</f>
        <v>0</v>
      </c>
      <c r="T19" s="41">
        <f>IF(MatrizDeAdyacencia!T19=1, SUMIFS(tblEnlaces[ValorOperativo (peso)], tblEnlaces[Nodo Origen], $C19, tblEnlaces[Nodo Destino], T$3, tblEnlaces[Activo], 1), 0)</f>
        <v>0</v>
      </c>
      <c r="U19" s="41">
        <f>IF(MatrizDeAdyacencia!U19=1, SUMIFS(tblEnlaces[ValorOperativo (peso)], tblEnlaces[Nodo Origen], $C19, tblEnlaces[Nodo Destino], U$3, tblEnlaces[Activo], 1), 0)</f>
        <v>0</v>
      </c>
      <c r="V19" s="42">
        <f>IF(MatrizDeAdyacencia!V19=1, SUMIFS(tblEnlaces[ValorOperativo (peso)], tblEnlaces[Nodo Origen], $C19, tblEnlaces[Nodo Destino], V$3, tblEnlaces[Activo], 1), 0)</f>
        <v>16</v>
      </c>
      <c r="AF19"/>
      <c r="AG19"/>
      <c r="AH19"/>
      <c r="AI19"/>
      <c r="AJ19"/>
      <c r="AK19"/>
      <c r="AL19"/>
      <c r="AM19"/>
      <c r="AN19"/>
      <c r="AO19"/>
      <c r="AP19"/>
    </row>
    <row r="20" spans="1:42" ht="17.25" customHeight="1" x14ac:dyDescent="0.25">
      <c r="B20" s="15" t="str">
        <f>VLOOKUP(tblMatrizPonderadaValorOperativo[[#This Row],[NodoOrigen \ NodoDestino]],tblNodos[#All],2,FALSE)</f>
        <v>Centro financiero regional / célula</v>
      </c>
      <c r="C20" s="6" t="s">
        <v>105</v>
      </c>
      <c r="D20" s="41">
        <f>IF(MatrizDeAdyacencia!D20=1, SUMIFS(tblEnlaces[ValorOperativo (peso)], tblEnlaces[Nodo Origen], $C20, tblEnlaces[Nodo Destino], D$3, tblEnlaces[Activo], 1), 0)</f>
        <v>0</v>
      </c>
      <c r="E20" s="41">
        <f>IF(MatrizDeAdyacencia!E20=1, SUMIFS(tblEnlaces[ValorOperativo (peso)], tblEnlaces[Nodo Origen], $C20, tblEnlaces[Nodo Destino], E$3, tblEnlaces[Activo], 1), 0)</f>
        <v>0</v>
      </c>
      <c r="F20" s="41">
        <f>IF(MatrizDeAdyacencia!F20=1, SUMIFS(tblEnlaces[ValorOperativo (peso)], tblEnlaces[Nodo Origen], $C20, tblEnlaces[Nodo Destino], F$3, tblEnlaces[Activo], 1), 0)</f>
        <v>0</v>
      </c>
      <c r="G20" s="41">
        <f>IF(MatrizDeAdyacencia!G20=1, SUMIFS(tblEnlaces[ValorOperativo (peso)], tblEnlaces[Nodo Origen], $C20, tblEnlaces[Nodo Destino], G$3, tblEnlaces[Activo], 1), 0)</f>
        <v>0</v>
      </c>
      <c r="H20" s="41">
        <f>IF(MatrizDeAdyacencia!H20=1, SUMIFS(tblEnlaces[ValorOperativo (peso)], tblEnlaces[Nodo Origen], $C20, tblEnlaces[Nodo Destino], H$3, tblEnlaces[Activo], 1), 0)</f>
        <v>0</v>
      </c>
      <c r="I20" s="41">
        <f>IF(MatrizDeAdyacencia!I20=1, SUMIFS(tblEnlaces[ValorOperativo (peso)], tblEnlaces[Nodo Origen], $C20, tblEnlaces[Nodo Destino], I$3, tblEnlaces[Activo], 1), 0)</f>
        <v>0</v>
      </c>
      <c r="J20" s="41">
        <f>IF(MatrizDeAdyacencia!J20=1, SUMIFS(tblEnlaces[ValorOperativo (peso)], tblEnlaces[Nodo Origen], $C20, tblEnlaces[Nodo Destino], J$3, tblEnlaces[Activo], 1), 0)</f>
        <v>16</v>
      </c>
      <c r="K20" s="41">
        <f>IF(MatrizDeAdyacencia!K20=1, SUMIFS(tblEnlaces[ValorOperativo (peso)], tblEnlaces[Nodo Origen], $C20, tblEnlaces[Nodo Destino], K$3, tblEnlaces[Activo], 1), 0)</f>
        <v>18</v>
      </c>
      <c r="L20" s="41">
        <f>IF(MatrizDeAdyacencia!L20=1, SUMIFS(tblEnlaces[ValorOperativo (peso)], tblEnlaces[Nodo Origen], $C20, tblEnlaces[Nodo Destino], L$3, tblEnlaces[Activo], 1), 0)</f>
        <v>14</v>
      </c>
      <c r="M20" s="41">
        <f>IF(MatrizDeAdyacencia!M20=1, SUMIFS(tblEnlaces[ValorOperativo (peso)], tblEnlaces[Nodo Origen], $C20, tblEnlaces[Nodo Destino], M$3, tblEnlaces[Activo], 1), 0)</f>
        <v>14</v>
      </c>
      <c r="N20" s="41">
        <f>IF(MatrizDeAdyacencia!N20=1, SUMIFS(tblEnlaces[ValorOperativo (peso)], tblEnlaces[Nodo Origen], $C20, tblEnlaces[Nodo Destino], N$3, tblEnlaces[Activo], 1), 0)</f>
        <v>0</v>
      </c>
      <c r="O20" s="41">
        <f>IF(MatrizDeAdyacencia!O20=1, SUMIFS(tblEnlaces[ValorOperativo (peso)], tblEnlaces[Nodo Origen], $C20, tblEnlaces[Nodo Destino], O$3, tblEnlaces[Activo], 1), 0)</f>
        <v>0</v>
      </c>
      <c r="P20" s="41">
        <f>IF(MatrizDeAdyacencia!P20=1, SUMIFS(tblEnlaces[ValorOperativo (peso)], tblEnlaces[Nodo Origen], $C20, tblEnlaces[Nodo Destino], P$3, tblEnlaces[Activo], 1), 0)</f>
        <v>0</v>
      </c>
      <c r="Q20" s="41">
        <f>IF(MatrizDeAdyacencia!Q20=1, SUMIFS(tblEnlaces[ValorOperativo (peso)], tblEnlaces[Nodo Origen], $C20, tblEnlaces[Nodo Destino], Q$3, tblEnlaces[Activo], 1), 0)</f>
        <v>0</v>
      </c>
      <c r="R20" s="41">
        <f>IF(MatrizDeAdyacencia!R20=1, SUMIFS(tblEnlaces[ValorOperativo (peso)], tblEnlaces[Nodo Origen], $C20, tblEnlaces[Nodo Destino], R$3, tblEnlaces[Activo], 1), 0)</f>
        <v>0</v>
      </c>
      <c r="S20" s="41">
        <f>IF(MatrizDeAdyacencia!S20=1, SUMIFS(tblEnlaces[ValorOperativo (peso)], tblEnlaces[Nodo Origen], $C20, tblEnlaces[Nodo Destino], S$3, tblEnlaces[Activo], 1), 0)</f>
        <v>0</v>
      </c>
      <c r="T20" s="41">
        <f>IF(MatrizDeAdyacencia!T20=1, SUMIFS(tblEnlaces[ValorOperativo (peso)], tblEnlaces[Nodo Origen], $C20, tblEnlaces[Nodo Destino], T$3, tblEnlaces[Activo], 1), 0)</f>
        <v>0</v>
      </c>
      <c r="U20" s="41">
        <f>IF(MatrizDeAdyacencia!U20=1, SUMIFS(tblEnlaces[ValorOperativo (peso)], tblEnlaces[Nodo Origen], $C20, tblEnlaces[Nodo Destino], U$3, tblEnlaces[Activo], 1), 0)</f>
        <v>0</v>
      </c>
      <c r="V20" s="42">
        <f>IF(MatrizDeAdyacencia!V20=1, SUMIFS(tblEnlaces[ValorOperativo (peso)], tblEnlaces[Nodo Origen], $C20, tblEnlaces[Nodo Destino], V$3, tblEnlaces[Activo], 1), 0)</f>
        <v>14</v>
      </c>
      <c r="AF20"/>
      <c r="AG20"/>
      <c r="AH20"/>
      <c r="AI20"/>
      <c r="AJ20"/>
      <c r="AK20"/>
      <c r="AL20"/>
      <c r="AM20"/>
      <c r="AN20"/>
      <c r="AO20"/>
      <c r="AP20"/>
    </row>
    <row r="21" spans="1:42" ht="17.25" customHeight="1" x14ac:dyDescent="0.25">
      <c r="B21" s="15" t="str">
        <f>VLOOKUP(tblMatrizPonderadaValorOperativo[[#This Row],[NodoOrigen \ NodoDestino]],tblNodos[#All],2,FALSE)</f>
        <v>Facilitador externo / entidad instrumental</v>
      </c>
      <c r="C21" s="6" t="s">
        <v>109</v>
      </c>
      <c r="D21" s="41">
        <f>IF(MatrizDeAdyacencia!D21=1, SUMIFS(tblEnlaces[ValorOperativo (peso)], tblEnlaces[Nodo Origen], $C21, tblEnlaces[Nodo Destino], D$3, tblEnlaces[Activo], 1), 0)</f>
        <v>0</v>
      </c>
      <c r="E21" s="41">
        <f>IF(MatrizDeAdyacencia!E21=1, SUMIFS(tblEnlaces[ValorOperativo (peso)], tblEnlaces[Nodo Origen], $C21, tblEnlaces[Nodo Destino], E$3, tblEnlaces[Activo], 1), 0)</f>
        <v>0</v>
      </c>
      <c r="F21" s="41">
        <f>IF(MatrizDeAdyacencia!F21=1, SUMIFS(tblEnlaces[ValorOperativo (peso)], tblEnlaces[Nodo Origen], $C21, tblEnlaces[Nodo Destino], F$3, tblEnlaces[Activo], 1), 0)</f>
        <v>0</v>
      </c>
      <c r="G21" s="41">
        <f>IF(MatrizDeAdyacencia!G21=1, SUMIFS(tblEnlaces[ValorOperativo (peso)], tblEnlaces[Nodo Origen], $C21, tblEnlaces[Nodo Destino], G$3, tblEnlaces[Activo], 1), 0)</f>
        <v>0</v>
      </c>
      <c r="H21" s="41">
        <f>IF(MatrizDeAdyacencia!H21=1, SUMIFS(tblEnlaces[ValorOperativo (peso)], tblEnlaces[Nodo Origen], $C21, tblEnlaces[Nodo Destino], H$3, tblEnlaces[Activo], 1), 0)</f>
        <v>0</v>
      </c>
      <c r="I21" s="41">
        <f>IF(MatrizDeAdyacencia!I21=1, SUMIFS(tblEnlaces[ValorOperativo (peso)], tblEnlaces[Nodo Origen], $C21, tblEnlaces[Nodo Destino], I$3, tblEnlaces[Activo], 1), 0)</f>
        <v>0</v>
      </c>
      <c r="J21" s="41">
        <f>IF(MatrizDeAdyacencia!J21=1, SUMIFS(tblEnlaces[ValorOperativo (peso)], tblEnlaces[Nodo Origen], $C21, tblEnlaces[Nodo Destino], J$3, tblEnlaces[Activo], 1), 0)</f>
        <v>0</v>
      </c>
      <c r="K21" s="41">
        <f>IF(MatrizDeAdyacencia!K21=1, SUMIFS(tblEnlaces[ValorOperativo (peso)], tblEnlaces[Nodo Origen], $C21, tblEnlaces[Nodo Destino], K$3, tblEnlaces[Activo], 1), 0)</f>
        <v>0</v>
      </c>
      <c r="L21" s="41">
        <f>IF(MatrizDeAdyacencia!L21=1, SUMIFS(tblEnlaces[ValorOperativo (peso)], tblEnlaces[Nodo Origen], $C21, tblEnlaces[Nodo Destino], L$3, tblEnlaces[Activo], 1), 0)</f>
        <v>0</v>
      </c>
      <c r="M21" s="41">
        <f>IF(MatrizDeAdyacencia!M21=1, SUMIFS(tblEnlaces[ValorOperativo (peso)], tblEnlaces[Nodo Origen], $C21, tblEnlaces[Nodo Destino], M$3, tblEnlaces[Activo], 1), 0)</f>
        <v>0</v>
      </c>
      <c r="N21" s="41">
        <f>IF(MatrizDeAdyacencia!N21=1, SUMIFS(tblEnlaces[ValorOperativo (peso)], tblEnlaces[Nodo Origen], $C21, tblEnlaces[Nodo Destino], N$3, tblEnlaces[Activo], 1), 0)</f>
        <v>13</v>
      </c>
      <c r="O21" s="41">
        <f>IF(MatrizDeAdyacencia!O21=1, SUMIFS(tblEnlaces[ValorOperativo (peso)], tblEnlaces[Nodo Origen], $C21, tblEnlaces[Nodo Destino], O$3, tblEnlaces[Activo], 1), 0)</f>
        <v>14</v>
      </c>
      <c r="P21" s="41">
        <f>IF(MatrizDeAdyacencia!P21=1, SUMIFS(tblEnlaces[ValorOperativo (peso)], tblEnlaces[Nodo Origen], $C21, tblEnlaces[Nodo Destino], P$3, tblEnlaces[Activo], 1), 0)</f>
        <v>0</v>
      </c>
      <c r="Q21" s="41">
        <f>IF(MatrizDeAdyacencia!Q21=1, SUMIFS(tblEnlaces[ValorOperativo (peso)], tblEnlaces[Nodo Origen], $C21, tblEnlaces[Nodo Destino], Q$3, tblEnlaces[Activo], 1), 0)</f>
        <v>0</v>
      </c>
      <c r="R21" s="41">
        <f>IF(MatrizDeAdyacencia!R21=1, SUMIFS(tblEnlaces[ValorOperativo (peso)], tblEnlaces[Nodo Origen], $C21, tblEnlaces[Nodo Destino], R$3, tblEnlaces[Activo], 1), 0)</f>
        <v>12</v>
      </c>
      <c r="S21" s="41">
        <f>IF(MatrizDeAdyacencia!S21=1, SUMIFS(tblEnlaces[ValorOperativo (peso)], tblEnlaces[Nodo Origen], $C21, tblEnlaces[Nodo Destino], S$3, tblEnlaces[Activo], 1), 0)</f>
        <v>0</v>
      </c>
      <c r="T21" s="41">
        <f>IF(MatrizDeAdyacencia!T21=1, SUMIFS(tblEnlaces[ValorOperativo (peso)], tblEnlaces[Nodo Origen], $C21, tblEnlaces[Nodo Destino], T$3, tblEnlaces[Activo], 1), 0)</f>
        <v>0</v>
      </c>
      <c r="U21" s="41">
        <f>IF(MatrizDeAdyacencia!U21=1, SUMIFS(tblEnlaces[ValorOperativo (peso)], tblEnlaces[Nodo Origen], $C21, tblEnlaces[Nodo Destino], U$3, tblEnlaces[Activo], 1), 0)</f>
        <v>0</v>
      </c>
      <c r="V21" s="42">
        <f>IF(MatrizDeAdyacencia!V21=1, SUMIFS(tblEnlaces[ValorOperativo (peso)], tblEnlaces[Nodo Origen], $C21, tblEnlaces[Nodo Destino], V$3, tblEnlaces[Activo], 1), 0)</f>
        <v>14</v>
      </c>
      <c r="AF21"/>
      <c r="AG21"/>
      <c r="AH21"/>
      <c r="AI21"/>
      <c r="AJ21"/>
      <c r="AK21"/>
      <c r="AL21"/>
      <c r="AM21"/>
      <c r="AN21"/>
      <c r="AO21"/>
      <c r="AP21"/>
    </row>
    <row r="22" spans="1:42" ht="17.25" customHeight="1" x14ac:dyDescent="0.25">
      <c r="B22" s="16" t="str">
        <f>VLOOKUP(tblMatrizPonderadaValorOperativo[[#This Row],[NodoOrigen \ NodoDestino]],tblNodos[#All],2,FALSE)</f>
        <v>Destino operativo</v>
      </c>
      <c r="C22" s="11" t="s">
        <v>51</v>
      </c>
      <c r="D22" s="43">
        <f>IF(MatrizDeAdyacencia!D22=1, SUMIFS(tblEnlaces[ValorOperativo (peso)], tblEnlaces[Nodo Origen], $C22, tblEnlaces[Nodo Destino], D$3, tblEnlaces[Activo], 1), 0)</f>
        <v>0</v>
      </c>
      <c r="E22" s="43">
        <f>IF(MatrizDeAdyacencia!E22=1, SUMIFS(tblEnlaces[ValorOperativo (peso)], tblEnlaces[Nodo Origen], $C22, tblEnlaces[Nodo Destino], E$3, tblEnlaces[Activo], 1), 0)</f>
        <v>0</v>
      </c>
      <c r="F22" s="43">
        <f>IF(MatrizDeAdyacencia!F22=1, SUMIFS(tblEnlaces[ValorOperativo (peso)], tblEnlaces[Nodo Origen], $C22, tblEnlaces[Nodo Destino], F$3, tblEnlaces[Activo], 1), 0)</f>
        <v>0</v>
      </c>
      <c r="G22" s="43">
        <f>IF(MatrizDeAdyacencia!G22=1, SUMIFS(tblEnlaces[ValorOperativo (peso)], tblEnlaces[Nodo Origen], $C22, tblEnlaces[Nodo Destino], G$3, tblEnlaces[Activo], 1), 0)</f>
        <v>0</v>
      </c>
      <c r="H22" s="43">
        <f>IF(MatrizDeAdyacencia!H22=1, SUMIFS(tblEnlaces[ValorOperativo (peso)], tblEnlaces[Nodo Origen], $C22, tblEnlaces[Nodo Destino], H$3, tblEnlaces[Activo], 1), 0)</f>
        <v>0</v>
      </c>
      <c r="I22" s="43">
        <f>IF(MatrizDeAdyacencia!I22=1, SUMIFS(tblEnlaces[ValorOperativo (peso)], tblEnlaces[Nodo Origen], $C22, tblEnlaces[Nodo Destino], I$3, tblEnlaces[Activo], 1), 0)</f>
        <v>0</v>
      </c>
      <c r="J22" s="43">
        <f>IF(MatrizDeAdyacencia!J22=1, SUMIFS(tblEnlaces[ValorOperativo (peso)], tblEnlaces[Nodo Origen], $C22, tblEnlaces[Nodo Destino], J$3, tblEnlaces[Activo], 1), 0)</f>
        <v>0</v>
      </c>
      <c r="K22" s="43">
        <f>IF(MatrizDeAdyacencia!K22=1, SUMIFS(tblEnlaces[ValorOperativo (peso)], tblEnlaces[Nodo Origen], $C22, tblEnlaces[Nodo Destino], K$3, tblEnlaces[Activo], 1), 0)</f>
        <v>0</v>
      </c>
      <c r="L22" s="43">
        <f>IF(MatrizDeAdyacencia!L22=1, SUMIFS(tblEnlaces[ValorOperativo (peso)], tblEnlaces[Nodo Origen], $C22, tblEnlaces[Nodo Destino], L$3, tblEnlaces[Activo], 1), 0)</f>
        <v>0</v>
      </c>
      <c r="M22" s="43">
        <f>IF(MatrizDeAdyacencia!M22=1, SUMIFS(tblEnlaces[ValorOperativo (peso)], tblEnlaces[Nodo Origen], $C22, tblEnlaces[Nodo Destino], M$3, tblEnlaces[Activo], 1), 0)</f>
        <v>0</v>
      </c>
      <c r="N22" s="43">
        <f>IF(MatrizDeAdyacencia!N22=1, SUMIFS(tblEnlaces[ValorOperativo (peso)], tblEnlaces[Nodo Origen], $C22, tblEnlaces[Nodo Destino], N$3, tblEnlaces[Activo], 1), 0)</f>
        <v>0</v>
      </c>
      <c r="O22" s="43">
        <f>IF(MatrizDeAdyacencia!O22=1, SUMIFS(tblEnlaces[ValorOperativo (peso)], tblEnlaces[Nodo Origen], $C22, tblEnlaces[Nodo Destino], O$3, tblEnlaces[Activo], 1), 0)</f>
        <v>0</v>
      </c>
      <c r="P22" s="43">
        <f>IF(MatrizDeAdyacencia!P22=1, SUMIFS(tblEnlaces[ValorOperativo (peso)], tblEnlaces[Nodo Origen], $C22, tblEnlaces[Nodo Destino], P$3, tblEnlaces[Activo], 1), 0)</f>
        <v>0</v>
      </c>
      <c r="Q22" s="43">
        <f>IF(MatrizDeAdyacencia!Q22=1, SUMIFS(tblEnlaces[ValorOperativo (peso)], tblEnlaces[Nodo Origen], $C22, tblEnlaces[Nodo Destino], Q$3, tblEnlaces[Activo], 1), 0)</f>
        <v>0</v>
      </c>
      <c r="R22" s="43">
        <f>IF(MatrizDeAdyacencia!R22=1, SUMIFS(tblEnlaces[ValorOperativo (peso)], tblEnlaces[Nodo Origen], $C22, tblEnlaces[Nodo Destino], R$3, tblEnlaces[Activo], 1), 0)</f>
        <v>0</v>
      </c>
      <c r="S22" s="43">
        <f>IF(MatrizDeAdyacencia!S22=1, SUMIFS(tblEnlaces[ValorOperativo (peso)], tblEnlaces[Nodo Origen], $C22, tblEnlaces[Nodo Destino], S$3, tblEnlaces[Activo], 1), 0)</f>
        <v>0</v>
      </c>
      <c r="T22" s="43">
        <f>IF(MatrizDeAdyacencia!T22=1, SUMIFS(tblEnlaces[ValorOperativo (peso)], tblEnlaces[Nodo Origen], $C22, tblEnlaces[Nodo Destino], T$3, tblEnlaces[Activo], 1), 0)</f>
        <v>0</v>
      </c>
      <c r="U22" s="43">
        <f>IF(MatrizDeAdyacencia!U22=1, SUMIFS(tblEnlaces[ValorOperativo (peso)], tblEnlaces[Nodo Origen], $C22, tblEnlaces[Nodo Destino], U$3, tblEnlaces[Activo], 1), 0)</f>
        <v>0</v>
      </c>
      <c r="V22" s="44">
        <f>IF(MatrizDeAdyacencia!V22=1, SUMIFS(tblEnlaces[ValorOperativo (peso)], tblEnlaces[Nodo Origen], $C22, tblEnlaces[Nodo Destino], V$3, tblEnlaces[Activo], 1), 0)</f>
        <v>0</v>
      </c>
      <c r="AF22"/>
      <c r="AG22"/>
      <c r="AH22"/>
      <c r="AI22"/>
      <c r="AJ22"/>
      <c r="AK22"/>
      <c r="AL22"/>
      <c r="AM22"/>
      <c r="AN22"/>
      <c r="AO22"/>
      <c r="AP22"/>
    </row>
    <row r="23" spans="1:42" ht="17.2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J23"/>
      <c r="AK23"/>
      <c r="AL23"/>
      <c r="AM23"/>
      <c r="AN23"/>
      <c r="AO23"/>
      <c r="AP23"/>
    </row>
    <row r="24" spans="1:42" ht="17.2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1:42" ht="17.2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 ht="17.2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1:42" ht="17.2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1:42" ht="17.2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1:42" ht="17.2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1:42" ht="17.2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1:42" ht="17.2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1:42" ht="17.2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1:42" ht="17.2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1:42" ht="17.2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1:42" ht="17.2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1:42" ht="17.2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1:42" ht="17.2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 ht="17.2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ht="17.2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ht="17.2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</sheetData>
  <mergeCells count="2">
    <mergeCell ref="Y3:AC3"/>
    <mergeCell ref="B2:C2"/>
  </mergeCells>
  <conditionalFormatting sqref="D4:V22">
    <cfRule type="colorScale" priority="1">
      <colorScale>
        <cfvo type="num" val="0"/>
        <cfvo type="formula" val="$AD$13"/>
        <cfvo type="max"/>
        <color rgb="FFFCFCFF"/>
        <color rgb="FFFFEB84"/>
        <color rgb="FFF8696B"/>
      </colorScale>
    </cfRule>
    <cfRule type="cellIs" dxfId="3" priority="2" operator="equal">
      <formula>0</formula>
    </cfRule>
  </conditionalFormatting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CAE7-662B-4835-878B-8565ACFD423F}">
  <dimension ref="B2:AR200"/>
  <sheetViews>
    <sheetView showGridLines="0" topLeftCell="D2" zoomScaleNormal="100" workbookViewId="0">
      <selection activeCell="AC8" sqref="AC8"/>
    </sheetView>
  </sheetViews>
  <sheetFormatPr baseColWidth="10" defaultColWidth="9.140625" defaultRowHeight="17.25" customHeight="1" x14ac:dyDescent="0.25"/>
  <cols>
    <col min="1" max="1" width="4.140625" style="4" customWidth="1"/>
    <col min="2" max="2" width="32.140625" style="4" customWidth="1"/>
    <col min="3" max="3" width="13.7109375" style="4" customWidth="1"/>
    <col min="4" max="4" width="6.7109375" style="4" customWidth="1"/>
    <col min="5" max="22" width="5.140625" style="4" customWidth="1"/>
    <col min="23" max="23" width="9.140625" style="4" customWidth="1"/>
    <col min="24" max="24" width="34.42578125" style="4" customWidth="1"/>
    <col min="25" max="25" width="11.85546875" style="4" customWidth="1"/>
    <col min="26" max="26" width="6.85546875" style="4" customWidth="1"/>
    <col min="27" max="44" width="5.42578125" style="4" customWidth="1"/>
    <col min="45" max="16384" width="9.140625" style="4"/>
  </cols>
  <sheetData>
    <row r="2" spans="2:44" s="15" customFormat="1" ht="121.5" customHeight="1" x14ac:dyDescent="0.25">
      <c r="B2" s="62" t="s">
        <v>210</v>
      </c>
      <c r="C2" s="63"/>
      <c r="D2" s="27" t="str">
        <f>VLOOKUP(tblMatrizTradeOff[[#Headers],[O1]],tblNodos[#All],2,FALSE)</f>
        <v>Coerción y cobros forzosos</v>
      </c>
      <c r="E2" s="27" t="str">
        <f>VLOOKUP(tblMatrizTradeOff[[#Headers],[O2]],tblNodos[#All],2,FALSE)</f>
        <v>Contrabando / tráfico / comercio ilícito</v>
      </c>
      <c r="F2" s="27" t="str">
        <f>VLOOKUP(tblMatrizTradeOff[[#Headers],[O3]],tblNodos[#All],2,FALSE)</f>
        <v>Explotación de recursos naturales</v>
      </c>
      <c r="G2" s="27" t="str">
        <f>VLOOKUP(tblMatrizTradeOff[[#Headers],[O4]],tblNodos[#All],2,FALSE)</f>
        <v>Autofinanciación lícita / microfinanciación</v>
      </c>
      <c r="H2" s="27" t="str">
        <f>VLOOKUP(tblMatrizTradeOff[[#Headers],[O5]],tblNodos[#All],2,FALSE)</f>
        <v>Actividades económicas formales / negocios</v>
      </c>
      <c r="I2" s="27" t="str">
        <f>VLOOKUP(tblMatrizTradeOff[[#Headers],[O6]],tblNodos[#All],2,FALSE)</f>
        <v>Donaciones / crowdfunding / apoyo online</v>
      </c>
      <c r="J2" s="27" t="str">
        <f>VLOOKUP(tblMatrizTradeOff[[#Headers],[I1]],tblNodos[#All],2,FALSE)</f>
        <v>Efectivo</v>
      </c>
      <c r="K2" s="27" t="str">
        <f>VLOOKUP(tblMatrizTradeOff[[#Headers],[I2]],tblNodos[#All],2,FALSE)</f>
        <v>Hawala / HOSSP</v>
      </c>
      <c r="L2" s="27" t="str">
        <f>VLOOKUP(tblMatrizTradeOff[[#Headers],[I3]],tblNodos[#All],2,FALSE)</f>
        <v>MVTS / remesas</v>
      </c>
      <c r="M2" s="27" t="str">
        <f>VLOOKUP(tblMatrizTradeOff[[#Headers],[I4]],tblNodos[#All],2,FALSE)</f>
        <v>Dinero móvil</v>
      </c>
      <c r="N2" s="27" t="str">
        <f>VLOOKUP(tblMatrizTradeOff[[#Headers],[I5]],tblNodos[#All],2,FALSE)</f>
        <v>Pagos online</v>
      </c>
      <c r="O2" s="27" t="str">
        <f>VLOOKUP(tblMatrizTradeOff[[#Headers],[I6]],tblNodos[#All],2,FALSE)</f>
        <v>Servicios bancarios</v>
      </c>
      <c r="P2" s="27" t="str">
        <f>VLOOKUP(tblMatrizTradeOff[[#Headers],[I7]],tblNodos[#All],2,FALSE)</f>
        <v>Tarjetas prepago / e-wallets</v>
      </c>
      <c r="Q2" s="27" t="str">
        <f>VLOOKUP(tblMatrizTradeOff[[#Headers],[I8]],tblNodos[#All],2,FALSE)</f>
        <v>Plataformas digitales</v>
      </c>
      <c r="R2" s="27" t="str">
        <f>VLOOKUP(tblMatrizTradeOff[[#Headers],[I9]],tblNodos[#All],2,FALSE)</f>
        <v>Activos virtuales</v>
      </c>
      <c r="S2" s="27" t="str">
        <f>VLOOKUP(tblMatrizTradeOff[[#Headers],[G1]],tblNodos[#All],2,FALSE)</f>
        <v>Tesorería central</v>
      </c>
      <c r="T2" s="27" t="str">
        <f>VLOOKUP(tblMatrizTradeOff[[#Headers],[G2]],tblNodos[#All],2,FALSE)</f>
        <v>Centro financiero regional / célula</v>
      </c>
      <c r="U2" s="27" t="str">
        <f>VLOOKUP(tblMatrizTradeOff[[#Headers],[G3]],tblNodos[#All],2,FALSE)</f>
        <v>Facilitador externo / entidad instrumental</v>
      </c>
      <c r="V2" s="27" t="str">
        <f>VLOOKUP(tblMatrizTradeOff[[#Headers],[D]],tblNodos[#All],2,FALSE)</f>
        <v>Destino operativo</v>
      </c>
      <c r="W2"/>
      <c r="X2" s="62" t="s">
        <v>224</v>
      </c>
      <c r="Y2" s="63"/>
      <c r="Z2" s="27" t="str">
        <f>VLOOKUP(tblMatrizDistancias[[#Headers],[O1]],tblNodos[#All],2,FALSE)</f>
        <v>Coerción y cobros forzosos</v>
      </c>
      <c r="AA2" s="27" t="str">
        <f>VLOOKUP(tblMatrizDistancias[[#Headers],[O2]],tblNodos[#All],2,FALSE)</f>
        <v>Contrabando / tráfico / comercio ilícito</v>
      </c>
      <c r="AB2" s="27" t="str">
        <f>VLOOKUP(tblMatrizDistancias[[#Headers],[O3]],tblNodos[#All],2,FALSE)</f>
        <v>Explotación de recursos naturales</v>
      </c>
      <c r="AC2" s="27" t="str">
        <f>VLOOKUP(tblMatrizDistancias[[#Headers],[O4]],tblNodos[#All],2,FALSE)</f>
        <v>Autofinanciación lícita / microfinanciación</v>
      </c>
      <c r="AD2" s="27" t="str">
        <f>VLOOKUP(tblMatrizDistancias[[#Headers],[O5]],tblNodos[#All],2,FALSE)</f>
        <v>Actividades económicas formales / negocios</v>
      </c>
      <c r="AE2" s="27" t="str">
        <f>VLOOKUP(tblMatrizDistancias[[#Headers],[O6]],tblNodos[#All],2,FALSE)</f>
        <v>Donaciones / crowdfunding / apoyo online</v>
      </c>
      <c r="AF2" s="27" t="str">
        <f>VLOOKUP(tblMatrizDistancias[[#Headers],[I1]],tblNodos[#All],2,FALSE)</f>
        <v>Efectivo</v>
      </c>
      <c r="AG2" s="27" t="str">
        <f>VLOOKUP(tblMatrizDistancias[[#Headers],[I2]],tblNodos[#All],2,FALSE)</f>
        <v>Hawala / HOSSP</v>
      </c>
      <c r="AH2" s="27" t="str">
        <f>VLOOKUP(tblMatrizDistancias[[#Headers],[I3]],tblNodos[#All],2,FALSE)</f>
        <v>MVTS / remesas</v>
      </c>
      <c r="AI2" s="27" t="str">
        <f>VLOOKUP(tblMatrizDistancias[[#Headers],[I4]],tblNodos[#All],2,FALSE)</f>
        <v>Dinero móvil</v>
      </c>
      <c r="AJ2" s="27" t="str">
        <f>VLOOKUP(tblMatrizDistancias[[#Headers],[I5]],tblNodos[#All],2,FALSE)</f>
        <v>Pagos online</v>
      </c>
      <c r="AK2" s="27" t="str">
        <f>VLOOKUP(tblMatrizDistancias[[#Headers],[I6]],tblNodos[#All],2,FALSE)</f>
        <v>Servicios bancarios</v>
      </c>
      <c r="AL2" s="27" t="str">
        <f>VLOOKUP(tblMatrizDistancias[[#Headers],[I7]],tblNodos[#All],2,FALSE)</f>
        <v>Tarjetas prepago / e-wallets</v>
      </c>
      <c r="AM2" s="27" t="str">
        <f>VLOOKUP(tblMatrizDistancias[[#Headers],[I8]],tblNodos[#All],2,FALSE)</f>
        <v>Plataformas digitales</v>
      </c>
      <c r="AN2" s="27" t="str">
        <f>VLOOKUP(tblMatrizDistancias[[#Headers],[I9]],tblNodos[#All],2,FALSE)</f>
        <v>Activos virtuales</v>
      </c>
      <c r="AO2" s="27" t="str">
        <f>VLOOKUP(tblMatrizDistancias[[#Headers],[G1]],tblNodos[#All],2,FALSE)</f>
        <v>Tesorería central</v>
      </c>
      <c r="AP2" s="27" t="str">
        <f>VLOOKUP(tblMatrizDistancias[[#Headers],[G2]],tblNodos[#All],2,FALSE)</f>
        <v>Centro financiero regional / célula</v>
      </c>
      <c r="AQ2" s="27" t="str">
        <f>VLOOKUP(tblMatrizDistancias[[#Headers],[G3]],tblNodos[#All],2,FALSE)</f>
        <v>Facilitador externo / entidad instrumental</v>
      </c>
      <c r="AR2" s="27" t="str">
        <f>VLOOKUP(tblMatrizDistancias[[#Headers],[D]],tblNodos[#All],2,FALSE)</f>
        <v>Destino operativo</v>
      </c>
    </row>
    <row r="3" spans="2:44" ht="33" customHeight="1" x14ac:dyDescent="0.25">
      <c r="B3" s="8" t="s">
        <v>189</v>
      </c>
      <c r="C3" s="61" t="s">
        <v>190</v>
      </c>
      <c r="D3" s="9" t="s">
        <v>25</v>
      </c>
      <c r="E3" s="9" t="s">
        <v>38</v>
      </c>
      <c r="F3" s="9" t="s">
        <v>46</v>
      </c>
      <c r="G3" s="9" t="s">
        <v>53</v>
      </c>
      <c r="H3" s="9" t="s">
        <v>60</v>
      </c>
      <c r="I3" s="9" t="s">
        <v>65</v>
      </c>
      <c r="J3" s="9" t="s">
        <v>28</v>
      </c>
      <c r="K3" s="9" t="s">
        <v>41</v>
      </c>
      <c r="L3" s="9" t="s">
        <v>49</v>
      </c>
      <c r="M3" s="9" t="s">
        <v>56</v>
      </c>
      <c r="N3" s="9" t="s">
        <v>82</v>
      </c>
      <c r="O3" s="9" t="s">
        <v>86</v>
      </c>
      <c r="P3" s="9" t="s">
        <v>90</v>
      </c>
      <c r="Q3" s="9" t="s">
        <v>94</v>
      </c>
      <c r="R3" s="9" t="s">
        <v>63</v>
      </c>
      <c r="S3" s="9" t="s">
        <v>101</v>
      </c>
      <c r="T3" s="9" t="s">
        <v>105</v>
      </c>
      <c r="U3" s="9" t="s">
        <v>109</v>
      </c>
      <c r="V3" s="10" t="s">
        <v>51</v>
      </c>
      <c r="W3"/>
      <c r="X3" s="8" t="s">
        <v>189</v>
      </c>
      <c r="Y3" s="61" t="s">
        <v>190</v>
      </c>
      <c r="Z3" s="9" t="s">
        <v>25</v>
      </c>
      <c r="AA3" s="9" t="s">
        <v>38</v>
      </c>
      <c r="AB3" s="9" t="s">
        <v>46</v>
      </c>
      <c r="AC3" s="9" t="s">
        <v>53</v>
      </c>
      <c r="AD3" s="9" t="s">
        <v>60</v>
      </c>
      <c r="AE3" s="9" t="s">
        <v>65</v>
      </c>
      <c r="AF3" s="9" t="s">
        <v>28</v>
      </c>
      <c r="AG3" s="9" t="s">
        <v>41</v>
      </c>
      <c r="AH3" s="9" t="s">
        <v>49</v>
      </c>
      <c r="AI3" s="9" t="s">
        <v>56</v>
      </c>
      <c r="AJ3" s="9" t="s">
        <v>82</v>
      </c>
      <c r="AK3" s="9" t="s">
        <v>86</v>
      </c>
      <c r="AL3" s="9" t="s">
        <v>90</v>
      </c>
      <c r="AM3" s="9" t="s">
        <v>94</v>
      </c>
      <c r="AN3" s="9" t="s">
        <v>63</v>
      </c>
      <c r="AO3" s="9" t="s">
        <v>101</v>
      </c>
      <c r="AP3" s="9" t="s">
        <v>105</v>
      </c>
      <c r="AQ3" s="9" t="s">
        <v>109</v>
      </c>
      <c r="AR3" s="10" t="s">
        <v>51</v>
      </c>
    </row>
    <row r="4" spans="2:44" ht="17.25" customHeight="1" x14ac:dyDescent="0.25">
      <c r="B4" s="14" t="str">
        <f>VLOOKUP(tblMatrizTradeOff[[#This Row],[NodoOrigen \ NodoDestino]],tblNodos[#All],2,FALSE)</f>
        <v>Coerción y cobros forzosos</v>
      </c>
      <c r="C4" s="6" t="s">
        <v>25</v>
      </c>
      <c r="D4" s="49">
        <f>IF(OR(MatrizPonderadaCostes!D4=0,MatrizPonderadaValorOperativo!D4=0),0,MatrizPonderadaValorOperativo!D4/MatrizPonderadaCostes!D4)</f>
        <v>0</v>
      </c>
      <c r="E4" s="49">
        <f>IF(OR(MatrizPonderadaCostes!E4=0,MatrizPonderadaValorOperativo!E4=0),0,MatrizPonderadaValorOperativo!E4/MatrizPonderadaCostes!E4)</f>
        <v>0</v>
      </c>
      <c r="F4" s="49">
        <f>IF(OR(MatrizPonderadaCostes!F4=0,MatrizPonderadaValorOperativo!F4=0),0,MatrizPonderadaValorOperativo!F4/MatrizPonderadaCostes!F4)</f>
        <v>0</v>
      </c>
      <c r="G4" s="49">
        <f>IF(OR(MatrizPonderadaCostes!G4=0,MatrizPonderadaValorOperativo!G4=0),0,MatrizPonderadaValorOperativo!G4/MatrizPonderadaCostes!G4)</f>
        <v>0</v>
      </c>
      <c r="H4" s="49">
        <f>IF(OR(MatrizPonderadaCostes!H4=0,MatrizPonderadaValorOperativo!H4=0),0,MatrizPonderadaValorOperativo!H4/MatrizPonderadaCostes!H4)</f>
        <v>0</v>
      </c>
      <c r="I4" s="49">
        <f>IF(OR(MatrizPonderadaCostes!I4=0,MatrizPonderadaValorOperativo!I4=0),0,MatrizPonderadaValorOperativo!I4/MatrizPonderadaCostes!I4)</f>
        <v>0</v>
      </c>
      <c r="J4" s="49">
        <f>IF(OR(MatrizPonderadaCostes!J4=0,MatrizPonderadaValorOperativo!J4=0),0,MatrizPonderadaValorOperativo!J4/MatrizPonderadaCostes!J4)</f>
        <v>3.6</v>
      </c>
      <c r="K4" s="49">
        <f>IF(OR(MatrizPonderadaCostes!K4=0,MatrizPonderadaValorOperativo!K4=0),0,MatrizPonderadaValorOperativo!K4/MatrizPonderadaCostes!K4)</f>
        <v>6</v>
      </c>
      <c r="L4" s="49">
        <f>IF(OR(MatrizPonderadaCostes!L4=0,MatrizPonderadaValorOperativo!L4=0),0,MatrizPonderadaValorOperativo!L4/MatrizPonderadaCostes!L4)</f>
        <v>4.666666666666667</v>
      </c>
      <c r="M4" s="49">
        <f>IF(OR(MatrizPonderadaCostes!M4=0,MatrizPonderadaValorOperativo!M4=0),0,MatrizPonderadaValorOperativo!M4/MatrizPonderadaCostes!M4)</f>
        <v>3.5</v>
      </c>
      <c r="N4" s="49">
        <f>IF(OR(MatrizPonderadaCostes!N4=0,MatrizPonderadaValorOperativo!N4=0),0,MatrizPonderadaValorOperativo!N4/MatrizPonderadaCostes!N4)</f>
        <v>0</v>
      </c>
      <c r="O4" s="49">
        <f>IF(OR(MatrizPonderadaCostes!O4=0,MatrizPonderadaValorOperativo!O4=0),0,MatrizPonderadaValorOperativo!O4/MatrizPonderadaCostes!O4)</f>
        <v>0</v>
      </c>
      <c r="P4" s="49">
        <f>IF(OR(MatrizPonderadaCostes!P4=0,MatrizPonderadaValorOperativo!P4=0),0,MatrizPonderadaValorOperativo!P4/MatrizPonderadaCostes!P4)</f>
        <v>0</v>
      </c>
      <c r="Q4" s="49">
        <f>IF(OR(MatrizPonderadaCostes!Q4=0,MatrizPonderadaValorOperativo!Q4=0),0,MatrizPonderadaValorOperativo!Q4/MatrizPonderadaCostes!Q4)</f>
        <v>0</v>
      </c>
      <c r="R4" s="49">
        <f>IF(OR(MatrizPonderadaCostes!R4=0,MatrizPonderadaValorOperativo!R4=0),0,MatrizPonderadaValorOperativo!R4/MatrizPonderadaCostes!R4)</f>
        <v>4</v>
      </c>
      <c r="S4" s="49">
        <f>IF(OR(MatrizPonderadaCostes!S4=0,MatrizPonderadaValorOperativo!S4=0),0,MatrizPonderadaValorOperativo!S4/MatrizPonderadaCostes!S4)</f>
        <v>0</v>
      </c>
      <c r="T4" s="49">
        <f>IF(OR(MatrizPonderadaCostes!T4=0,MatrizPonderadaValorOperativo!T4=0),0,MatrizPonderadaValorOperativo!T4/MatrizPonderadaCostes!T4)</f>
        <v>0</v>
      </c>
      <c r="U4" s="49">
        <f>IF(OR(MatrizPonderadaCostes!U4=0,MatrizPonderadaValorOperativo!U4=0),0,MatrizPonderadaValorOperativo!U4/MatrizPonderadaCostes!U4)</f>
        <v>0</v>
      </c>
      <c r="V4" s="50">
        <f>IF(OR(MatrizPonderadaCostes!V4=0,MatrizPonderadaValorOperativo!V4=0),0,MatrizPonderadaValorOperativo!V4/MatrizPonderadaCostes!V4)</f>
        <v>0</v>
      </c>
      <c r="W4"/>
      <c r="X4" s="14" t="str">
        <f>VLOOKUP(tblMatrizDistancias[[#This Row],[NodoOrigen \ NodoDestino]],tblNodos[#All],2,FALSE)</f>
        <v>Coerción y cobros forzosos</v>
      </c>
      <c r="Y4" s="6" t="s">
        <v>25</v>
      </c>
      <c r="Z4" s="49">
        <f>IF(tblMatrizDistancias[[#This Row],[NodoOrigen \ NodoDestino]]="O1",0,IF(tblMatrizTradeOff[[#This Row],[O1]]=0,9999,1/tblMatrizTradeOff[[#This Row],[O1]]))</f>
        <v>0</v>
      </c>
      <c r="AA4" s="49">
        <f>IF(tblMatrizDistancias[[#This Row],[NodoOrigen \ NodoDestino]]="O2",0,IF(tblMatrizTradeOff[[#This Row],[O2]]=0,9999,1/tblMatrizTradeOff[[#This Row],[O2]]))</f>
        <v>9999</v>
      </c>
      <c r="AB4" s="49">
        <f>IF(tblMatrizDistancias[[#This Row],[NodoOrigen \ NodoDestino]]="O3",0,IF(tblMatrizTradeOff[[#This Row],[O3]]=0,9999,1/tblMatrizTradeOff[[#This Row],[O3]]))</f>
        <v>9999</v>
      </c>
      <c r="AC4" s="49">
        <f>IF(tblMatrizDistancias[[#This Row],[NodoOrigen \ NodoDestino]]="O4",0,IF(tblMatrizTradeOff[[#This Row],[O4]]=0,9999,1/tblMatrizTradeOff[[#This Row],[O4]]))</f>
        <v>9999</v>
      </c>
      <c r="AD4" s="49">
        <f>IF(tblMatrizDistancias[[#This Row],[NodoOrigen \ NodoDestino]]="O5",0,IF(tblMatrizTradeOff[[#This Row],[O5]]=0,9999,1/tblMatrizTradeOff[[#This Row],[O5]]))</f>
        <v>9999</v>
      </c>
      <c r="AE4" s="49">
        <f>IF(tblMatrizDistancias[[#This Row],[NodoOrigen \ NodoDestino]]="O6",0,IF(tblMatrizTradeOff[[#This Row],[O6]]=0,9999,1/tblMatrizTradeOff[[#This Row],[O6]]))</f>
        <v>9999</v>
      </c>
      <c r="AF4" s="49">
        <f>IF(tblMatrizDistancias[[#This Row],[NodoOrigen \ NodoDestino]]="I1",0,IF(tblMatrizTradeOff[[#This Row],[I1]]=0,9999,1/tblMatrizTradeOff[[#This Row],[I1]]))</f>
        <v>0.27777777777777779</v>
      </c>
      <c r="AG4" s="49">
        <f>IF(tblMatrizDistancias[[#This Row],[NodoOrigen \ NodoDestino]]="I2",0,IF(tblMatrizTradeOff[[#This Row],[I2]]=0,9999,1/tblMatrizTradeOff[[#This Row],[I2]]))</f>
        <v>0.16666666666666666</v>
      </c>
      <c r="AH4" s="49">
        <f>IF(tblMatrizDistancias[[#This Row],[NodoOrigen \ NodoDestino]]="I3",0,IF(tblMatrizTradeOff[[#This Row],[I3]]=0,9999,1/tblMatrizTradeOff[[#This Row],[I3]]))</f>
        <v>0.21428571428571427</v>
      </c>
      <c r="AI4" s="49">
        <f>IF(tblMatrizDistancias[[#This Row],[NodoOrigen \ NodoDestino]]="I4",0,IF(tblMatrizTradeOff[[#This Row],[I4]]=0,9999,1/tblMatrizTradeOff[[#This Row],[I4]]))</f>
        <v>0.2857142857142857</v>
      </c>
      <c r="AJ4" s="49">
        <f>IF(tblMatrizDistancias[[#This Row],[NodoOrigen \ NodoDestino]]="I5",0,IF(tblMatrizTradeOff[[#This Row],[I5]]=0,9999,1/tblMatrizTradeOff[[#This Row],[I5]]))</f>
        <v>9999</v>
      </c>
      <c r="AK4" s="49">
        <f>IF(tblMatrizDistancias[[#This Row],[NodoOrigen \ NodoDestino]]="I6",0,IF(tblMatrizTradeOff[[#This Row],[I6]]=0,9999,1/tblMatrizTradeOff[[#This Row],[I6]]))</f>
        <v>9999</v>
      </c>
      <c r="AL4" s="49">
        <f>IF(tblMatrizDistancias[[#This Row],[NodoOrigen \ NodoDestino]]="I7",0,IF(tblMatrizTradeOff[[#This Row],[I7]]=0,9999,1/tblMatrizTradeOff[[#This Row],[I7]]))</f>
        <v>9999</v>
      </c>
      <c r="AM4" s="49">
        <f>IF(tblMatrizDistancias[[#This Row],[NodoOrigen \ NodoDestino]]="I8",0,IF(tblMatrizTradeOff[[#This Row],[I8]]=0,9999,1/tblMatrizTradeOff[[#This Row],[I8]]))</f>
        <v>9999</v>
      </c>
      <c r="AN4" s="49">
        <f>IF(tblMatrizDistancias[[#This Row],[NodoOrigen \ NodoDestino]]="I9",0,IF(tblMatrizTradeOff[[#This Row],[I9]]=0,9999,1/tblMatrizTradeOff[[#This Row],[I9]]))</f>
        <v>0.25</v>
      </c>
      <c r="AO4" s="49">
        <f>IF(tblMatrizDistancias[[#This Row],[NodoOrigen \ NodoDestino]]="G1",0,IF(tblMatrizTradeOff[[#This Row],[G1]]=0,9999,1/tblMatrizTradeOff[[#This Row],[G1]]))</f>
        <v>9999</v>
      </c>
      <c r="AP4" s="49">
        <f>IF(tblMatrizDistancias[[#This Row],[NodoOrigen \ NodoDestino]]="G2",0,IF(tblMatrizTradeOff[[#This Row],[G2]]=0,9999,1/tblMatrizTradeOff[[#This Row],[G2]]))</f>
        <v>9999</v>
      </c>
      <c r="AQ4" s="49">
        <f>IF(tblMatrizDistancias[[#This Row],[NodoOrigen \ NodoDestino]]="G3",0,IF(tblMatrizTradeOff[[#This Row],[G3]]=0,9999,1/tblMatrizTradeOff[[#This Row],[G3]]))</f>
        <v>9999</v>
      </c>
      <c r="AR4" s="49">
        <f>IF(tblMatrizDistancias[[#This Row],[NodoOrigen \ NodoDestino]]="D",0,IF(tblMatrizTradeOff[[#This Row],[D]]=0,9999,1/tblMatrizTradeOff[[#This Row],[D]]))</f>
        <v>9999</v>
      </c>
    </row>
    <row r="5" spans="2:44" ht="17.25" customHeight="1" x14ac:dyDescent="0.25">
      <c r="B5" s="15" t="str">
        <f>VLOOKUP(tblMatrizTradeOff[[#This Row],[NodoOrigen \ NodoDestino]],tblNodos[#All],2,FALSE)</f>
        <v>Contrabando / tráfico / comercio ilícito</v>
      </c>
      <c r="C5" s="6" t="s">
        <v>38</v>
      </c>
      <c r="D5" s="49">
        <f>IF(OR(MatrizPonderadaCostes!D5=0,MatrizPonderadaValorOperativo!D5=0),0,MatrizPonderadaValorOperativo!D5/MatrizPonderadaCostes!D5)</f>
        <v>0</v>
      </c>
      <c r="E5" s="49">
        <f>IF(OR(MatrizPonderadaCostes!E5=0,MatrizPonderadaValorOperativo!E5=0),0,MatrizPonderadaValorOperativo!E5/MatrizPonderadaCostes!E5)</f>
        <v>0</v>
      </c>
      <c r="F5" s="49">
        <f>IF(OR(MatrizPonderadaCostes!F5=0,MatrizPonderadaValorOperativo!F5=0),0,MatrizPonderadaValorOperativo!F5/MatrizPonderadaCostes!F5)</f>
        <v>0</v>
      </c>
      <c r="G5" s="49">
        <f>IF(OR(MatrizPonderadaCostes!G5=0,MatrizPonderadaValorOperativo!G5=0),0,MatrizPonderadaValorOperativo!G5/MatrizPonderadaCostes!G5)</f>
        <v>0</v>
      </c>
      <c r="H5" s="49">
        <f>IF(OR(MatrizPonderadaCostes!H5=0,MatrizPonderadaValorOperativo!H5=0),0,MatrizPonderadaValorOperativo!H5/MatrizPonderadaCostes!H5)</f>
        <v>0</v>
      </c>
      <c r="I5" s="49">
        <f>IF(OR(MatrizPonderadaCostes!I5=0,MatrizPonderadaValorOperativo!I5=0),0,MatrizPonderadaValorOperativo!I5/MatrizPonderadaCostes!I5)</f>
        <v>0</v>
      </c>
      <c r="J5" s="49">
        <f>IF(OR(MatrizPonderadaCostes!J5=0,MatrizPonderadaValorOperativo!J5=0),0,MatrizPonderadaValorOperativo!J5/MatrizPonderadaCostes!J5)</f>
        <v>3.4</v>
      </c>
      <c r="K5" s="49">
        <f>IF(OR(MatrizPonderadaCostes!K5=0,MatrizPonderadaValorOperativo!K5=0),0,MatrizPonderadaValorOperativo!K5/MatrizPonderadaCostes!K5)</f>
        <v>6.333333333333333</v>
      </c>
      <c r="L5" s="49">
        <f>IF(OR(MatrizPonderadaCostes!L5=0,MatrizPonderadaValorOperativo!L5=0),0,MatrizPonderadaValorOperativo!L5/MatrizPonderadaCostes!L5)</f>
        <v>4.666666666666667</v>
      </c>
      <c r="M5" s="49">
        <f>IF(OR(MatrizPonderadaCostes!M5=0,MatrizPonderadaValorOperativo!M5=0),0,MatrizPonderadaValorOperativo!M5/MatrizPonderadaCostes!M5)</f>
        <v>0</v>
      </c>
      <c r="N5" s="49">
        <f>IF(OR(MatrizPonderadaCostes!N5=0,MatrizPonderadaValorOperativo!N5=0),0,MatrizPonderadaValorOperativo!N5/MatrizPonderadaCostes!N5)</f>
        <v>0</v>
      </c>
      <c r="O5" s="49">
        <f>IF(OR(MatrizPonderadaCostes!O5=0,MatrizPonderadaValorOperativo!O5=0),0,MatrizPonderadaValorOperativo!O5/MatrizPonderadaCostes!O5)</f>
        <v>0</v>
      </c>
      <c r="P5" s="49">
        <f>IF(OR(MatrizPonderadaCostes!P5=0,MatrizPonderadaValorOperativo!P5=0),0,MatrizPonderadaValorOperativo!P5/MatrizPonderadaCostes!P5)</f>
        <v>0</v>
      </c>
      <c r="Q5" s="49">
        <f>IF(OR(MatrizPonderadaCostes!Q5=0,MatrizPonderadaValorOperativo!Q5=0),0,MatrizPonderadaValorOperativo!Q5/MatrizPonderadaCostes!Q5)</f>
        <v>0</v>
      </c>
      <c r="R5" s="49">
        <f>IF(OR(MatrizPonderadaCostes!R5=0,MatrizPonderadaValorOperativo!R5=0),0,MatrizPonderadaValorOperativo!R5/MatrizPonderadaCostes!R5)</f>
        <v>0</v>
      </c>
      <c r="S5" s="49">
        <f>IF(OR(MatrizPonderadaCostes!S5=0,MatrizPonderadaValorOperativo!S5=0),0,MatrizPonderadaValorOperativo!S5/MatrizPonderadaCostes!S5)</f>
        <v>0</v>
      </c>
      <c r="T5" s="49">
        <f>IF(OR(MatrizPonderadaCostes!T5=0,MatrizPonderadaValorOperativo!T5=0),0,MatrizPonderadaValorOperativo!T5/MatrizPonderadaCostes!T5)</f>
        <v>0</v>
      </c>
      <c r="U5" s="49">
        <f>IF(OR(MatrizPonderadaCostes!U5=0,MatrizPonderadaValorOperativo!U5=0),0,MatrizPonderadaValorOperativo!U5/MatrizPonderadaCostes!U5)</f>
        <v>0</v>
      </c>
      <c r="V5" s="50">
        <f>IF(OR(MatrizPonderadaCostes!V5=0,MatrizPonderadaValorOperativo!V5=0),0,MatrizPonderadaValorOperativo!V5/MatrizPonderadaCostes!V5)</f>
        <v>0</v>
      </c>
      <c r="W5"/>
      <c r="X5" s="15" t="str">
        <f>VLOOKUP(tblMatrizDistancias[[#This Row],[NodoOrigen \ NodoDestino]],tblNodos[#All],2,FALSE)</f>
        <v>Contrabando / tráfico / comercio ilícito</v>
      </c>
      <c r="Y5" s="6" t="s">
        <v>38</v>
      </c>
      <c r="Z5" s="49">
        <f>IF(tblMatrizDistancias[[#This Row],[NodoOrigen \ NodoDestino]]="O1",0,IF(tblMatrizTradeOff[[#This Row],[O1]]=0,9999,1/tblMatrizTradeOff[[#This Row],[O1]]))</f>
        <v>9999</v>
      </c>
      <c r="AA5" s="49">
        <f>IF(tblMatrizDistancias[[#This Row],[NodoOrigen \ NodoDestino]]="O2",0,IF(tblMatrizTradeOff[[#This Row],[O2]]=0,9999,1/tblMatrizTradeOff[[#This Row],[O2]]))</f>
        <v>0</v>
      </c>
      <c r="AB5" s="49">
        <f>IF(tblMatrizDistancias[[#This Row],[NodoOrigen \ NodoDestino]]="O3",0,IF(tblMatrizTradeOff[[#This Row],[O3]]=0,9999,1/tblMatrizTradeOff[[#This Row],[O3]]))</f>
        <v>9999</v>
      </c>
      <c r="AC5" s="49">
        <f>IF(tblMatrizDistancias[[#This Row],[NodoOrigen \ NodoDestino]]="O4",0,IF(tblMatrizTradeOff[[#This Row],[O4]]=0,9999,1/tblMatrizTradeOff[[#This Row],[O4]]))</f>
        <v>9999</v>
      </c>
      <c r="AD5" s="49">
        <f>IF(tblMatrizDistancias[[#This Row],[NodoOrigen \ NodoDestino]]="O5",0,IF(tblMatrizTradeOff[[#This Row],[O5]]=0,9999,1/tblMatrizTradeOff[[#This Row],[O5]]))</f>
        <v>9999</v>
      </c>
      <c r="AE5" s="49">
        <f>IF(tblMatrizDistancias[[#This Row],[NodoOrigen \ NodoDestino]]="O6",0,IF(tblMatrizTradeOff[[#This Row],[O6]]=0,9999,1/tblMatrizTradeOff[[#This Row],[O6]]))</f>
        <v>9999</v>
      </c>
      <c r="AF5" s="49">
        <f>IF(tblMatrizDistancias[[#This Row],[NodoOrigen \ NodoDestino]]="I1",0,IF(tblMatrizTradeOff[[#This Row],[I1]]=0,9999,1/tblMatrizTradeOff[[#This Row],[I1]]))</f>
        <v>0.29411764705882354</v>
      </c>
      <c r="AG5" s="49">
        <f>IF(tblMatrizDistancias[[#This Row],[NodoOrigen \ NodoDestino]]="I2",0,IF(tblMatrizTradeOff[[#This Row],[I2]]=0,9999,1/tblMatrizTradeOff[[#This Row],[I2]]))</f>
        <v>0.15789473684210528</v>
      </c>
      <c r="AH5" s="49">
        <f>IF(tblMatrizDistancias[[#This Row],[NodoOrigen \ NodoDestino]]="I3",0,IF(tblMatrizTradeOff[[#This Row],[I3]]=0,9999,1/tblMatrizTradeOff[[#This Row],[I3]]))</f>
        <v>0.21428571428571427</v>
      </c>
      <c r="AI5" s="49">
        <f>IF(tblMatrizDistancias[[#This Row],[NodoOrigen \ NodoDestino]]="I4",0,IF(tblMatrizTradeOff[[#This Row],[I4]]=0,9999,1/tblMatrizTradeOff[[#This Row],[I4]]))</f>
        <v>9999</v>
      </c>
      <c r="AJ5" s="49">
        <f>IF(tblMatrizDistancias[[#This Row],[NodoOrigen \ NodoDestino]]="I5",0,IF(tblMatrizTradeOff[[#This Row],[I5]]=0,9999,1/tblMatrizTradeOff[[#This Row],[I5]]))</f>
        <v>9999</v>
      </c>
      <c r="AK5" s="49">
        <f>IF(tblMatrizDistancias[[#This Row],[NodoOrigen \ NodoDestino]]="I6",0,IF(tblMatrizTradeOff[[#This Row],[I6]]=0,9999,1/tblMatrizTradeOff[[#This Row],[I6]]))</f>
        <v>9999</v>
      </c>
      <c r="AL5" s="49">
        <f>IF(tblMatrizDistancias[[#This Row],[NodoOrigen \ NodoDestino]]="I7",0,IF(tblMatrizTradeOff[[#This Row],[I7]]=0,9999,1/tblMatrizTradeOff[[#This Row],[I7]]))</f>
        <v>9999</v>
      </c>
      <c r="AM5" s="49">
        <f>IF(tblMatrizDistancias[[#This Row],[NodoOrigen \ NodoDestino]]="I8",0,IF(tblMatrizTradeOff[[#This Row],[I8]]=0,9999,1/tblMatrizTradeOff[[#This Row],[I8]]))</f>
        <v>9999</v>
      </c>
      <c r="AN5" s="49">
        <f>IF(tblMatrizDistancias[[#This Row],[NodoOrigen \ NodoDestino]]="I9",0,IF(tblMatrizTradeOff[[#This Row],[I9]]=0,9999,1/tblMatrizTradeOff[[#This Row],[I9]]))</f>
        <v>9999</v>
      </c>
      <c r="AO5" s="49">
        <f>IF(tblMatrizDistancias[[#This Row],[NodoOrigen \ NodoDestino]]="G1",0,IF(tblMatrizTradeOff[[#This Row],[G1]]=0,9999,1/tblMatrizTradeOff[[#This Row],[G1]]))</f>
        <v>9999</v>
      </c>
      <c r="AP5" s="49">
        <f>IF(tblMatrizDistancias[[#This Row],[NodoOrigen \ NodoDestino]]="G2",0,IF(tblMatrizTradeOff[[#This Row],[G2]]=0,9999,1/tblMatrizTradeOff[[#This Row],[G2]]))</f>
        <v>9999</v>
      </c>
      <c r="AQ5" s="49">
        <f>IF(tblMatrizDistancias[[#This Row],[NodoOrigen \ NodoDestino]]="G3",0,IF(tblMatrizTradeOff[[#This Row],[G3]]=0,9999,1/tblMatrizTradeOff[[#This Row],[G3]]))</f>
        <v>9999</v>
      </c>
      <c r="AR5" s="49">
        <f>IF(tblMatrizDistancias[[#This Row],[NodoOrigen \ NodoDestino]]="D",0,IF(tblMatrizTradeOff[[#This Row],[D]]=0,9999,1/tblMatrizTradeOff[[#This Row],[D]]))</f>
        <v>9999</v>
      </c>
    </row>
    <row r="6" spans="2:44" ht="17.25" customHeight="1" x14ac:dyDescent="0.25">
      <c r="B6" s="15" t="str">
        <f>VLOOKUP(tblMatrizTradeOff[[#This Row],[NodoOrigen \ NodoDestino]],tblNodos[#All],2,FALSE)</f>
        <v>Explotación de recursos naturales</v>
      </c>
      <c r="C6" s="6" t="s">
        <v>46</v>
      </c>
      <c r="D6" s="49">
        <f>IF(OR(MatrizPonderadaCostes!D6=0,MatrizPonderadaValorOperativo!D6=0),0,MatrizPonderadaValorOperativo!D6/MatrizPonderadaCostes!D6)</f>
        <v>0</v>
      </c>
      <c r="E6" s="49">
        <f>IF(OR(MatrizPonderadaCostes!E6=0,MatrizPonderadaValorOperativo!E6=0),0,MatrizPonderadaValorOperativo!E6/MatrizPonderadaCostes!E6)</f>
        <v>0</v>
      </c>
      <c r="F6" s="49">
        <f>IF(OR(MatrizPonderadaCostes!F6=0,MatrizPonderadaValorOperativo!F6=0),0,MatrizPonderadaValorOperativo!F6/MatrizPonderadaCostes!F6)</f>
        <v>0</v>
      </c>
      <c r="G6" s="49">
        <f>IF(OR(MatrizPonderadaCostes!G6=0,MatrizPonderadaValorOperativo!G6=0),0,MatrizPonderadaValorOperativo!G6/MatrizPonderadaCostes!G6)</f>
        <v>0</v>
      </c>
      <c r="H6" s="49">
        <f>IF(OR(MatrizPonderadaCostes!H6=0,MatrizPonderadaValorOperativo!H6=0),0,MatrizPonderadaValorOperativo!H6/MatrizPonderadaCostes!H6)</f>
        <v>0</v>
      </c>
      <c r="I6" s="49">
        <f>IF(OR(MatrizPonderadaCostes!I6=0,MatrizPonderadaValorOperativo!I6=0),0,MatrizPonderadaValorOperativo!I6/MatrizPonderadaCostes!I6)</f>
        <v>0</v>
      </c>
      <c r="J6" s="49">
        <f>IF(OR(MatrizPonderadaCostes!J6=0,MatrizPonderadaValorOperativo!J6=0),0,MatrizPonderadaValorOperativo!J6/MatrizPonderadaCostes!J6)</f>
        <v>3.4</v>
      </c>
      <c r="K6" s="49">
        <f>IF(OR(MatrizPonderadaCostes!K6=0,MatrizPonderadaValorOperativo!K6=0),0,MatrizPonderadaValorOperativo!K6/MatrizPonderadaCostes!K6)</f>
        <v>6.333333333333333</v>
      </c>
      <c r="L6" s="49">
        <f>IF(OR(MatrizPonderadaCostes!L6=0,MatrizPonderadaValorOperativo!L6=0),0,MatrizPonderadaValorOperativo!L6/MatrizPonderadaCostes!L6)</f>
        <v>5</v>
      </c>
      <c r="M6" s="49">
        <f>IF(OR(MatrizPonderadaCostes!M6=0,MatrizPonderadaValorOperativo!M6=0),0,MatrizPonderadaValorOperativo!M6/MatrizPonderadaCostes!M6)</f>
        <v>0</v>
      </c>
      <c r="N6" s="49">
        <f>IF(OR(MatrizPonderadaCostes!N6=0,MatrizPonderadaValorOperativo!N6=0),0,MatrizPonderadaValorOperativo!N6/MatrizPonderadaCostes!N6)</f>
        <v>0</v>
      </c>
      <c r="O6" s="49">
        <f>IF(OR(MatrizPonderadaCostes!O6=0,MatrizPonderadaValorOperativo!O6=0),0,MatrizPonderadaValorOperativo!O6/MatrizPonderadaCostes!O6)</f>
        <v>0</v>
      </c>
      <c r="P6" s="49">
        <f>IF(OR(MatrizPonderadaCostes!P6=0,MatrizPonderadaValorOperativo!P6=0),0,MatrizPonderadaValorOperativo!P6/MatrizPonderadaCostes!P6)</f>
        <v>0</v>
      </c>
      <c r="Q6" s="49">
        <f>IF(OR(MatrizPonderadaCostes!Q6=0,MatrizPonderadaValorOperativo!Q6=0),0,MatrizPonderadaValorOperativo!Q6/MatrizPonderadaCostes!Q6)</f>
        <v>0</v>
      </c>
      <c r="R6" s="49">
        <f>IF(OR(MatrizPonderadaCostes!R6=0,MatrizPonderadaValorOperativo!R6=0),0,MatrizPonderadaValorOperativo!R6/MatrizPonderadaCostes!R6)</f>
        <v>0</v>
      </c>
      <c r="S6" s="49">
        <f>IF(OR(MatrizPonderadaCostes!S6=0,MatrizPonderadaValorOperativo!S6=0),0,MatrizPonderadaValorOperativo!S6/MatrizPonderadaCostes!S6)</f>
        <v>0</v>
      </c>
      <c r="T6" s="49">
        <f>IF(OR(MatrizPonderadaCostes!T6=0,MatrizPonderadaValorOperativo!T6=0),0,MatrizPonderadaValorOperativo!T6/MatrizPonderadaCostes!T6)</f>
        <v>0</v>
      </c>
      <c r="U6" s="49">
        <f>IF(OR(MatrizPonderadaCostes!U6=0,MatrizPonderadaValorOperativo!U6=0),0,MatrizPonderadaValorOperativo!U6/MatrizPonderadaCostes!U6)</f>
        <v>0</v>
      </c>
      <c r="V6" s="50">
        <f>IF(OR(MatrizPonderadaCostes!V6=0,MatrizPonderadaValorOperativo!V6=0),0,MatrizPonderadaValorOperativo!V6/MatrizPonderadaCostes!V6)</f>
        <v>0</v>
      </c>
      <c r="W6"/>
      <c r="X6" s="15" t="str">
        <f>VLOOKUP(tblMatrizDistancias[[#This Row],[NodoOrigen \ NodoDestino]],tblNodos[#All],2,FALSE)</f>
        <v>Explotación de recursos naturales</v>
      </c>
      <c r="Y6" s="6" t="s">
        <v>46</v>
      </c>
      <c r="Z6" s="49">
        <f>IF(tblMatrizDistancias[[#This Row],[NodoOrigen \ NodoDestino]]="O1",0,IF(tblMatrizTradeOff[[#This Row],[O1]]=0,9999,1/tblMatrizTradeOff[[#This Row],[O1]]))</f>
        <v>9999</v>
      </c>
      <c r="AA6" s="49">
        <f>IF(tblMatrizDistancias[[#This Row],[NodoOrigen \ NodoDestino]]="O2",0,IF(tblMatrizTradeOff[[#This Row],[O2]]=0,9999,1/tblMatrizTradeOff[[#This Row],[O2]]))</f>
        <v>9999</v>
      </c>
      <c r="AB6" s="49">
        <f>IF(tblMatrizDistancias[[#This Row],[NodoOrigen \ NodoDestino]]="O3",0,IF(tblMatrizTradeOff[[#This Row],[O3]]=0,9999,1/tblMatrizTradeOff[[#This Row],[O3]]))</f>
        <v>0</v>
      </c>
      <c r="AC6" s="49">
        <f>IF(tblMatrizDistancias[[#This Row],[NodoOrigen \ NodoDestino]]="O4",0,IF(tblMatrizTradeOff[[#This Row],[O4]]=0,9999,1/tblMatrizTradeOff[[#This Row],[O4]]))</f>
        <v>9999</v>
      </c>
      <c r="AD6" s="49">
        <f>IF(tblMatrizDistancias[[#This Row],[NodoOrigen \ NodoDestino]]="O5",0,IF(tblMatrizTradeOff[[#This Row],[O5]]=0,9999,1/tblMatrizTradeOff[[#This Row],[O5]]))</f>
        <v>9999</v>
      </c>
      <c r="AE6" s="49">
        <f>IF(tblMatrizDistancias[[#This Row],[NodoOrigen \ NodoDestino]]="O6",0,IF(tblMatrizTradeOff[[#This Row],[O6]]=0,9999,1/tblMatrizTradeOff[[#This Row],[O6]]))</f>
        <v>9999</v>
      </c>
      <c r="AF6" s="49">
        <f>IF(tblMatrizDistancias[[#This Row],[NodoOrigen \ NodoDestino]]="I1",0,IF(tblMatrizTradeOff[[#This Row],[I1]]=0,9999,1/tblMatrizTradeOff[[#This Row],[I1]]))</f>
        <v>0.29411764705882354</v>
      </c>
      <c r="AG6" s="49">
        <f>IF(tblMatrizDistancias[[#This Row],[NodoOrigen \ NodoDestino]]="I2",0,IF(tblMatrizTradeOff[[#This Row],[I2]]=0,9999,1/tblMatrizTradeOff[[#This Row],[I2]]))</f>
        <v>0.15789473684210528</v>
      </c>
      <c r="AH6" s="49">
        <f>IF(tblMatrizDistancias[[#This Row],[NodoOrigen \ NodoDestino]]="I3",0,IF(tblMatrizTradeOff[[#This Row],[I3]]=0,9999,1/tblMatrizTradeOff[[#This Row],[I3]]))</f>
        <v>0.2</v>
      </c>
      <c r="AI6" s="49">
        <f>IF(tblMatrizDistancias[[#This Row],[NodoOrigen \ NodoDestino]]="I4",0,IF(tblMatrizTradeOff[[#This Row],[I4]]=0,9999,1/tblMatrizTradeOff[[#This Row],[I4]]))</f>
        <v>9999</v>
      </c>
      <c r="AJ6" s="49">
        <f>IF(tblMatrizDistancias[[#This Row],[NodoOrigen \ NodoDestino]]="I5",0,IF(tblMatrizTradeOff[[#This Row],[I5]]=0,9999,1/tblMatrizTradeOff[[#This Row],[I5]]))</f>
        <v>9999</v>
      </c>
      <c r="AK6" s="49">
        <f>IF(tblMatrizDistancias[[#This Row],[NodoOrigen \ NodoDestino]]="I6",0,IF(tblMatrizTradeOff[[#This Row],[I6]]=0,9999,1/tblMatrizTradeOff[[#This Row],[I6]]))</f>
        <v>9999</v>
      </c>
      <c r="AL6" s="49">
        <f>IF(tblMatrizDistancias[[#This Row],[NodoOrigen \ NodoDestino]]="I7",0,IF(tblMatrizTradeOff[[#This Row],[I7]]=0,9999,1/tblMatrizTradeOff[[#This Row],[I7]]))</f>
        <v>9999</v>
      </c>
      <c r="AM6" s="49">
        <f>IF(tblMatrizDistancias[[#This Row],[NodoOrigen \ NodoDestino]]="I8",0,IF(tblMatrizTradeOff[[#This Row],[I8]]=0,9999,1/tblMatrizTradeOff[[#This Row],[I8]]))</f>
        <v>9999</v>
      </c>
      <c r="AN6" s="49">
        <f>IF(tblMatrizDistancias[[#This Row],[NodoOrigen \ NodoDestino]]="I9",0,IF(tblMatrizTradeOff[[#This Row],[I9]]=0,9999,1/tblMatrizTradeOff[[#This Row],[I9]]))</f>
        <v>9999</v>
      </c>
      <c r="AO6" s="49">
        <f>IF(tblMatrizDistancias[[#This Row],[NodoOrigen \ NodoDestino]]="G1",0,IF(tblMatrizTradeOff[[#This Row],[G1]]=0,9999,1/tblMatrizTradeOff[[#This Row],[G1]]))</f>
        <v>9999</v>
      </c>
      <c r="AP6" s="49">
        <f>IF(tblMatrizDistancias[[#This Row],[NodoOrigen \ NodoDestino]]="G2",0,IF(tblMatrizTradeOff[[#This Row],[G2]]=0,9999,1/tblMatrizTradeOff[[#This Row],[G2]]))</f>
        <v>9999</v>
      </c>
      <c r="AQ6" s="49">
        <f>IF(tblMatrizDistancias[[#This Row],[NodoOrigen \ NodoDestino]]="G3",0,IF(tblMatrizTradeOff[[#This Row],[G3]]=0,9999,1/tblMatrizTradeOff[[#This Row],[G3]]))</f>
        <v>9999</v>
      </c>
      <c r="AR6" s="49">
        <f>IF(tblMatrizDistancias[[#This Row],[NodoOrigen \ NodoDestino]]="D",0,IF(tblMatrizTradeOff[[#This Row],[D]]=0,9999,1/tblMatrizTradeOff[[#This Row],[D]]))</f>
        <v>9999</v>
      </c>
    </row>
    <row r="7" spans="2:44" ht="17.25" customHeight="1" x14ac:dyDescent="0.25">
      <c r="B7" s="15" t="str">
        <f>VLOOKUP(tblMatrizTradeOff[[#This Row],[NodoOrigen \ NodoDestino]],tblNodos[#All],2,FALSE)</f>
        <v>Autofinanciación lícita / microfinanciación</v>
      </c>
      <c r="C7" s="6" t="s">
        <v>53</v>
      </c>
      <c r="D7" s="49">
        <f>IF(OR(MatrizPonderadaCostes!D7=0,MatrizPonderadaValorOperativo!D7=0),0,MatrizPonderadaValorOperativo!D7/MatrizPonderadaCostes!D7)</f>
        <v>0</v>
      </c>
      <c r="E7" s="49">
        <f>IF(OR(MatrizPonderadaCostes!E7=0,MatrizPonderadaValorOperativo!E7=0),0,MatrizPonderadaValorOperativo!E7/MatrizPonderadaCostes!E7)</f>
        <v>0</v>
      </c>
      <c r="F7" s="49">
        <f>IF(OR(MatrizPonderadaCostes!F7=0,MatrizPonderadaValorOperativo!F7=0),0,MatrizPonderadaValorOperativo!F7/MatrizPonderadaCostes!F7)</f>
        <v>0</v>
      </c>
      <c r="G7" s="49">
        <f>IF(OR(MatrizPonderadaCostes!G7=0,MatrizPonderadaValorOperativo!G7=0),0,MatrizPonderadaValorOperativo!G7/MatrizPonderadaCostes!G7)</f>
        <v>0</v>
      </c>
      <c r="H7" s="49">
        <f>IF(OR(MatrizPonderadaCostes!H7=0,MatrizPonderadaValorOperativo!H7=0),0,MatrizPonderadaValorOperativo!H7/MatrizPonderadaCostes!H7)</f>
        <v>0</v>
      </c>
      <c r="I7" s="49">
        <f>IF(OR(MatrizPonderadaCostes!I7=0,MatrizPonderadaValorOperativo!I7=0),0,MatrizPonderadaValorOperativo!I7/MatrizPonderadaCostes!I7)</f>
        <v>0</v>
      </c>
      <c r="J7" s="49">
        <f>IF(OR(MatrizPonderadaCostes!J7=0,MatrizPonderadaValorOperativo!J7=0),0,MatrizPonderadaValorOperativo!J7/MatrizPonderadaCostes!J7)</f>
        <v>0</v>
      </c>
      <c r="K7" s="49">
        <f>IF(OR(MatrizPonderadaCostes!K7=0,MatrizPonderadaValorOperativo!K7=0),0,MatrizPonderadaValorOperativo!K7/MatrizPonderadaCostes!K7)</f>
        <v>0</v>
      </c>
      <c r="L7" s="49">
        <f>IF(OR(MatrizPonderadaCostes!L7=0,MatrizPonderadaValorOperativo!L7=0),0,MatrizPonderadaValorOperativo!L7/MatrizPonderadaCostes!L7)</f>
        <v>0</v>
      </c>
      <c r="M7" s="49">
        <f>IF(OR(MatrizPonderadaCostes!M7=0,MatrizPonderadaValorOperativo!M7=0),0,MatrizPonderadaValorOperativo!M7/MatrizPonderadaCostes!M7)</f>
        <v>2.8</v>
      </c>
      <c r="N7" s="49">
        <f>IF(OR(MatrizPonderadaCostes!N7=0,MatrizPonderadaValorOperativo!N7=0),0,MatrizPonderadaValorOperativo!N7/MatrizPonderadaCostes!N7)</f>
        <v>3.25</v>
      </c>
      <c r="O7" s="49">
        <f>IF(OR(MatrizPonderadaCostes!O7=0,MatrizPonderadaValorOperativo!O7=0),0,MatrizPonderadaValorOperativo!O7/MatrizPonderadaCostes!O7)</f>
        <v>4</v>
      </c>
      <c r="P7" s="49">
        <f>IF(OR(MatrizPonderadaCostes!P7=0,MatrizPonderadaValorOperativo!P7=0),0,MatrizPonderadaValorOperativo!P7/MatrizPonderadaCostes!P7)</f>
        <v>3.3333333333333335</v>
      </c>
      <c r="Q7" s="49">
        <f>IF(OR(MatrizPonderadaCostes!Q7=0,MatrizPonderadaValorOperativo!Q7=0),0,MatrizPonderadaValorOperativo!Q7/MatrizPonderadaCostes!Q7)</f>
        <v>0</v>
      </c>
      <c r="R7" s="49">
        <f>IF(OR(MatrizPonderadaCostes!R7=0,MatrizPonderadaValorOperativo!R7=0),0,MatrizPonderadaValorOperativo!R7/MatrizPonderadaCostes!R7)</f>
        <v>0</v>
      </c>
      <c r="S7" s="49">
        <f>IF(OR(MatrizPonderadaCostes!S7=0,MatrizPonderadaValorOperativo!S7=0),0,MatrizPonderadaValorOperativo!S7/MatrizPonderadaCostes!S7)</f>
        <v>0</v>
      </c>
      <c r="T7" s="49">
        <f>IF(OR(MatrizPonderadaCostes!T7=0,MatrizPonderadaValorOperativo!T7=0),0,MatrizPonderadaValorOperativo!T7/MatrizPonderadaCostes!T7)</f>
        <v>0</v>
      </c>
      <c r="U7" s="49">
        <f>IF(OR(MatrizPonderadaCostes!U7=0,MatrizPonderadaValorOperativo!U7=0),0,MatrizPonderadaValorOperativo!U7/MatrizPonderadaCostes!U7)</f>
        <v>0</v>
      </c>
      <c r="V7" s="50">
        <f>IF(OR(MatrizPonderadaCostes!V7=0,MatrizPonderadaValorOperativo!V7=0),0,MatrizPonderadaValorOperativo!V7/MatrizPonderadaCostes!V7)</f>
        <v>0</v>
      </c>
      <c r="W7"/>
      <c r="X7" s="15" t="str">
        <f>VLOOKUP(tblMatrizDistancias[[#This Row],[NodoOrigen \ NodoDestino]],tblNodos[#All],2,FALSE)</f>
        <v>Autofinanciación lícita / microfinanciación</v>
      </c>
      <c r="Y7" s="6" t="s">
        <v>53</v>
      </c>
      <c r="Z7" s="49">
        <f>IF(tblMatrizDistancias[[#This Row],[NodoOrigen \ NodoDestino]]="O1",0,IF(tblMatrizTradeOff[[#This Row],[O1]]=0,9999,1/tblMatrizTradeOff[[#This Row],[O1]]))</f>
        <v>9999</v>
      </c>
      <c r="AA7" s="49">
        <f>IF(tblMatrizDistancias[[#This Row],[NodoOrigen \ NodoDestino]]="O2",0,IF(tblMatrizTradeOff[[#This Row],[O2]]=0,9999,1/tblMatrizTradeOff[[#This Row],[O2]]))</f>
        <v>9999</v>
      </c>
      <c r="AB7" s="49">
        <f>IF(tblMatrizDistancias[[#This Row],[NodoOrigen \ NodoDestino]]="O3",0,IF(tblMatrizTradeOff[[#This Row],[O3]]=0,9999,1/tblMatrizTradeOff[[#This Row],[O3]]))</f>
        <v>9999</v>
      </c>
      <c r="AC7" s="49">
        <f>IF(tblMatrizDistancias[[#This Row],[NodoOrigen \ NodoDestino]]="O4",0,IF(tblMatrizTradeOff[[#This Row],[O4]]=0,9999,1/tblMatrizTradeOff[[#This Row],[O4]]))</f>
        <v>0</v>
      </c>
      <c r="AD7" s="49">
        <f>IF(tblMatrizDistancias[[#This Row],[NodoOrigen \ NodoDestino]]="O5",0,IF(tblMatrizTradeOff[[#This Row],[O5]]=0,9999,1/tblMatrizTradeOff[[#This Row],[O5]]))</f>
        <v>9999</v>
      </c>
      <c r="AE7" s="49">
        <f>IF(tblMatrizDistancias[[#This Row],[NodoOrigen \ NodoDestino]]="O6",0,IF(tblMatrizTradeOff[[#This Row],[O6]]=0,9999,1/tblMatrizTradeOff[[#This Row],[O6]]))</f>
        <v>9999</v>
      </c>
      <c r="AF7" s="49">
        <f>IF(tblMatrizDistancias[[#This Row],[NodoOrigen \ NodoDestino]]="I1",0,IF(tblMatrizTradeOff[[#This Row],[I1]]=0,9999,1/tblMatrizTradeOff[[#This Row],[I1]]))</f>
        <v>9999</v>
      </c>
      <c r="AG7" s="49">
        <f>IF(tblMatrizDistancias[[#This Row],[NodoOrigen \ NodoDestino]]="I2",0,IF(tblMatrizTradeOff[[#This Row],[I2]]=0,9999,1/tblMatrizTradeOff[[#This Row],[I2]]))</f>
        <v>9999</v>
      </c>
      <c r="AH7" s="49">
        <f>IF(tblMatrizDistancias[[#This Row],[NodoOrigen \ NodoDestino]]="I3",0,IF(tblMatrizTradeOff[[#This Row],[I3]]=0,9999,1/tblMatrizTradeOff[[#This Row],[I3]]))</f>
        <v>9999</v>
      </c>
      <c r="AI7" s="49">
        <f>IF(tblMatrizDistancias[[#This Row],[NodoOrigen \ NodoDestino]]="I4",0,IF(tblMatrizTradeOff[[#This Row],[I4]]=0,9999,1/tblMatrizTradeOff[[#This Row],[I4]]))</f>
        <v>0.35714285714285715</v>
      </c>
      <c r="AJ7" s="49">
        <f>IF(tblMatrizDistancias[[#This Row],[NodoOrigen \ NodoDestino]]="I5",0,IF(tblMatrizTradeOff[[#This Row],[I5]]=0,9999,1/tblMatrizTradeOff[[#This Row],[I5]]))</f>
        <v>0.30769230769230771</v>
      </c>
      <c r="AK7" s="49">
        <f>IF(tblMatrizDistancias[[#This Row],[NodoOrigen \ NodoDestino]]="I6",0,IF(tblMatrizTradeOff[[#This Row],[I6]]=0,9999,1/tblMatrizTradeOff[[#This Row],[I6]]))</f>
        <v>0.25</v>
      </c>
      <c r="AL7" s="49">
        <f>IF(tblMatrizDistancias[[#This Row],[NodoOrigen \ NodoDestino]]="I7",0,IF(tblMatrizTradeOff[[#This Row],[I7]]=0,9999,1/tblMatrizTradeOff[[#This Row],[I7]]))</f>
        <v>0.3</v>
      </c>
      <c r="AM7" s="49">
        <f>IF(tblMatrizDistancias[[#This Row],[NodoOrigen \ NodoDestino]]="I8",0,IF(tblMatrizTradeOff[[#This Row],[I8]]=0,9999,1/tblMatrizTradeOff[[#This Row],[I8]]))</f>
        <v>9999</v>
      </c>
      <c r="AN7" s="49">
        <f>IF(tblMatrizDistancias[[#This Row],[NodoOrigen \ NodoDestino]]="I9",0,IF(tblMatrizTradeOff[[#This Row],[I9]]=0,9999,1/tblMatrizTradeOff[[#This Row],[I9]]))</f>
        <v>9999</v>
      </c>
      <c r="AO7" s="49">
        <f>IF(tblMatrizDistancias[[#This Row],[NodoOrigen \ NodoDestino]]="G1",0,IF(tblMatrizTradeOff[[#This Row],[G1]]=0,9999,1/tblMatrizTradeOff[[#This Row],[G1]]))</f>
        <v>9999</v>
      </c>
      <c r="AP7" s="49">
        <f>IF(tblMatrizDistancias[[#This Row],[NodoOrigen \ NodoDestino]]="G2",0,IF(tblMatrizTradeOff[[#This Row],[G2]]=0,9999,1/tblMatrizTradeOff[[#This Row],[G2]]))</f>
        <v>9999</v>
      </c>
      <c r="AQ7" s="49">
        <f>IF(tblMatrizDistancias[[#This Row],[NodoOrigen \ NodoDestino]]="G3",0,IF(tblMatrizTradeOff[[#This Row],[G3]]=0,9999,1/tblMatrizTradeOff[[#This Row],[G3]]))</f>
        <v>9999</v>
      </c>
      <c r="AR7" s="49">
        <f>IF(tblMatrizDistancias[[#This Row],[NodoOrigen \ NodoDestino]]="D",0,IF(tblMatrizTradeOff[[#This Row],[D]]=0,9999,1/tblMatrizTradeOff[[#This Row],[D]]))</f>
        <v>9999</v>
      </c>
    </row>
    <row r="8" spans="2:44" ht="17.25" customHeight="1" x14ac:dyDescent="0.25">
      <c r="B8" s="15" t="str">
        <f>VLOOKUP(tblMatrizTradeOff[[#This Row],[NodoOrigen \ NodoDestino]],tblNodos[#All],2,FALSE)</f>
        <v>Actividades económicas formales / negocios</v>
      </c>
      <c r="C8" s="6" t="s">
        <v>60</v>
      </c>
      <c r="D8" s="49">
        <f>IF(OR(MatrizPonderadaCostes!D8=0,MatrizPonderadaValorOperativo!D8=0),0,MatrizPonderadaValorOperativo!D8/MatrizPonderadaCostes!D8)</f>
        <v>0</v>
      </c>
      <c r="E8" s="49">
        <f>IF(OR(MatrizPonderadaCostes!E8=0,MatrizPonderadaValorOperativo!E8=0),0,MatrizPonderadaValorOperativo!E8/MatrizPonderadaCostes!E8)</f>
        <v>0</v>
      </c>
      <c r="F8" s="49">
        <f>IF(OR(MatrizPonderadaCostes!F8=0,MatrizPonderadaValorOperativo!F8=0),0,MatrizPonderadaValorOperativo!F8/MatrizPonderadaCostes!F8)</f>
        <v>0</v>
      </c>
      <c r="G8" s="49">
        <f>IF(OR(MatrizPonderadaCostes!G8=0,MatrizPonderadaValorOperativo!G8=0),0,MatrizPonderadaValorOperativo!G8/MatrizPonderadaCostes!G8)</f>
        <v>0</v>
      </c>
      <c r="H8" s="49">
        <f>IF(OR(MatrizPonderadaCostes!H8=0,MatrizPonderadaValorOperativo!H8=0),0,MatrizPonderadaValorOperativo!H8/MatrizPonderadaCostes!H8)</f>
        <v>0</v>
      </c>
      <c r="I8" s="49">
        <f>IF(OR(MatrizPonderadaCostes!I8=0,MatrizPonderadaValorOperativo!I8=0),0,MatrizPonderadaValorOperativo!I8/MatrizPonderadaCostes!I8)</f>
        <v>0</v>
      </c>
      <c r="J8" s="49">
        <f>IF(OR(MatrizPonderadaCostes!J8=0,MatrizPonderadaValorOperativo!J8=0),0,MatrizPonderadaValorOperativo!J8/MatrizPonderadaCostes!J8)</f>
        <v>3.2</v>
      </c>
      <c r="K8" s="49">
        <f>IF(OR(MatrizPonderadaCostes!K8=0,MatrizPonderadaValorOperativo!K8=0),0,MatrizPonderadaValorOperativo!K8/MatrizPonderadaCostes!K8)</f>
        <v>0</v>
      </c>
      <c r="L8" s="49">
        <f>IF(OR(MatrizPonderadaCostes!L8=0,MatrizPonderadaValorOperativo!L8=0),0,MatrizPonderadaValorOperativo!L8/MatrizPonderadaCostes!L8)</f>
        <v>0</v>
      </c>
      <c r="M8" s="49">
        <f>IF(OR(MatrizPonderadaCostes!M8=0,MatrizPonderadaValorOperativo!M8=0),0,MatrizPonderadaValorOperativo!M8/MatrizPonderadaCostes!M8)</f>
        <v>0</v>
      </c>
      <c r="N8" s="49">
        <f>IF(OR(MatrizPonderadaCostes!N8=0,MatrizPonderadaValorOperativo!N8=0),0,MatrizPonderadaValorOperativo!N8/MatrizPonderadaCostes!N8)</f>
        <v>3.25</v>
      </c>
      <c r="O8" s="49">
        <f>IF(OR(MatrizPonderadaCostes!O8=0,MatrizPonderadaValorOperativo!O8=0),0,MatrizPonderadaValorOperativo!O8/MatrizPonderadaCostes!O8)</f>
        <v>4.666666666666667</v>
      </c>
      <c r="P8" s="49">
        <f>IF(OR(MatrizPonderadaCostes!P8=0,MatrizPonderadaValorOperativo!P8=0),0,MatrizPonderadaValorOperativo!P8/MatrizPonderadaCostes!P8)</f>
        <v>0</v>
      </c>
      <c r="Q8" s="49">
        <f>IF(OR(MatrizPonderadaCostes!Q8=0,MatrizPonderadaValorOperativo!Q8=0),0,MatrizPonderadaValorOperativo!Q8/MatrizPonderadaCostes!Q8)</f>
        <v>0</v>
      </c>
      <c r="R8" s="49">
        <f>IF(OR(MatrizPonderadaCostes!R8=0,MatrizPonderadaValorOperativo!R8=0),0,MatrizPonderadaValorOperativo!R8/MatrizPonderadaCostes!R8)</f>
        <v>0</v>
      </c>
      <c r="S8" s="49">
        <f>IF(OR(MatrizPonderadaCostes!S8=0,MatrizPonderadaValorOperativo!S8=0),0,MatrizPonderadaValorOperativo!S8/MatrizPonderadaCostes!S8)</f>
        <v>0</v>
      </c>
      <c r="T8" s="49">
        <f>IF(OR(MatrizPonderadaCostes!T8=0,MatrizPonderadaValorOperativo!T8=0),0,MatrizPonderadaValorOperativo!T8/MatrizPonderadaCostes!T8)</f>
        <v>0</v>
      </c>
      <c r="U8" s="49">
        <f>IF(OR(MatrizPonderadaCostes!U8=0,MatrizPonderadaValorOperativo!U8=0),0,MatrizPonderadaValorOperativo!U8/MatrizPonderadaCostes!U8)</f>
        <v>0</v>
      </c>
      <c r="V8" s="50">
        <f>IF(OR(MatrizPonderadaCostes!V8=0,MatrizPonderadaValorOperativo!V8=0),0,MatrizPonderadaValorOperativo!V8/MatrizPonderadaCostes!V8)</f>
        <v>0</v>
      </c>
      <c r="W8"/>
      <c r="X8" s="15" t="str">
        <f>VLOOKUP(tblMatrizDistancias[[#This Row],[NodoOrigen \ NodoDestino]],tblNodos[#All],2,FALSE)</f>
        <v>Actividades económicas formales / negocios</v>
      </c>
      <c r="Y8" s="6" t="s">
        <v>60</v>
      </c>
      <c r="Z8" s="49">
        <f>IF(tblMatrizDistancias[[#This Row],[NodoOrigen \ NodoDestino]]="O1",0,IF(tblMatrizTradeOff[[#This Row],[O1]]=0,9999,1/tblMatrizTradeOff[[#This Row],[O1]]))</f>
        <v>9999</v>
      </c>
      <c r="AA8" s="49">
        <f>IF(tblMatrizDistancias[[#This Row],[NodoOrigen \ NodoDestino]]="O2",0,IF(tblMatrizTradeOff[[#This Row],[O2]]=0,9999,1/tblMatrizTradeOff[[#This Row],[O2]]))</f>
        <v>9999</v>
      </c>
      <c r="AB8" s="49">
        <f>IF(tblMatrizDistancias[[#This Row],[NodoOrigen \ NodoDestino]]="O3",0,IF(tblMatrizTradeOff[[#This Row],[O3]]=0,9999,1/tblMatrizTradeOff[[#This Row],[O3]]))</f>
        <v>9999</v>
      </c>
      <c r="AC8" s="49">
        <f>IF(tblMatrizDistancias[[#This Row],[NodoOrigen \ NodoDestino]]="O4",0,IF(tblMatrizTradeOff[[#This Row],[O4]]=0,9999,1/tblMatrizTradeOff[[#This Row],[O4]]))</f>
        <v>9999</v>
      </c>
      <c r="AD8" s="49">
        <f>IF(tblMatrizDistancias[[#This Row],[NodoOrigen \ NodoDestino]]="O5",0,IF(tblMatrizTradeOff[[#This Row],[O5]]=0,9999,1/tblMatrizTradeOff[[#This Row],[O5]]))</f>
        <v>0</v>
      </c>
      <c r="AE8" s="49">
        <f>IF(tblMatrizDistancias[[#This Row],[NodoOrigen \ NodoDestino]]="O6",0,IF(tblMatrizTradeOff[[#This Row],[O6]]=0,9999,1/tblMatrizTradeOff[[#This Row],[O6]]))</f>
        <v>9999</v>
      </c>
      <c r="AF8" s="49">
        <f>IF(tblMatrizDistancias[[#This Row],[NodoOrigen \ NodoDestino]]="I1",0,IF(tblMatrizTradeOff[[#This Row],[I1]]=0,9999,1/tblMatrizTradeOff[[#This Row],[I1]]))</f>
        <v>0.3125</v>
      </c>
      <c r="AG8" s="49">
        <f>IF(tblMatrizDistancias[[#This Row],[NodoOrigen \ NodoDestino]]="I2",0,IF(tblMatrizTradeOff[[#This Row],[I2]]=0,9999,1/tblMatrizTradeOff[[#This Row],[I2]]))</f>
        <v>9999</v>
      </c>
      <c r="AH8" s="49">
        <f>IF(tblMatrizDistancias[[#This Row],[NodoOrigen \ NodoDestino]]="I3",0,IF(tblMatrizTradeOff[[#This Row],[I3]]=0,9999,1/tblMatrizTradeOff[[#This Row],[I3]]))</f>
        <v>9999</v>
      </c>
      <c r="AI8" s="49">
        <f>IF(tblMatrizDistancias[[#This Row],[NodoOrigen \ NodoDestino]]="I4",0,IF(tblMatrizTradeOff[[#This Row],[I4]]=0,9999,1/tblMatrizTradeOff[[#This Row],[I4]]))</f>
        <v>9999</v>
      </c>
      <c r="AJ8" s="49">
        <f>IF(tblMatrizDistancias[[#This Row],[NodoOrigen \ NodoDestino]]="I5",0,IF(tblMatrizTradeOff[[#This Row],[I5]]=0,9999,1/tblMatrizTradeOff[[#This Row],[I5]]))</f>
        <v>0.30769230769230771</v>
      </c>
      <c r="AK8" s="49">
        <f>IF(tblMatrizDistancias[[#This Row],[NodoOrigen \ NodoDestino]]="I6",0,IF(tblMatrizTradeOff[[#This Row],[I6]]=0,9999,1/tblMatrizTradeOff[[#This Row],[I6]]))</f>
        <v>0.21428571428571427</v>
      </c>
      <c r="AL8" s="49">
        <f>IF(tblMatrizDistancias[[#This Row],[NodoOrigen \ NodoDestino]]="I7",0,IF(tblMatrizTradeOff[[#This Row],[I7]]=0,9999,1/tblMatrizTradeOff[[#This Row],[I7]]))</f>
        <v>9999</v>
      </c>
      <c r="AM8" s="49">
        <f>IF(tblMatrizDistancias[[#This Row],[NodoOrigen \ NodoDestino]]="I8",0,IF(tblMatrizTradeOff[[#This Row],[I8]]=0,9999,1/tblMatrizTradeOff[[#This Row],[I8]]))</f>
        <v>9999</v>
      </c>
      <c r="AN8" s="49">
        <f>IF(tblMatrizDistancias[[#This Row],[NodoOrigen \ NodoDestino]]="I9",0,IF(tblMatrizTradeOff[[#This Row],[I9]]=0,9999,1/tblMatrizTradeOff[[#This Row],[I9]]))</f>
        <v>9999</v>
      </c>
      <c r="AO8" s="49">
        <f>IF(tblMatrizDistancias[[#This Row],[NodoOrigen \ NodoDestino]]="G1",0,IF(tblMatrizTradeOff[[#This Row],[G1]]=0,9999,1/tblMatrizTradeOff[[#This Row],[G1]]))</f>
        <v>9999</v>
      </c>
      <c r="AP8" s="49">
        <f>IF(tblMatrizDistancias[[#This Row],[NodoOrigen \ NodoDestino]]="G2",0,IF(tblMatrizTradeOff[[#This Row],[G2]]=0,9999,1/tblMatrizTradeOff[[#This Row],[G2]]))</f>
        <v>9999</v>
      </c>
      <c r="AQ8" s="49">
        <f>IF(tblMatrizDistancias[[#This Row],[NodoOrigen \ NodoDestino]]="G3",0,IF(tblMatrizTradeOff[[#This Row],[G3]]=0,9999,1/tblMatrizTradeOff[[#This Row],[G3]]))</f>
        <v>9999</v>
      </c>
      <c r="AR8" s="49">
        <f>IF(tblMatrizDistancias[[#This Row],[NodoOrigen \ NodoDestino]]="D",0,IF(tblMatrizTradeOff[[#This Row],[D]]=0,9999,1/tblMatrizTradeOff[[#This Row],[D]]))</f>
        <v>9999</v>
      </c>
    </row>
    <row r="9" spans="2:44" ht="17.25" customHeight="1" x14ac:dyDescent="0.25">
      <c r="B9" s="15" t="str">
        <f>VLOOKUP(tblMatrizTradeOff[[#This Row],[NodoOrigen \ NodoDestino]],tblNodos[#All],2,FALSE)</f>
        <v>Donaciones / crowdfunding / apoyo online</v>
      </c>
      <c r="C9" s="6" t="s">
        <v>65</v>
      </c>
      <c r="D9" s="49">
        <f>IF(OR(MatrizPonderadaCostes!D9=0,MatrizPonderadaValorOperativo!D9=0),0,MatrizPonderadaValorOperativo!D9/MatrizPonderadaCostes!D9)</f>
        <v>0</v>
      </c>
      <c r="E9" s="49">
        <f>IF(OR(MatrizPonderadaCostes!E9=0,MatrizPonderadaValorOperativo!E9=0),0,MatrizPonderadaValorOperativo!E9/MatrizPonderadaCostes!E9)</f>
        <v>0</v>
      </c>
      <c r="F9" s="49">
        <f>IF(OR(MatrizPonderadaCostes!F9=0,MatrizPonderadaValorOperativo!F9=0),0,MatrizPonderadaValorOperativo!F9/MatrizPonderadaCostes!F9)</f>
        <v>0</v>
      </c>
      <c r="G9" s="49">
        <f>IF(OR(MatrizPonderadaCostes!G9=0,MatrizPonderadaValorOperativo!G9=0),0,MatrizPonderadaValorOperativo!G9/MatrizPonderadaCostes!G9)</f>
        <v>0</v>
      </c>
      <c r="H9" s="49">
        <f>IF(OR(MatrizPonderadaCostes!H9=0,MatrizPonderadaValorOperativo!H9=0),0,MatrizPonderadaValorOperativo!H9/MatrizPonderadaCostes!H9)</f>
        <v>0</v>
      </c>
      <c r="I9" s="49">
        <f>IF(OR(MatrizPonderadaCostes!I9=0,MatrizPonderadaValorOperativo!I9=0),0,MatrizPonderadaValorOperativo!I9/MatrizPonderadaCostes!I9)</f>
        <v>0</v>
      </c>
      <c r="J9" s="49">
        <f>IF(OR(MatrizPonderadaCostes!J9=0,MatrizPonderadaValorOperativo!J9=0),0,MatrizPonderadaValorOperativo!J9/MatrizPonderadaCostes!J9)</f>
        <v>0</v>
      </c>
      <c r="K9" s="49">
        <f>IF(OR(MatrizPonderadaCostes!K9=0,MatrizPonderadaValorOperativo!K9=0),0,MatrizPonderadaValorOperativo!K9/MatrizPonderadaCostes!K9)</f>
        <v>0</v>
      </c>
      <c r="L9" s="49">
        <f>IF(OR(MatrizPonderadaCostes!L9=0,MatrizPonderadaValorOperativo!L9=0),0,MatrizPonderadaValorOperativo!L9/MatrizPonderadaCostes!L9)</f>
        <v>4.666666666666667</v>
      </c>
      <c r="M9" s="49">
        <f>IF(OR(MatrizPonderadaCostes!M9=0,MatrizPonderadaValorOperativo!M9=0),0,MatrizPonderadaValorOperativo!M9/MatrizPonderadaCostes!M9)</f>
        <v>0</v>
      </c>
      <c r="N9" s="49">
        <f>IF(OR(MatrizPonderadaCostes!N9=0,MatrizPonderadaValorOperativo!N9=0),0,MatrizPonderadaValorOperativo!N9/MatrizPonderadaCostes!N9)</f>
        <v>3.25</v>
      </c>
      <c r="O9" s="49">
        <f>IF(OR(MatrizPonderadaCostes!O9=0,MatrizPonderadaValorOperativo!O9=0),0,MatrizPonderadaValorOperativo!O9/MatrizPonderadaCostes!O9)</f>
        <v>0</v>
      </c>
      <c r="P9" s="49">
        <f>IF(OR(MatrizPonderadaCostes!P9=0,MatrizPonderadaValorOperativo!P9=0),0,MatrizPonderadaValorOperativo!P9/MatrizPonderadaCostes!P9)</f>
        <v>0</v>
      </c>
      <c r="Q9" s="49">
        <f>IF(OR(MatrizPonderadaCostes!Q9=0,MatrizPonderadaValorOperativo!Q9=0),0,MatrizPonderadaValorOperativo!Q9/MatrizPonderadaCostes!Q9)</f>
        <v>2.2000000000000002</v>
      </c>
      <c r="R9" s="49">
        <f>IF(OR(MatrizPonderadaCostes!R9=0,MatrizPonderadaValorOperativo!R9=0),0,MatrizPonderadaValorOperativo!R9/MatrizPonderadaCostes!R9)</f>
        <v>4</v>
      </c>
      <c r="S9" s="49">
        <f>IF(OR(MatrizPonderadaCostes!S9=0,MatrizPonderadaValorOperativo!S9=0),0,MatrizPonderadaValorOperativo!S9/MatrizPonderadaCostes!S9)</f>
        <v>0</v>
      </c>
      <c r="T9" s="49">
        <f>IF(OR(MatrizPonderadaCostes!T9=0,MatrizPonderadaValorOperativo!T9=0),0,MatrizPonderadaValorOperativo!T9/MatrizPonderadaCostes!T9)</f>
        <v>0</v>
      </c>
      <c r="U9" s="49">
        <f>IF(OR(MatrizPonderadaCostes!U9=0,MatrizPonderadaValorOperativo!U9=0),0,MatrizPonderadaValorOperativo!U9/MatrizPonderadaCostes!U9)</f>
        <v>0</v>
      </c>
      <c r="V9" s="50">
        <f>IF(OR(MatrizPonderadaCostes!V9=0,MatrizPonderadaValorOperativo!V9=0),0,MatrizPonderadaValorOperativo!V9/MatrizPonderadaCostes!V9)</f>
        <v>0</v>
      </c>
      <c r="W9"/>
      <c r="X9" s="15" t="str">
        <f>VLOOKUP(tblMatrizDistancias[[#This Row],[NodoOrigen \ NodoDestino]],tblNodos[#All],2,FALSE)</f>
        <v>Donaciones / crowdfunding / apoyo online</v>
      </c>
      <c r="Y9" s="6" t="s">
        <v>65</v>
      </c>
      <c r="Z9" s="49">
        <f>IF(tblMatrizDistancias[[#This Row],[NodoOrigen \ NodoDestino]]="O1",0,IF(tblMatrizTradeOff[[#This Row],[O1]]=0,9999,1/tblMatrizTradeOff[[#This Row],[O1]]))</f>
        <v>9999</v>
      </c>
      <c r="AA9" s="49">
        <f>IF(tblMatrizDistancias[[#This Row],[NodoOrigen \ NodoDestino]]="O2",0,IF(tblMatrizTradeOff[[#This Row],[O2]]=0,9999,1/tblMatrizTradeOff[[#This Row],[O2]]))</f>
        <v>9999</v>
      </c>
      <c r="AB9" s="49">
        <f>IF(tblMatrizDistancias[[#This Row],[NodoOrigen \ NodoDestino]]="O3",0,IF(tblMatrizTradeOff[[#This Row],[O3]]=0,9999,1/tblMatrizTradeOff[[#This Row],[O3]]))</f>
        <v>9999</v>
      </c>
      <c r="AC9" s="49">
        <f>IF(tblMatrizDistancias[[#This Row],[NodoOrigen \ NodoDestino]]="O4",0,IF(tblMatrizTradeOff[[#This Row],[O4]]=0,9999,1/tblMatrizTradeOff[[#This Row],[O4]]))</f>
        <v>9999</v>
      </c>
      <c r="AD9" s="49">
        <f>IF(tblMatrizDistancias[[#This Row],[NodoOrigen \ NodoDestino]]="O5",0,IF(tblMatrizTradeOff[[#This Row],[O5]]=0,9999,1/tblMatrizTradeOff[[#This Row],[O5]]))</f>
        <v>9999</v>
      </c>
      <c r="AE9" s="49">
        <f>IF(tblMatrizDistancias[[#This Row],[NodoOrigen \ NodoDestino]]="O6",0,IF(tblMatrizTradeOff[[#This Row],[O6]]=0,9999,1/tblMatrizTradeOff[[#This Row],[O6]]))</f>
        <v>0</v>
      </c>
      <c r="AF9" s="49">
        <f>IF(tblMatrizDistancias[[#This Row],[NodoOrigen \ NodoDestino]]="I1",0,IF(tblMatrizTradeOff[[#This Row],[I1]]=0,9999,1/tblMatrizTradeOff[[#This Row],[I1]]))</f>
        <v>9999</v>
      </c>
      <c r="AG9" s="49">
        <f>IF(tblMatrizDistancias[[#This Row],[NodoOrigen \ NodoDestino]]="I2",0,IF(tblMatrizTradeOff[[#This Row],[I2]]=0,9999,1/tblMatrizTradeOff[[#This Row],[I2]]))</f>
        <v>9999</v>
      </c>
      <c r="AH9" s="49">
        <f>IF(tblMatrizDistancias[[#This Row],[NodoOrigen \ NodoDestino]]="I3",0,IF(tblMatrizTradeOff[[#This Row],[I3]]=0,9999,1/tblMatrizTradeOff[[#This Row],[I3]]))</f>
        <v>0.21428571428571427</v>
      </c>
      <c r="AI9" s="49">
        <f>IF(tblMatrizDistancias[[#This Row],[NodoOrigen \ NodoDestino]]="I4",0,IF(tblMatrizTradeOff[[#This Row],[I4]]=0,9999,1/tblMatrizTradeOff[[#This Row],[I4]]))</f>
        <v>9999</v>
      </c>
      <c r="AJ9" s="49">
        <f>IF(tblMatrizDistancias[[#This Row],[NodoOrigen \ NodoDestino]]="I5",0,IF(tblMatrizTradeOff[[#This Row],[I5]]=0,9999,1/tblMatrizTradeOff[[#This Row],[I5]]))</f>
        <v>0.30769230769230771</v>
      </c>
      <c r="AK9" s="49">
        <f>IF(tblMatrizDistancias[[#This Row],[NodoOrigen \ NodoDestino]]="I6",0,IF(tblMatrizTradeOff[[#This Row],[I6]]=0,9999,1/tblMatrizTradeOff[[#This Row],[I6]]))</f>
        <v>9999</v>
      </c>
      <c r="AL9" s="49">
        <f>IF(tblMatrizDistancias[[#This Row],[NodoOrigen \ NodoDestino]]="I7",0,IF(tblMatrizTradeOff[[#This Row],[I7]]=0,9999,1/tblMatrizTradeOff[[#This Row],[I7]]))</f>
        <v>9999</v>
      </c>
      <c r="AM9" s="49">
        <f>IF(tblMatrizDistancias[[#This Row],[NodoOrigen \ NodoDestino]]="I8",0,IF(tblMatrizTradeOff[[#This Row],[I8]]=0,9999,1/tblMatrizTradeOff[[#This Row],[I8]]))</f>
        <v>0.45454545454545453</v>
      </c>
      <c r="AN9" s="49">
        <f>IF(tblMatrizDistancias[[#This Row],[NodoOrigen \ NodoDestino]]="I9",0,IF(tblMatrizTradeOff[[#This Row],[I9]]=0,9999,1/tblMatrizTradeOff[[#This Row],[I9]]))</f>
        <v>0.25</v>
      </c>
      <c r="AO9" s="49">
        <f>IF(tblMatrizDistancias[[#This Row],[NodoOrigen \ NodoDestino]]="G1",0,IF(tblMatrizTradeOff[[#This Row],[G1]]=0,9999,1/tblMatrizTradeOff[[#This Row],[G1]]))</f>
        <v>9999</v>
      </c>
      <c r="AP9" s="49">
        <f>IF(tblMatrizDistancias[[#This Row],[NodoOrigen \ NodoDestino]]="G2",0,IF(tblMatrizTradeOff[[#This Row],[G2]]=0,9999,1/tblMatrizTradeOff[[#This Row],[G2]]))</f>
        <v>9999</v>
      </c>
      <c r="AQ9" s="49">
        <f>IF(tblMatrizDistancias[[#This Row],[NodoOrigen \ NodoDestino]]="G3",0,IF(tblMatrizTradeOff[[#This Row],[G3]]=0,9999,1/tblMatrizTradeOff[[#This Row],[G3]]))</f>
        <v>9999</v>
      </c>
      <c r="AR9" s="49">
        <f>IF(tblMatrizDistancias[[#This Row],[NodoOrigen \ NodoDestino]]="D",0,IF(tblMatrizTradeOff[[#This Row],[D]]=0,9999,1/tblMatrizTradeOff[[#This Row],[D]]))</f>
        <v>9999</v>
      </c>
    </row>
    <row r="10" spans="2:44" ht="17.25" customHeight="1" x14ac:dyDescent="0.25">
      <c r="B10" s="15" t="str">
        <f>VLOOKUP(tblMatrizTradeOff[[#This Row],[NodoOrigen \ NodoDestino]],tblNodos[#All],2,FALSE)</f>
        <v>Efectivo</v>
      </c>
      <c r="C10" s="6" t="s">
        <v>28</v>
      </c>
      <c r="D10" s="49">
        <f>IF(OR(MatrizPonderadaCostes!D10=0,MatrizPonderadaValorOperativo!D10=0),0,MatrizPonderadaValorOperativo!D10/MatrizPonderadaCostes!D10)</f>
        <v>0</v>
      </c>
      <c r="E10" s="49">
        <f>IF(OR(MatrizPonderadaCostes!E10=0,MatrizPonderadaValorOperativo!E10=0),0,MatrizPonderadaValorOperativo!E10/MatrizPonderadaCostes!E10)</f>
        <v>0</v>
      </c>
      <c r="F10" s="49">
        <f>IF(OR(MatrizPonderadaCostes!F10=0,MatrizPonderadaValorOperativo!F10=0),0,MatrizPonderadaValorOperativo!F10/MatrizPonderadaCostes!F10)</f>
        <v>0</v>
      </c>
      <c r="G10" s="49">
        <f>IF(OR(MatrizPonderadaCostes!G10=0,MatrizPonderadaValorOperativo!G10=0),0,MatrizPonderadaValorOperativo!G10/MatrizPonderadaCostes!G10)</f>
        <v>0</v>
      </c>
      <c r="H10" s="49">
        <f>IF(OR(MatrizPonderadaCostes!H10=0,MatrizPonderadaValorOperativo!H10=0),0,MatrizPonderadaValorOperativo!H10/MatrizPonderadaCostes!H10)</f>
        <v>0</v>
      </c>
      <c r="I10" s="49">
        <f>IF(OR(MatrizPonderadaCostes!I10=0,MatrizPonderadaValorOperativo!I10=0),0,MatrizPonderadaValorOperativo!I10/MatrizPonderadaCostes!I10)</f>
        <v>0</v>
      </c>
      <c r="J10" s="49">
        <f>IF(OR(MatrizPonderadaCostes!J10=0,MatrizPonderadaValorOperativo!J10=0),0,MatrizPonderadaValorOperativo!J10/MatrizPonderadaCostes!J10)</f>
        <v>0</v>
      </c>
      <c r="K10" s="49">
        <f>IF(OR(MatrizPonderadaCostes!K10=0,MatrizPonderadaValorOperativo!K10=0),0,MatrizPonderadaValorOperativo!K10/MatrizPonderadaCostes!K10)</f>
        <v>6</v>
      </c>
      <c r="L10" s="49">
        <f>IF(OR(MatrizPonderadaCostes!L10=0,MatrizPonderadaValorOperativo!L10=0),0,MatrizPonderadaValorOperativo!L10/MatrizPonderadaCostes!L10)</f>
        <v>0</v>
      </c>
      <c r="M10" s="49">
        <f>IF(OR(MatrizPonderadaCostes!M10=0,MatrizPonderadaValorOperativo!M10=0),0,MatrizPonderadaValorOperativo!M10/MatrizPonderadaCostes!M10)</f>
        <v>4.333333333333333</v>
      </c>
      <c r="N10" s="49">
        <f>IF(OR(MatrizPonderadaCostes!N10=0,MatrizPonderadaValorOperativo!N10=0),0,MatrizPonderadaValorOperativo!N10/MatrizPonderadaCostes!N10)</f>
        <v>0</v>
      </c>
      <c r="O10" s="49">
        <f>IF(OR(MatrizPonderadaCostes!O10=0,MatrizPonderadaValorOperativo!O10=0),0,MatrizPonderadaValorOperativo!O10/MatrizPonderadaCostes!O10)</f>
        <v>0</v>
      </c>
      <c r="P10" s="49">
        <f>IF(OR(MatrizPonderadaCostes!P10=0,MatrizPonderadaValorOperativo!P10=0),0,MatrizPonderadaValorOperativo!P10/MatrizPonderadaCostes!P10)</f>
        <v>0</v>
      </c>
      <c r="Q10" s="49">
        <f>IF(OR(MatrizPonderadaCostes!Q10=0,MatrizPonderadaValorOperativo!Q10=0),0,MatrizPonderadaValorOperativo!Q10/MatrizPonderadaCostes!Q10)</f>
        <v>0</v>
      </c>
      <c r="R10" s="49">
        <f>IF(OR(MatrizPonderadaCostes!R10=0,MatrizPonderadaValorOperativo!R10=0),0,MatrizPonderadaValorOperativo!R10/MatrizPonderadaCostes!R10)</f>
        <v>6</v>
      </c>
      <c r="S10" s="49">
        <f>IF(OR(MatrizPonderadaCostes!S10=0,MatrizPonderadaValorOperativo!S10=0),0,MatrizPonderadaValorOperativo!S10/MatrizPonderadaCostes!S10)</f>
        <v>0</v>
      </c>
      <c r="T10" s="49">
        <f>IF(OR(MatrizPonderadaCostes!T10=0,MatrizPonderadaValorOperativo!T10=0),0,MatrizPonderadaValorOperativo!T10/MatrizPonderadaCostes!T10)</f>
        <v>0</v>
      </c>
      <c r="U10" s="49">
        <f>IF(OR(MatrizPonderadaCostes!U10=0,MatrizPonderadaValorOperativo!U10=0),0,MatrizPonderadaValorOperativo!U10/MatrizPonderadaCostes!U10)</f>
        <v>0</v>
      </c>
      <c r="V10" s="50">
        <f>IF(OR(MatrizPonderadaCostes!V10=0,MatrizPonderadaValorOperativo!V10=0),0,MatrizPonderadaValorOperativo!V10/MatrizPonderadaCostes!V10)</f>
        <v>3</v>
      </c>
      <c r="W10"/>
      <c r="X10" s="15" t="str">
        <f>VLOOKUP(tblMatrizDistancias[[#This Row],[NodoOrigen \ NodoDestino]],tblNodos[#All],2,FALSE)</f>
        <v>Efectivo</v>
      </c>
      <c r="Y10" s="6" t="s">
        <v>28</v>
      </c>
      <c r="Z10" s="49">
        <f>IF(tblMatrizDistancias[[#This Row],[NodoOrigen \ NodoDestino]]="O1",0,IF(tblMatrizTradeOff[[#This Row],[O1]]=0,9999,1/tblMatrizTradeOff[[#This Row],[O1]]))</f>
        <v>9999</v>
      </c>
      <c r="AA10" s="49">
        <f>IF(tblMatrizDistancias[[#This Row],[NodoOrigen \ NodoDestino]]="O2",0,IF(tblMatrizTradeOff[[#This Row],[O2]]=0,9999,1/tblMatrizTradeOff[[#This Row],[O2]]))</f>
        <v>9999</v>
      </c>
      <c r="AB10" s="49">
        <f>IF(tblMatrizDistancias[[#This Row],[NodoOrigen \ NodoDestino]]="O3",0,IF(tblMatrizTradeOff[[#This Row],[O3]]=0,9999,1/tblMatrizTradeOff[[#This Row],[O3]]))</f>
        <v>9999</v>
      </c>
      <c r="AC10" s="49">
        <f>IF(tblMatrizDistancias[[#This Row],[NodoOrigen \ NodoDestino]]="O4",0,IF(tblMatrizTradeOff[[#This Row],[O4]]=0,9999,1/tblMatrizTradeOff[[#This Row],[O4]]))</f>
        <v>9999</v>
      </c>
      <c r="AD10" s="49">
        <f>IF(tblMatrizDistancias[[#This Row],[NodoOrigen \ NodoDestino]]="O5",0,IF(tblMatrizTradeOff[[#This Row],[O5]]=0,9999,1/tblMatrizTradeOff[[#This Row],[O5]]))</f>
        <v>9999</v>
      </c>
      <c r="AE10" s="49">
        <f>IF(tblMatrizDistancias[[#This Row],[NodoOrigen \ NodoDestino]]="O6",0,IF(tblMatrizTradeOff[[#This Row],[O6]]=0,9999,1/tblMatrizTradeOff[[#This Row],[O6]]))</f>
        <v>9999</v>
      </c>
      <c r="AF10" s="49">
        <f>IF(tblMatrizDistancias[[#This Row],[NodoOrigen \ NodoDestino]]="I1",0,IF(tblMatrizTradeOff[[#This Row],[I1]]=0,9999,1/tblMatrizTradeOff[[#This Row],[I1]]))</f>
        <v>0</v>
      </c>
      <c r="AG10" s="49">
        <f>IF(tblMatrizDistancias[[#This Row],[NodoOrigen \ NodoDestino]]="I2",0,IF(tblMatrizTradeOff[[#This Row],[I2]]=0,9999,1/tblMatrizTradeOff[[#This Row],[I2]]))</f>
        <v>0.16666666666666666</v>
      </c>
      <c r="AH10" s="49">
        <f>IF(tblMatrizDistancias[[#This Row],[NodoOrigen \ NodoDestino]]="I3",0,IF(tblMatrizTradeOff[[#This Row],[I3]]=0,9999,1/tblMatrizTradeOff[[#This Row],[I3]]))</f>
        <v>9999</v>
      </c>
      <c r="AI10" s="49">
        <f>IF(tblMatrizDistancias[[#This Row],[NodoOrigen \ NodoDestino]]="I4",0,IF(tblMatrizTradeOff[[#This Row],[I4]]=0,9999,1/tblMatrizTradeOff[[#This Row],[I4]]))</f>
        <v>0.23076923076923078</v>
      </c>
      <c r="AJ10" s="49">
        <f>IF(tblMatrizDistancias[[#This Row],[NodoOrigen \ NodoDestino]]="I5",0,IF(tblMatrizTradeOff[[#This Row],[I5]]=0,9999,1/tblMatrizTradeOff[[#This Row],[I5]]))</f>
        <v>9999</v>
      </c>
      <c r="AK10" s="49">
        <f>IF(tblMatrizDistancias[[#This Row],[NodoOrigen \ NodoDestino]]="I6",0,IF(tblMatrizTradeOff[[#This Row],[I6]]=0,9999,1/tblMatrizTradeOff[[#This Row],[I6]]))</f>
        <v>9999</v>
      </c>
      <c r="AL10" s="49">
        <f>IF(tblMatrizDistancias[[#This Row],[NodoOrigen \ NodoDestino]]="I7",0,IF(tblMatrizTradeOff[[#This Row],[I7]]=0,9999,1/tblMatrizTradeOff[[#This Row],[I7]]))</f>
        <v>9999</v>
      </c>
      <c r="AM10" s="49">
        <f>IF(tblMatrizDistancias[[#This Row],[NodoOrigen \ NodoDestino]]="I8",0,IF(tblMatrizTradeOff[[#This Row],[I8]]=0,9999,1/tblMatrizTradeOff[[#This Row],[I8]]))</f>
        <v>9999</v>
      </c>
      <c r="AN10" s="49">
        <f>IF(tblMatrizDistancias[[#This Row],[NodoOrigen \ NodoDestino]]="I9",0,IF(tblMatrizTradeOff[[#This Row],[I9]]=0,9999,1/tblMatrizTradeOff[[#This Row],[I9]]))</f>
        <v>0.16666666666666666</v>
      </c>
      <c r="AO10" s="49">
        <f>IF(tblMatrizDistancias[[#This Row],[NodoOrigen \ NodoDestino]]="G1",0,IF(tblMatrizTradeOff[[#This Row],[G1]]=0,9999,1/tblMatrizTradeOff[[#This Row],[G1]]))</f>
        <v>9999</v>
      </c>
      <c r="AP10" s="49">
        <f>IF(tblMatrizDistancias[[#This Row],[NodoOrigen \ NodoDestino]]="G2",0,IF(tblMatrizTradeOff[[#This Row],[G2]]=0,9999,1/tblMatrizTradeOff[[#This Row],[G2]]))</f>
        <v>9999</v>
      </c>
      <c r="AQ10" s="49">
        <f>IF(tblMatrizDistancias[[#This Row],[NodoOrigen \ NodoDestino]]="G3",0,IF(tblMatrizTradeOff[[#This Row],[G3]]=0,9999,1/tblMatrizTradeOff[[#This Row],[G3]]))</f>
        <v>9999</v>
      </c>
      <c r="AR10" s="49">
        <f>IF(tblMatrizDistancias[[#This Row],[NodoOrigen \ NodoDestino]]="D",0,IF(tblMatrizTradeOff[[#This Row],[D]]=0,9999,1/tblMatrizTradeOff[[#This Row],[D]]))</f>
        <v>0.33333333333333331</v>
      </c>
    </row>
    <row r="11" spans="2:44" ht="17.25" customHeight="1" x14ac:dyDescent="0.25">
      <c r="B11" s="15" t="str">
        <f>VLOOKUP(tblMatrizTradeOff[[#This Row],[NodoOrigen \ NodoDestino]],tblNodos[#All],2,FALSE)</f>
        <v>Hawala / HOSSP</v>
      </c>
      <c r="C11" s="6" t="s">
        <v>41</v>
      </c>
      <c r="D11" s="49">
        <f>IF(OR(MatrizPonderadaCostes!D11=0,MatrizPonderadaValorOperativo!D11=0),0,MatrizPonderadaValorOperativo!D11/MatrizPonderadaCostes!D11)</f>
        <v>0</v>
      </c>
      <c r="E11" s="49">
        <f>IF(OR(MatrizPonderadaCostes!E11=0,MatrizPonderadaValorOperativo!E11=0),0,MatrizPonderadaValorOperativo!E11/MatrizPonderadaCostes!E11)</f>
        <v>0</v>
      </c>
      <c r="F11" s="49">
        <f>IF(OR(MatrizPonderadaCostes!F11=0,MatrizPonderadaValorOperativo!F11=0),0,MatrizPonderadaValorOperativo!F11/MatrizPonderadaCostes!F11)</f>
        <v>0</v>
      </c>
      <c r="G11" s="49">
        <f>IF(OR(MatrizPonderadaCostes!G11=0,MatrizPonderadaValorOperativo!G11=0),0,MatrizPonderadaValorOperativo!G11/MatrizPonderadaCostes!G11)</f>
        <v>0</v>
      </c>
      <c r="H11" s="49">
        <f>IF(OR(MatrizPonderadaCostes!H11=0,MatrizPonderadaValorOperativo!H11=0),0,MatrizPonderadaValorOperativo!H11/MatrizPonderadaCostes!H11)</f>
        <v>0</v>
      </c>
      <c r="I11" s="49">
        <f>IF(OR(MatrizPonderadaCostes!I11=0,MatrizPonderadaValorOperativo!I11=0),0,MatrizPonderadaValorOperativo!I11/MatrizPonderadaCostes!I11)</f>
        <v>0</v>
      </c>
      <c r="J11" s="49">
        <f>IF(OR(MatrizPonderadaCostes!J11=0,MatrizPonderadaValorOperativo!J11=0),0,MatrizPonderadaValorOperativo!J11/MatrizPonderadaCostes!J11)</f>
        <v>0</v>
      </c>
      <c r="K11" s="49">
        <f>IF(OR(MatrizPonderadaCostes!K11=0,MatrizPonderadaValorOperativo!K11=0),0,MatrizPonderadaValorOperativo!K11/MatrizPonderadaCostes!K11)</f>
        <v>0</v>
      </c>
      <c r="L11" s="49">
        <f>IF(OR(MatrizPonderadaCostes!L11=0,MatrizPonderadaValorOperativo!L11=0),0,MatrizPonderadaValorOperativo!L11/MatrizPonderadaCostes!L11)</f>
        <v>0</v>
      </c>
      <c r="M11" s="49">
        <f>IF(OR(MatrizPonderadaCostes!M11=0,MatrizPonderadaValorOperativo!M11=0),0,MatrizPonderadaValorOperativo!M11/MatrizPonderadaCostes!M11)</f>
        <v>0</v>
      </c>
      <c r="N11" s="49">
        <f>IF(OR(MatrizPonderadaCostes!N11=0,MatrizPonderadaValorOperativo!N11=0),0,MatrizPonderadaValorOperativo!N11/MatrizPonderadaCostes!N11)</f>
        <v>0</v>
      </c>
      <c r="O11" s="49">
        <f>IF(OR(MatrizPonderadaCostes!O11=0,MatrizPonderadaValorOperativo!O11=0),0,MatrizPonderadaValorOperativo!O11/MatrizPonderadaCostes!O11)</f>
        <v>0</v>
      </c>
      <c r="P11" s="49">
        <f>IF(OR(MatrizPonderadaCostes!P11=0,MatrizPonderadaValorOperativo!P11=0),0,MatrizPonderadaValorOperativo!P11/MatrizPonderadaCostes!P11)</f>
        <v>0</v>
      </c>
      <c r="Q11" s="49">
        <f>IF(OR(MatrizPonderadaCostes!Q11=0,MatrizPonderadaValorOperativo!Q11=0),0,MatrizPonderadaValorOperativo!Q11/MatrizPonderadaCostes!Q11)</f>
        <v>0</v>
      </c>
      <c r="R11" s="49">
        <f>IF(OR(MatrizPonderadaCostes!R11=0,MatrizPonderadaValorOperativo!R11=0),0,MatrizPonderadaValorOperativo!R11/MatrizPonderadaCostes!R11)</f>
        <v>0</v>
      </c>
      <c r="S11" s="49">
        <f>IF(OR(MatrizPonderadaCostes!S11=0,MatrizPonderadaValorOperativo!S11=0),0,MatrizPonderadaValorOperativo!S11/MatrizPonderadaCostes!S11)</f>
        <v>5</v>
      </c>
      <c r="T11" s="49">
        <f>IF(OR(MatrizPonderadaCostes!T11=0,MatrizPonderadaValorOperativo!T11=0),0,MatrizPonderadaValorOperativo!T11/MatrizPonderadaCostes!T11)</f>
        <v>6.333333333333333</v>
      </c>
      <c r="U11" s="49">
        <f>IF(OR(MatrizPonderadaCostes!U11=0,MatrizPonderadaValorOperativo!U11=0),0,MatrizPonderadaValorOperativo!U11/MatrizPonderadaCostes!U11)</f>
        <v>0</v>
      </c>
      <c r="V11" s="50">
        <f>IF(OR(MatrizPonderadaCostes!V11=0,MatrizPonderadaValorOperativo!V11=0),0,MatrizPonderadaValorOperativo!V11/MatrizPonderadaCostes!V11)</f>
        <v>5.666666666666667</v>
      </c>
      <c r="W11"/>
      <c r="X11" s="15" t="str">
        <f>VLOOKUP(tblMatrizDistancias[[#This Row],[NodoOrigen \ NodoDestino]],tblNodos[#All],2,FALSE)</f>
        <v>Hawala / HOSSP</v>
      </c>
      <c r="Y11" s="6" t="s">
        <v>41</v>
      </c>
      <c r="Z11" s="49">
        <f>IF(tblMatrizDistancias[[#This Row],[NodoOrigen \ NodoDestino]]="O1",0,IF(tblMatrizTradeOff[[#This Row],[O1]]=0,9999,1/tblMatrizTradeOff[[#This Row],[O1]]))</f>
        <v>9999</v>
      </c>
      <c r="AA11" s="49">
        <f>IF(tblMatrizDistancias[[#This Row],[NodoOrigen \ NodoDestino]]="O2",0,IF(tblMatrizTradeOff[[#This Row],[O2]]=0,9999,1/tblMatrizTradeOff[[#This Row],[O2]]))</f>
        <v>9999</v>
      </c>
      <c r="AB11" s="49">
        <f>IF(tblMatrizDistancias[[#This Row],[NodoOrigen \ NodoDestino]]="O3",0,IF(tblMatrizTradeOff[[#This Row],[O3]]=0,9999,1/tblMatrizTradeOff[[#This Row],[O3]]))</f>
        <v>9999</v>
      </c>
      <c r="AC11" s="49">
        <f>IF(tblMatrizDistancias[[#This Row],[NodoOrigen \ NodoDestino]]="O4",0,IF(tblMatrizTradeOff[[#This Row],[O4]]=0,9999,1/tblMatrizTradeOff[[#This Row],[O4]]))</f>
        <v>9999</v>
      </c>
      <c r="AD11" s="49">
        <f>IF(tblMatrizDistancias[[#This Row],[NodoOrigen \ NodoDestino]]="O5",0,IF(tblMatrizTradeOff[[#This Row],[O5]]=0,9999,1/tblMatrizTradeOff[[#This Row],[O5]]))</f>
        <v>9999</v>
      </c>
      <c r="AE11" s="49">
        <f>IF(tblMatrizDistancias[[#This Row],[NodoOrigen \ NodoDestino]]="O6",0,IF(tblMatrizTradeOff[[#This Row],[O6]]=0,9999,1/tblMatrizTradeOff[[#This Row],[O6]]))</f>
        <v>9999</v>
      </c>
      <c r="AF11" s="49">
        <f>IF(tblMatrizDistancias[[#This Row],[NodoOrigen \ NodoDestino]]="I1",0,IF(tblMatrizTradeOff[[#This Row],[I1]]=0,9999,1/tblMatrizTradeOff[[#This Row],[I1]]))</f>
        <v>9999</v>
      </c>
      <c r="AG11" s="49">
        <f>IF(tblMatrizDistancias[[#This Row],[NodoOrigen \ NodoDestino]]="I2",0,IF(tblMatrizTradeOff[[#This Row],[I2]]=0,9999,1/tblMatrizTradeOff[[#This Row],[I2]]))</f>
        <v>0</v>
      </c>
      <c r="AH11" s="49">
        <f>IF(tblMatrizDistancias[[#This Row],[NodoOrigen \ NodoDestino]]="I3",0,IF(tblMatrizTradeOff[[#This Row],[I3]]=0,9999,1/tblMatrizTradeOff[[#This Row],[I3]]))</f>
        <v>9999</v>
      </c>
      <c r="AI11" s="49">
        <f>IF(tblMatrizDistancias[[#This Row],[NodoOrigen \ NodoDestino]]="I4",0,IF(tblMatrizTradeOff[[#This Row],[I4]]=0,9999,1/tblMatrizTradeOff[[#This Row],[I4]]))</f>
        <v>9999</v>
      </c>
      <c r="AJ11" s="49">
        <f>IF(tblMatrizDistancias[[#This Row],[NodoOrigen \ NodoDestino]]="I5",0,IF(tblMatrizTradeOff[[#This Row],[I5]]=0,9999,1/tblMatrizTradeOff[[#This Row],[I5]]))</f>
        <v>9999</v>
      </c>
      <c r="AK11" s="49">
        <f>IF(tblMatrizDistancias[[#This Row],[NodoOrigen \ NodoDestino]]="I6",0,IF(tblMatrizTradeOff[[#This Row],[I6]]=0,9999,1/tblMatrizTradeOff[[#This Row],[I6]]))</f>
        <v>9999</v>
      </c>
      <c r="AL11" s="49">
        <f>IF(tblMatrizDistancias[[#This Row],[NodoOrigen \ NodoDestino]]="I7",0,IF(tblMatrizTradeOff[[#This Row],[I7]]=0,9999,1/tblMatrizTradeOff[[#This Row],[I7]]))</f>
        <v>9999</v>
      </c>
      <c r="AM11" s="49">
        <f>IF(tblMatrizDistancias[[#This Row],[NodoOrigen \ NodoDestino]]="I8",0,IF(tblMatrizTradeOff[[#This Row],[I8]]=0,9999,1/tblMatrizTradeOff[[#This Row],[I8]]))</f>
        <v>9999</v>
      </c>
      <c r="AN11" s="49">
        <f>IF(tblMatrizDistancias[[#This Row],[NodoOrigen \ NodoDestino]]="I9",0,IF(tblMatrizTradeOff[[#This Row],[I9]]=0,9999,1/tblMatrizTradeOff[[#This Row],[I9]]))</f>
        <v>9999</v>
      </c>
      <c r="AO11" s="49">
        <f>IF(tblMatrizDistancias[[#This Row],[NodoOrigen \ NodoDestino]]="G1",0,IF(tblMatrizTradeOff[[#This Row],[G1]]=0,9999,1/tblMatrizTradeOff[[#This Row],[G1]]))</f>
        <v>0.2</v>
      </c>
      <c r="AP11" s="49">
        <f>IF(tblMatrizDistancias[[#This Row],[NodoOrigen \ NodoDestino]]="G2",0,IF(tblMatrizTradeOff[[#This Row],[G2]]=0,9999,1/tblMatrizTradeOff[[#This Row],[G2]]))</f>
        <v>0.15789473684210528</v>
      </c>
      <c r="AQ11" s="49">
        <f>IF(tblMatrizDistancias[[#This Row],[NodoOrigen \ NodoDestino]]="G3",0,IF(tblMatrizTradeOff[[#This Row],[G3]]=0,9999,1/tblMatrizTradeOff[[#This Row],[G3]]))</f>
        <v>9999</v>
      </c>
      <c r="AR11" s="49">
        <f>IF(tblMatrizDistancias[[#This Row],[NodoOrigen \ NodoDestino]]="D",0,IF(tblMatrizTradeOff[[#This Row],[D]]=0,9999,1/tblMatrizTradeOff[[#This Row],[D]]))</f>
        <v>0.1764705882352941</v>
      </c>
    </row>
    <row r="12" spans="2:44" ht="17.25" customHeight="1" x14ac:dyDescent="0.25">
      <c r="B12" s="15" t="str">
        <f>VLOOKUP(tblMatrizTradeOff[[#This Row],[NodoOrigen \ NodoDestino]],tblNodos[#All],2,FALSE)</f>
        <v>MVTS / remesas</v>
      </c>
      <c r="C12" s="6" t="s">
        <v>49</v>
      </c>
      <c r="D12" s="49">
        <f>IF(OR(MatrizPonderadaCostes!D12=0,MatrizPonderadaValorOperativo!D12=0),0,MatrizPonderadaValorOperativo!D12/MatrizPonderadaCostes!D12)</f>
        <v>0</v>
      </c>
      <c r="E12" s="49">
        <f>IF(OR(MatrizPonderadaCostes!E12=0,MatrizPonderadaValorOperativo!E12=0),0,MatrizPonderadaValorOperativo!E12/MatrizPonderadaCostes!E12)</f>
        <v>0</v>
      </c>
      <c r="F12" s="49">
        <f>IF(OR(MatrizPonderadaCostes!F12=0,MatrizPonderadaValorOperativo!F12=0),0,MatrizPonderadaValorOperativo!F12/MatrizPonderadaCostes!F12)</f>
        <v>0</v>
      </c>
      <c r="G12" s="49">
        <f>IF(OR(MatrizPonderadaCostes!G12=0,MatrizPonderadaValorOperativo!G12=0),0,MatrizPonderadaValorOperativo!G12/MatrizPonderadaCostes!G12)</f>
        <v>0</v>
      </c>
      <c r="H12" s="49">
        <f>IF(OR(MatrizPonderadaCostes!H12=0,MatrizPonderadaValorOperativo!H12=0),0,MatrizPonderadaValorOperativo!H12/MatrizPonderadaCostes!H12)</f>
        <v>0</v>
      </c>
      <c r="I12" s="49">
        <f>IF(OR(MatrizPonderadaCostes!I12=0,MatrizPonderadaValorOperativo!I12=0),0,MatrizPonderadaValorOperativo!I12/MatrizPonderadaCostes!I12)</f>
        <v>0</v>
      </c>
      <c r="J12" s="49">
        <f>IF(OR(MatrizPonderadaCostes!J12=0,MatrizPonderadaValorOperativo!J12=0),0,MatrizPonderadaValorOperativo!J12/MatrizPonderadaCostes!J12)</f>
        <v>0</v>
      </c>
      <c r="K12" s="49">
        <f>IF(OR(MatrizPonderadaCostes!K12=0,MatrizPonderadaValorOperativo!K12=0),0,MatrizPonderadaValorOperativo!K12/MatrizPonderadaCostes!K12)</f>
        <v>0</v>
      </c>
      <c r="L12" s="49">
        <f>IF(OR(MatrizPonderadaCostes!L12=0,MatrizPonderadaValorOperativo!L12=0),0,MatrizPonderadaValorOperativo!L12/MatrizPonderadaCostes!L12)</f>
        <v>0</v>
      </c>
      <c r="M12" s="49">
        <f>IF(OR(MatrizPonderadaCostes!M12=0,MatrizPonderadaValorOperativo!M12=0),0,MatrizPonderadaValorOperativo!M12/MatrizPonderadaCostes!M12)</f>
        <v>0</v>
      </c>
      <c r="N12" s="49">
        <f>IF(OR(MatrizPonderadaCostes!N12=0,MatrizPonderadaValorOperativo!N12=0),0,MatrizPonderadaValorOperativo!N12/MatrizPonderadaCostes!N12)</f>
        <v>0</v>
      </c>
      <c r="O12" s="49">
        <f>IF(OR(MatrizPonderadaCostes!O12=0,MatrizPonderadaValorOperativo!O12=0),0,MatrizPonderadaValorOperativo!O12/MatrizPonderadaCostes!O12)</f>
        <v>0</v>
      </c>
      <c r="P12" s="49">
        <f>IF(OR(MatrizPonderadaCostes!P12=0,MatrizPonderadaValorOperativo!P12=0),0,MatrizPonderadaValorOperativo!P12/MatrizPonderadaCostes!P12)</f>
        <v>0</v>
      </c>
      <c r="Q12" s="49">
        <f>IF(OR(MatrizPonderadaCostes!Q12=0,MatrizPonderadaValorOperativo!Q12=0),0,MatrizPonderadaValorOperativo!Q12/MatrizPonderadaCostes!Q12)</f>
        <v>0</v>
      </c>
      <c r="R12" s="49">
        <f>IF(OR(MatrizPonderadaCostes!R12=0,MatrizPonderadaValorOperativo!R12=0),0,MatrizPonderadaValorOperativo!R12/MatrizPonderadaCostes!R12)</f>
        <v>0</v>
      </c>
      <c r="S12" s="49">
        <f>IF(OR(MatrizPonderadaCostes!S12=0,MatrizPonderadaValorOperativo!S12=0),0,MatrizPonderadaValorOperativo!S12/MatrizPonderadaCostes!S12)</f>
        <v>0</v>
      </c>
      <c r="T12" s="49">
        <f>IF(OR(MatrizPonderadaCostes!T12=0,MatrizPonderadaValorOperativo!T12=0),0,MatrizPonderadaValorOperativo!T12/MatrizPonderadaCostes!T12)</f>
        <v>5</v>
      </c>
      <c r="U12" s="49">
        <f>IF(OR(MatrizPonderadaCostes!U12=0,MatrizPonderadaValorOperativo!U12=0),0,MatrizPonderadaValorOperativo!U12/MatrizPonderadaCostes!U12)</f>
        <v>4.666666666666667</v>
      </c>
      <c r="V12" s="50">
        <f>IF(OR(MatrizPonderadaCostes!V12=0,MatrizPonderadaValorOperativo!V12=0),0,MatrizPonderadaValorOperativo!V12/MatrizPonderadaCostes!V12)</f>
        <v>4.666666666666667</v>
      </c>
      <c r="W12"/>
      <c r="X12" s="15" t="str">
        <f>VLOOKUP(tblMatrizDistancias[[#This Row],[NodoOrigen \ NodoDestino]],tblNodos[#All],2,FALSE)</f>
        <v>MVTS / remesas</v>
      </c>
      <c r="Y12" s="6" t="s">
        <v>49</v>
      </c>
      <c r="Z12" s="49">
        <f>IF(tblMatrizDistancias[[#This Row],[NodoOrigen \ NodoDestino]]="O1",0,IF(tblMatrizTradeOff[[#This Row],[O1]]=0,9999,1/tblMatrizTradeOff[[#This Row],[O1]]))</f>
        <v>9999</v>
      </c>
      <c r="AA12" s="49">
        <f>IF(tblMatrizDistancias[[#This Row],[NodoOrigen \ NodoDestino]]="O2",0,IF(tblMatrizTradeOff[[#This Row],[O2]]=0,9999,1/tblMatrizTradeOff[[#This Row],[O2]]))</f>
        <v>9999</v>
      </c>
      <c r="AB12" s="49">
        <f>IF(tblMatrizDistancias[[#This Row],[NodoOrigen \ NodoDestino]]="O3",0,IF(tblMatrizTradeOff[[#This Row],[O3]]=0,9999,1/tblMatrizTradeOff[[#This Row],[O3]]))</f>
        <v>9999</v>
      </c>
      <c r="AC12" s="49">
        <f>IF(tblMatrizDistancias[[#This Row],[NodoOrigen \ NodoDestino]]="O4",0,IF(tblMatrizTradeOff[[#This Row],[O4]]=0,9999,1/tblMatrizTradeOff[[#This Row],[O4]]))</f>
        <v>9999</v>
      </c>
      <c r="AD12" s="49">
        <f>IF(tblMatrizDistancias[[#This Row],[NodoOrigen \ NodoDestino]]="O5",0,IF(tblMatrizTradeOff[[#This Row],[O5]]=0,9999,1/tblMatrizTradeOff[[#This Row],[O5]]))</f>
        <v>9999</v>
      </c>
      <c r="AE12" s="49">
        <f>IF(tblMatrizDistancias[[#This Row],[NodoOrigen \ NodoDestino]]="O6",0,IF(tblMatrizTradeOff[[#This Row],[O6]]=0,9999,1/tblMatrizTradeOff[[#This Row],[O6]]))</f>
        <v>9999</v>
      </c>
      <c r="AF12" s="49">
        <f>IF(tblMatrizDistancias[[#This Row],[NodoOrigen \ NodoDestino]]="I1",0,IF(tblMatrizTradeOff[[#This Row],[I1]]=0,9999,1/tblMatrizTradeOff[[#This Row],[I1]]))</f>
        <v>9999</v>
      </c>
      <c r="AG12" s="49">
        <f>IF(tblMatrizDistancias[[#This Row],[NodoOrigen \ NodoDestino]]="I2",0,IF(tblMatrizTradeOff[[#This Row],[I2]]=0,9999,1/tblMatrizTradeOff[[#This Row],[I2]]))</f>
        <v>9999</v>
      </c>
      <c r="AH12" s="49">
        <f>IF(tblMatrizDistancias[[#This Row],[NodoOrigen \ NodoDestino]]="I3",0,IF(tblMatrizTradeOff[[#This Row],[I3]]=0,9999,1/tblMatrizTradeOff[[#This Row],[I3]]))</f>
        <v>0</v>
      </c>
      <c r="AI12" s="49">
        <f>IF(tblMatrizDistancias[[#This Row],[NodoOrigen \ NodoDestino]]="I4",0,IF(tblMatrizTradeOff[[#This Row],[I4]]=0,9999,1/tblMatrizTradeOff[[#This Row],[I4]]))</f>
        <v>9999</v>
      </c>
      <c r="AJ12" s="49">
        <f>IF(tblMatrizDistancias[[#This Row],[NodoOrigen \ NodoDestino]]="I5",0,IF(tblMatrizTradeOff[[#This Row],[I5]]=0,9999,1/tblMatrizTradeOff[[#This Row],[I5]]))</f>
        <v>9999</v>
      </c>
      <c r="AK12" s="49">
        <f>IF(tblMatrizDistancias[[#This Row],[NodoOrigen \ NodoDestino]]="I6",0,IF(tblMatrizTradeOff[[#This Row],[I6]]=0,9999,1/tblMatrizTradeOff[[#This Row],[I6]]))</f>
        <v>9999</v>
      </c>
      <c r="AL12" s="49">
        <f>IF(tblMatrizDistancias[[#This Row],[NodoOrigen \ NodoDestino]]="I7",0,IF(tblMatrizTradeOff[[#This Row],[I7]]=0,9999,1/tblMatrizTradeOff[[#This Row],[I7]]))</f>
        <v>9999</v>
      </c>
      <c r="AM12" s="49">
        <f>IF(tblMatrizDistancias[[#This Row],[NodoOrigen \ NodoDestino]]="I8",0,IF(tblMatrizTradeOff[[#This Row],[I8]]=0,9999,1/tblMatrizTradeOff[[#This Row],[I8]]))</f>
        <v>9999</v>
      </c>
      <c r="AN12" s="49">
        <f>IF(tblMatrizDistancias[[#This Row],[NodoOrigen \ NodoDestino]]="I9",0,IF(tblMatrizTradeOff[[#This Row],[I9]]=0,9999,1/tblMatrizTradeOff[[#This Row],[I9]]))</f>
        <v>9999</v>
      </c>
      <c r="AO12" s="49">
        <f>IF(tblMatrizDistancias[[#This Row],[NodoOrigen \ NodoDestino]]="G1",0,IF(tblMatrizTradeOff[[#This Row],[G1]]=0,9999,1/tblMatrizTradeOff[[#This Row],[G1]]))</f>
        <v>9999</v>
      </c>
      <c r="AP12" s="49">
        <f>IF(tblMatrizDistancias[[#This Row],[NodoOrigen \ NodoDestino]]="G2",0,IF(tblMatrizTradeOff[[#This Row],[G2]]=0,9999,1/tblMatrizTradeOff[[#This Row],[G2]]))</f>
        <v>0.2</v>
      </c>
      <c r="AQ12" s="49">
        <f>IF(tblMatrizDistancias[[#This Row],[NodoOrigen \ NodoDestino]]="G3",0,IF(tblMatrizTradeOff[[#This Row],[G3]]=0,9999,1/tblMatrizTradeOff[[#This Row],[G3]]))</f>
        <v>0.21428571428571427</v>
      </c>
      <c r="AR12" s="49">
        <f>IF(tblMatrizDistancias[[#This Row],[NodoOrigen \ NodoDestino]]="D",0,IF(tblMatrizTradeOff[[#This Row],[D]]=0,9999,1/tblMatrizTradeOff[[#This Row],[D]]))</f>
        <v>0.21428571428571427</v>
      </c>
    </row>
    <row r="13" spans="2:44" ht="17.25" customHeight="1" x14ac:dyDescent="0.25">
      <c r="B13" s="15" t="str">
        <f>VLOOKUP(tblMatrizTradeOff[[#This Row],[NodoOrigen \ NodoDestino]],tblNodos[#All],2,FALSE)</f>
        <v>Dinero móvil</v>
      </c>
      <c r="C13" s="6" t="s">
        <v>56</v>
      </c>
      <c r="D13" s="49">
        <f>IF(OR(MatrizPonderadaCostes!D13=0,MatrizPonderadaValorOperativo!D13=0),0,MatrizPonderadaValorOperativo!D13/MatrizPonderadaCostes!D13)</f>
        <v>0</v>
      </c>
      <c r="E13" s="49">
        <f>IF(OR(MatrizPonderadaCostes!E13=0,MatrizPonderadaValorOperativo!E13=0),0,MatrizPonderadaValorOperativo!E13/MatrizPonderadaCostes!E13)</f>
        <v>0</v>
      </c>
      <c r="F13" s="49">
        <f>IF(OR(MatrizPonderadaCostes!F13=0,MatrizPonderadaValorOperativo!F13=0),0,MatrizPonderadaValorOperativo!F13/MatrizPonderadaCostes!F13)</f>
        <v>0</v>
      </c>
      <c r="G13" s="49">
        <f>IF(OR(MatrizPonderadaCostes!G13=0,MatrizPonderadaValorOperativo!G13=0),0,MatrizPonderadaValorOperativo!G13/MatrizPonderadaCostes!G13)</f>
        <v>0</v>
      </c>
      <c r="H13" s="49">
        <f>IF(OR(MatrizPonderadaCostes!H13=0,MatrizPonderadaValorOperativo!H13=0),0,MatrizPonderadaValorOperativo!H13/MatrizPonderadaCostes!H13)</f>
        <v>0</v>
      </c>
      <c r="I13" s="49">
        <f>IF(OR(MatrizPonderadaCostes!I13=0,MatrizPonderadaValorOperativo!I13=0),0,MatrizPonderadaValorOperativo!I13/MatrizPonderadaCostes!I13)</f>
        <v>0</v>
      </c>
      <c r="J13" s="49">
        <f>IF(OR(MatrizPonderadaCostes!J13=0,MatrizPonderadaValorOperativo!J13=0),0,MatrizPonderadaValorOperativo!J13/MatrizPonderadaCostes!J13)</f>
        <v>0</v>
      </c>
      <c r="K13" s="49">
        <f>IF(OR(MatrizPonderadaCostes!K13=0,MatrizPonderadaValorOperativo!K13=0),0,MatrizPonderadaValorOperativo!K13/MatrizPonderadaCostes!K13)</f>
        <v>0</v>
      </c>
      <c r="L13" s="49">
        <f>IF(OR(MatrizPonderadaCostes!L13=0,MatrizPonderadaValorOperativo!L13=0),0,MatrizPonderadaValorOperativo!L13/MatrizPonderadaCostes!L13)</f>
        <v>0</v>
      </c>
      <c r="M13" s="49">
        <f>IF(OR(MatrizPonderadaCostes!M13=0,MatrizPonderadaValorOperativo!M13=0),0,MatrizPonderadaValorOperativo!M13/MatrizPonderadaCostes!M13)</f>
        <v>0</v>
      </c>
      <c r="N13" s="49">
        <f>IF(OR(MatrizPonderadaCostes!N13=0,MatrizPonderadaValorOperativo!N13=0),0,MatrizPonderadaValorOperativo!N13/MatrizPonderadaCostes!N13)</f>
        <v>0</v>
      </c>
      <c r="O13" s="49">
        <f>IF(OR(MatrizPonderadaCostes!O13=0,MatrizPonderadaValorOperativo!O13=0),0,MatrizPonderadaValorOperativo!O13/MatrizPonderadaCostes!O13)</f>
        <v>0</v>
      </c>
      <c r="P13" s="49">
        <f>IF(OR(MatrizPonderadaCostes!P13=0,MatrizPonderadaValorOperativo!P13=0),0,MatrizPonderadaValorOperativo!P13/MatrizPonderadaCostes!P13)</f>
        <v>0</v>
      </c>
      <c r="Q13" s="49">
        <f>IF(OR(MatrizPonderadaCostes!Q13=0,MatrizPonderadaValorOperativo!Q13=0),0,MatrizPonderadaValorOperativo!Q13/MatrizPonderadaCostes!Q13)</f>
        <v>0</v>
      </c>
      <c r="R13" s="49">
        <f>IF(OR(MatrizPonderadaCostes!R13=0,MatrizPonderadaValorOperativo!R13=0),0,MatrizPonderadaValorOperativo!R13/MatrizPonderadaCostes!R13)</f>
        <v>0</v>
      </c>
      <c r="S13" s="49">
        <f>IF(OR(MatrizPonderadaCostes!S13=0,MatrizPonderadaValorOperativo!S13=0),0,MatrizPonderadaValorOperativo!S13/MatrizPonderadaCostes!S13)</f>
        <v>0</v>
      </c>
      <c r="T13" s="49">
        <f>IF(OR(MatrizPonderadaCostes!T13=0,MatrizPonderadaValorOperativo!T13=0),0,MatrizPonderadaValorOperativo!T13/MatrizPonderadaCostes!T13)</f>
        <v>3.5</v>
      </c>
      <c r="U13" s="49">
        <f>IF(OR(MatrizPonderadaCostes!U13=0,MatrizPonderadaValorOperativo!U13=0),0,MatrizPonderadaValorOperativo!U13/MatrizPonderadaCostes!U13)</f>
        <v>0</v>
      </c>
      <c r="V13" s="50">
        <f>IF(OR(MatrizPonderadaCostes!V13=0,MatrizPonderadaValorOperativo!V13=0),0,MatrizPonderadaValorOperativo!V13/MatrizPonderadaCostes!V13)</f>
        <v>0</v>
      </c>
      <c r="W13"/>
      <c r="X13" s="15" t="str">
        <f>VLOOKUP(tblMatrizDistancias[[#This Row],[NodoOrigen \ NodoDestino]],tblNodos[#All],2,FALSE)</f>
        <v>Dinero móvil</v>
      </c>
      <c r="Y13" s="6" t="s">
        <v>56</v>
      </c>
      <c r="Z13" s="49">
        <f>IF(tblMatrizDistancias[[#This Row],[NodoOrigen \ NodoDestino]]="O1",0,IF(tblMatrizTradeOff[[#This Row],[O1]]=0,9999,1/tblMatrizTradeOff[[#This Row],[O1]]))</f>
        <v>9999</v>
      </c>
      <c r="AA13" s="49">
        <f>IF(tblMatrizDistancias[[#This Row],[NodoOrigen \ NodoDestino]]="O2",0,IF(tblMatrizTradeOff[[#This Row],[O2]]=0,9999,1/tblMatrizTradeOff[[#This Row],[O2]]))</f>
        <v>9999</v>
      </c>
      <c r="AB13" s="49">
        <f>IF(tblMatrizDistancias[[#This Row],[NodoOrigen \ NodoDestino]]="O3",0,IF(tblMatrizTradeOff[[#This Row],[O3]]=0,9999,1/tblMatrizTradeOff[[#This Row],[O3]]))</f>
        <v>9999</v>
      </c>
      <c r="AC13" s="49">
        <f>IF(tblMatrizDistancias[[#This Row],[NodoOrigen \ NodoDestino]]="O4",0,IF(tblMatrizTradeOff[[#This Row],[O4]]=0,9999,1/tblMatrizTradeOff[[#This Row],[O4]]))</f>
        <v>9999</v>
      </c>
      <c r="AD13" s="49">
        <f>IF(tblMatrizDistancias[[#This Row],[NodoOrigen \ NodoDestino]]="O5",0,IF(tblMatrizTradeOff[[#This Row],[O5]]=0,9999,1/tblMatrizTradeOff[[#This Row],[O5]]))</f>
        <v>9999</v>
      </c>
      <c r="AE13" s="49">
        <f>IF(tblMatrizDistancias[[#This Row],[NodoOrigen \ NodoDestino]]="O6",0,IF(tblMatrizTradeOff[[#This Row],[O6]]=0,9999,1/tblMatrizTradeOff[[#This Row],[O6]]))</f>
        <v>9999</v>
      </c>
      <c r="AF13" s="49">
        <f>IF(tblMatrizDistancias[[#This Row],[NodoOrigen \ NodoDestino]]="I1",0,IF(tblMatrizTradeOff[[#This Row],[I1]]=0,9999,1/tblMatrizTradeOff[[#This Row],[I1]]))</f>
        <v>9999</v>
      </c>
      <c r="AG13" s="49">
        <f>IF(tblMatrizDistancias[[#This Row],[NodoOrigen \ NodoDestino]]="I2",0,IF(tblMatrizTradeOff[[#This Row],[I2]]=0,9999,1/tblMatrizTradeOff[[#This Row],[I2]]))</f>
        <v>9999</v>
      </c>
      <c r="AH13" s="49">
        <f>IF(tblMatrizDistancias[[#This Row],[NodoOrigen \ NodoDestino]]="I3",0,IF(tblMatrizTradeOff[[#This Row],[I3]]=0,9999,1/tblMatrizTradeOff[[#This Row],[I3]]))</f>
        <v>9999</v>
      </c>
      <c r="AI13" s="49">
        <f>IF(tblMatrizDistancias[[#This Row],[NodoOrigen \ NodoDestino]]="I4",0,IF(tblMatrizTradeOff[[#This Row],[I4]]=0,9999,1/tblMatrizTradeOff[[#This Row],[I4]]))</f>
        <v>0</v>
      </c>
      <c r="AJ13" s="49">
        <f>IF(tblMatrizDistancias[[#This Row],[NodoOrigen \ NodoDestino]]="I5",0,IF(tblMatrizTradeOff[[#This Row],[I5]]=0,9999,1/tblMatrizTradeOff[[#This Row],[I5]]))</f>
        <v>9999</v>
      </c>
      <c r="AK13" s="49">
        <f>IF(tblMatrizDistancias[[#This Row],[NodoOrigen \ NodoDestino]]="I6",0,IF(tblMatrizTradeOff[[#This Row],[I6]]=0,9999,1/tblMatrizTradeOff[[#This Row],[I6]]))</f>
        <v>9999</v>
      </c>
      <c r="AL13" s="49">
        <f>IF(tblMatrizDistancias[[#This Row],[NodoOrigen \ NodoDestino]]="I7",0,IF(tblMatrizTradeOff[[#This Row],[I7]]=0,9999,1/tblMatrizTradeOff[[#This Row],[I7]]))</f>
        <v>9999</v>
      </c>
      <c r="AM13" s="49">
        <f>IF(tblMatrizDistancias[[#This Row],[NodoOrigen \ NodoDestino]]="I8",0,IF(tblMatrizTradeOff[[#This Row],[I8]]=0,9999,1/tblMatrizTradeOff[[#This Row],[I8]]))</f>
        <v>9999</v>
      </c>
      <c r="AN13" s="49">
        <f>IF(tblMatrizDistancias[[#This Row],[NodoOrigen \ NodoDestino]]="I9",0,IF(tblMatrizTradeOff[[#This Row],[I9]]=0,9999,1/tblMatrizTradeOff[[#This Row],[I9]]))</f>
        <v>9999</v>
      </c>
      <c r="AO13" s="49">
        <f>IF(tblMatrizDistancias[[#This Row],[NodoOrigen \ NodoDestino]]="G1",0,IF(tblMatrizTradeOff[[#This Row],[G1]]=0,9999,1/tblMatrizTradeOff[[#This Row],[G1]]))</f>
        <v>9999</v>
      </c>
      <c r="AP13" s="49">
        <f>IF(tblMatrizDistancias[[#This Row],[NodoOrigen \ NodoDestino]]="G2",0,IF(tblMatrizTradeOff[[#This Row],[G2]]=0,9999,1/tblMatrizTradeOff[[#This Row],[G2]]))</f>
        <v>0.2857142857142857</v>
      </c>
      <c r="AQ13" s="49">
        <f>IF(tblMatrizDistancias[[#This Row],[NodoOrigen \ NodoDestino]]="G3",0,IF(tblMatrizTradeOff[[#This Row],[G3]]=0,9999,1/tblMatrizTradeOff[[#This Row],[G3]]))</f>
        <v>9999</v>
      </c>
      <c r="AR13" s="49">
        <f>IF(tblMatrizDistancias[[#This Row],[NodoOrigen \ NodoDestino]]="D",0,IF(tblMatrizTradeOff[[#This Row],[D]]=0,9999,1/tblMatrizTradeOff[[#This Row],[D]]))</f>
        <v>9999</v>
      </c>
    </row>
    <row r="14" spans="2:44" ht="17.25" customHeight="1" x14ac:dyDescent="0.25">
      <c r="B14" s="15" t="str">
        <f>VLOOKUP(tblMatrizTradeOff[[#This Row],[NodoOrigen \ NodoDestino]],tblNodos[#All],2,FALSE)</f>
        <v>Pagos online</v>
      </c>
      <c r="C14" s="6" t="s">
        <v>82</v>
      </c>
      <c r="D14" s="49">
        <f>IF(OR(MatrizPonderadaCostes!D14=0,MatrizPonderadaValorOperativo!D14=0),0,MatrizPonderadaValorOperativo!D14/MatrizPonderadaCostes!D14)</f>
        <v>0</v>
      </c>
      <c r="E14" s="49">
        <f>IF(OR(MatrizPonderadaCostes!E14=0,MatrizPonderadaValorOperativo!E14=0),0,MatrizPonderadaValorOperativo!E14/MatrizPonderadaCostes!E14)</f>
        <v>0</v>
      </c>
      <c r="F14" s="49">
        <f>IF(OR(MatrizPonderadaCostes!F14=0,MatrizPonderadaValorOperativo!F14=0),0,MatrizPonderadaValorOperativo!F14/MatrizPonderadaCostes!F14)</f>
        <v>0</v>
      </c>
      <c r="G14" s="49">
        <f>IF(OR(MatrizPonderadaCostes!G14=0,MatrizPonderadaValorOperativo!G14=0),0,MatrizPonderadaValorOperativo!G14/MatrizPonderadaCostes!G14)</f>
        <v>0</v>
      </c>
      <c r="H14" s="49">
        <f>IF(OR(MatrizPonderadaCostes!H14=0,MatrizPonderadaValorOperativo!H14=0),0,MatrizPonderadaValorOperativo!H14/MatrizPonderadaCostes!H14)</f>
        <v>0</v>
      </c>
      <c r="I14" s="49">
        <f>IF(OR(MatrizPonderadaCostes!I14=0,MatrizPonderadaValorOperativo!I14=0),0,MatrizPonderadaValorOperativo!I14/MatrizPonderadaCostes!I14)</f>
        <v>0</v>
      </c>
      <c r="J14" s="49">
        <f>IF(OR(MatrizPonderadaCostes!J14=0,MatrizPonderadaValorOperativo!J14=0),0,MatrizPonderadaValorOperativo!J14/MatrizPonderadaCostes!J14)</f>
        <v>0</v>
      </c>
      <c r="K14" s="49">
        <f>IF(OR(MatrizPonderadaCostes!K14=0,MatrizPonderadaValorOperativo!K14=0),0,MatrizPonderadaValorOperativo!K14/MatrizPonderadaCostes!K14)</f>
        <v>0</v>
      </c>
      <c r="L14" s="49">
        <f>IF(OR(MatrizPonderadaCostes!L14=0,MatrizPonderadaValorOperativo!L14=0),0,MatrizPonderadaValorOperativo!L14/MatrizPonderadaCostes!L14)</f>
        <v>0</v>
      </c>
      <c r="M14" s="49">
        <f>IF(OR(MatrizPonderadaCostes!M14=0,MatrizPonderadaValorOperativo!M14=0),0,MatrizPonderadaValorOperativo!M14/MatrizPonderadaCostes!M14)</f>
        <v>0</v>
      </c>
      <c r="N14" s="49">
        <f>IF(OR(MatrizPonderadaCostes!N14=0,MatrizPonderadaValorOperativo!N14=0),0,MatrizPonderadaValorOperativo!N14/MatrizPonderadaCostes!N14)</f>
        <v>0</v>
      </c>
      <c r="O14" s="49">
        <f>IF(OR(MatrizPonderadaCostes!O14=0,MatrizPonderadaValorOperativo!O14=0),0,MatrizPonderadaValorOperativo!O14/MatrizPonderadaCostes!O14)</f>
        <v>0</v>
      </c>
      <c r="P14" s="49">
        <f>IF(OR(MatrizPonderadaCostes!P14=0,MatrizPonderadaValorOperativo!P14=0),0,MatrizPonderadaValorOperativo!P14/MatrizPonderadaCostes!P14)</f>
        <v>0</v>
      </c>
      <c r="Q14" s="49">
        <f>IF(OR(MatrizPonderadaCostes!Q14=0,MatrizPonderadaValorOperativo!Q14=0),0,MatrizPonderadaValorOperativo!Q14/MatrizPonderadaCostes!Q14)</f>
        <v>0</v>
      </c>
      <c r="R14" s="49">
        <f>IF(OR(MatrizPonderadaCostes!R14=0,MatrizPonderadaValorOperativo!R14=0),0,MatrizPonderadaValorOperativo!R14/MatrizPonderadaCostes!R14)</f>
        <v>0</v>
      </c>
      <c r="S14" s="49">
        <f>IF(OR(MatrizPonderadaCostes!S14=0,MatrizPonderadaValorOperativo!S14=0),0,MatrizPonderadaValorOperativo!S14/MatrizPonderadaCostes!S14)</f>
        <v>0</v>
      </c>
      <c r="T14" s="49">
        <f>IF(OR(MatrizPonderadaCostes!T14=0,MatrizPonderadaValorOperativo!T14=0),0,MatrizPonderadaValorOperativo!T14/MatrizPonderadaCostes!T14)</f>
        <v>3.25</v>
      </c>
      <c r="U14" s="49">
        <f>IF(OR(MatrizPonderadaCostes!U14=0,MatrizPonderadaValorOperativo!U14=0),0,MatrizPonderadaValorOperativo!U14/MatrizPonderadaCostes!U14)</f>
        <v>4.333333333333333</v>
      </c>
      <c r="V14" s="50">
        <f>IF(OR(MatrizPonderadaCostes!V14=0,MatrizPonderadaValorOperativo!V14=0),0,MatrizPonderadaValorOperativo!V14/MatrizPonderadaCostes!V14)</f>
        <v>0</v>
      </c>
      <c r="W14"/>
      <c r="X14" s="15" t="str">
        <f>VLOOKUP(tblMatrizDistancias[[#This Row],[NodoOrigen \ NodoDestino]],tblNodos[#All],2,FALSE)</f>
        <v>Pagos online</v>
      </c>
      <c r="Y14" s="6" t="s">
        <v>82</v>
      </c>
      <c r="Z14" s="49">
        <f>IF(tblMatrizDistancias[[#This Row],[NodoOrigen \ NodoDestino]]="O1",0,IF(tblMatrizTradeOff[[#This Row],[O1]]=0,9999,1/tblMatrizTradeOff[[#This Row],[O1]]))</f>
        <v>9999</v>
      </c>
      <c r="AA14" s="49">
        <f>IF(tblMatrizDistancias[[#This Row],[NodoOrigen \ NodoDestino]]="O2",0,IF(tblMatrizTradeOff[[#This Row],[O2]]=0,9999,1/tblMatrizTradeOff[[#This Row],[O2]]))</f>
        <v>9999</v>
      </c>
      <c r="AB14" s="49">
        <f>IF(tblMatrizDistancias[[#This Row],[NodoOrigen \ NodoDestino]]="O3",0,IF(tblMatrizTradeOff[[#This Row],[O3]]=0,9999,1/tblMatrizTradeOff[[#This Row],[O3]]))</f>
        <v>9999</v>
      </c>
      <c r="AC14" s="49">
        <f>IF(tblMatrizDistancias[[#This Row],[NodoOrigen \ NodoDestino]]="O4",0,IF(tblMatrizTradeOff[[#This Row],[O4]]=0,9999,1/tblMatrizTradeOff[[#This Row],[O4]]))</f>
        <v>9999</v>
      </c>
      <c r="AD14" s="49">
        <f>IF(tblMatrizDistancias[[#This Row],[NodoOrigen \ NodoDestino]]="O5",0,IF(tblMatrizTradeOff[[#This Row],[O5]]=0,9999,1/tblMatrizTradeOff[[#This Row],[O5]]))</f>
        <v>9999</v>
      </c>
      <c r="AE14" s="49">
        <f>IF(tblMatrizDistancias[[#This Row],[NodoOrigen \ NodoDestino]]="O6",0,IF(tblMatrizTradeOff[[#This Row],[O6]]=0,9999,1/tblMatrizTradeOff[[#This Row],[O6]]))</f>
        <v>9999</v>
      </c>
      <c r="AF14" s="49">
        <f>IF(tblMatrizDistancias[[#This Row],[NodoOrigen \ NodoDestino]]="I1",0,IF(tblMatrizTradeOff[[#This Row],[I1]]=0,9999,1/tblMatrizTradeOff[[#This Row],[I1]]))</f>
        <v>9999</v>
      </c>
      <c r="AG14" s="49">
        <f>IF(tblMatrizDistancias[[#This Row],[NodoOrigen \ NodoDestino]]="I2",0,IF(tblMatrizTradeOff[[#This Row],[I2]]=0,9999,1/tblMatrizTradeOff[[#This Row],[I2]]))</f>
        <v>9999</v>
      </c>
      <c r="AH14" s="49">
        <f>IF(tblMatrizDistancias[[#This Row],[NodoOrigen \ NodoDestino]]="I3",0,IF(tblMatrizTradeOff[[#This Row],[I3]]=0,9999,1/tblMatrizTradeOff[[#This Row],[I3]]))</f>
        <v>9999</v>
      </c>
      <c r="AI14" s="49">
        <f>IF(tblMatrizDistancias[[#This Row],[NodoOrigen \ NodoDestino]]="I4",0,IF(tblMatrizTradeOff[[#This Row],[I4]]=0,9999,1/tblMatrizTradeOff[[#This Row],[I4]]))</f>
        <v>9999</v>
      </c>
      <c r="AJ14" s="49">
        <f>IF(tblMatrizDistancias[[#This Row],[NodoOrigen \ NodoDestino]]="I5",0,IF(tblMatrizTradeOff[[#This Row],[I5]]=0,9999,1/tblMatrizTradeOff[[#This Row],[I5]]))</f>
        <v>0</v>
      </c>
      <c r="AK14" s="49">
        <f>IF(tblMatrizDistancias[[#This Row],[NodoOrigen \ NodoDestino]]="I6",0,IF(tblMatrizTradeOff[[#This Row],[I6]]=0,9999,1/tblMatrizTradeOff[[#This Row],[I6]]))</f>
        <v>9999</v>
      </c>
      <c r="AL14" s="49">
        <f>IF(tblMatrizDistancias[[#This Row],[NodoOrigen \ NodoDestino]]="I7",0,IF(tblMatrizTradeOff[[#This Row],[I7]]=0,9999,1/tblMatrizTradeOff[[#This Row],[I7]]))</f>
        <v>9999</v>
      </c>
      <c r="AM14" s="49">
        <f>IF(tblMatrizDistancias[[#This Row],[NodoOrigen \ NodoDestino]]="I8",0,IF(tblMatrizTradeOff[[#This Row],[I8]]=0,9999,1/tblMatrizTradeOff[[#This Row],[I8]]))</f>
        <v>9999</v>
      </c>
      <c r="AN14" s="49">
        <f>IF(tblMatrizDistancias[[#This Row],[NodoOrigen \ NodoDestino]]="I9",0,IF(tblMatrizTradeOff[[#This Row],[I9]]=0,9999,1/tblMatrizTradeOff[[#This Row],[I9]]))</f>
        <v>9999</v>
      </c>
      <c r="AO14" s="49">
        <f>IF(tblMatrizDistancias[[#This Row],[NodoOrigen \ NodoDestino]]="G1",0,IF(tblMatrizTradeOff[[#This Row],[G1]]=0,9999,1/tblMatrizTradeOff[[#This Row],[G1]]))</f>
        <v>9999</v>
      </c>
      <c r="AP14" s="49">
        <f>IF(tblMatrizDistancias[[#This Row],[NodoOrigen \ NodoDestino]]="G2",0,IF(tblMatrizTradeOff[[#This Row],[G2]]=0,9999,1/tblMatrizTradeOff[[#This Row],[G2]]))</f>
        <v>0.30769230769230771</v>
      </c>
      <c r="AQ14" s="49">
        <f>IF(tblMatrizDistancias[[#This Row],[NodoOrigen \ NodoDestino]]="G3",0,IF(tblMatrizTradeOff[[#This Row],[G3]]=0,9999,1/tblMatrizTradeOff[[#This Row],[G3]]))</f>
        <v>0.23076923076923078</v>
      </c>
      <c r="AR14" s="49">
        <f>IF(tblMatrizDistancias[[#This Row],[NodoOrigen \ NodoDestino]]="D",0,IF(tblMatrizTradeOff[[#This Row],[D]]=0,9999,1/tblMatrizTradeOff[[#This Row],[D]]))</f>
        <v>9999</v>
      </c>
    </row>
    <row r="15" spans="2:44" ht="17.25" customHeight="1" x14ac:dyDescent="0.25">
      <c r="B15" s="15" t="str">
        <f>VLOOKUP(tblMatrizTradeOff[[#This Row],[NodoOrigen \ NodoDestino]],tblNodos[#All],2,FALSE)</f>
        <v>Servicios bancarios</v>
      </c>
      <c r="C15" s="6" t="s">
        <v>86</v>
      </c>
      <c r="D15" s="49">
        <f>IF(OR(MatrizPonderadaCostes!D15=0,MatrizPonderadaValorOperativo!D15=0),0,MatrizPonderadaValorOperativo!D15/MatrizPonderadaCostes!D15)</f>
        <v>0</v>
      </c>
      <c r="E15" s="49">
        <f>IF(OR(MatrizPonderadaCostes!E15=0,MatrizPonderadaValorOperativo!E15=0),0,MatrizPonderadaValorOperativo!E15/MatrizPonderadaCostes!E15)</f>
        <v>0</v>
      </c>
      <c r="F15" s="49">
        <f>IF(OR(MatrizPonderadaCostes!F15=0,MatrizPonderadaValorOperativo!F15=0),0,MatrizPonderadaValorOperativo!F15/MatrizPonderadaCostes!F15)</f>
        <v>0</v>
      </c>
      <c r="G15" s="49">
        <f>IF(OR(MatrizPonderadaCostes!G15=0,MatrizPonderadaValorOperativo!G15=0),0,MatrizPonderadaValorOperativo!G15/MatrizPonderadaCostes!G15)</f>
        <v>0</v>
      </c>
      <c r="H15" s="49">
        <f>IF(OR(MatrizPonderadaCostes!H15=0,MatrizPonderadaValorOperativo!H15=0),0,MatrizPonderadaValorOperativo!H15/MatrizPonderadaCostes!H15)</f>
        <v>0</v>
      </c>
      <c r="I15" s="49">
        <f>IF(OR(MatrizPonderadaCostes!I15=0,MatrizPonderadaValorOperativo!I15=0),0,MatrizPonderadaValorOperativo!I15/MatrizPonderadaCostes!I15)</f>
        <v>0</v>
      </c>
      <c r="J15" s="49">
        <f>IF(OR(MatrizPonderadaCostes!J15=0,MatrizPonderadaValorOperativo!J15=0),0,MatrizPonderadaValorOperativo!J15/MatrizPonderadaCostes!J15)</f>
        <v>0</v>
      </c>
      <c r="K15" s="49">
        <f>IF(OR(MatrizPonderadaCostes!K15=0,MatrizPonderadaValorOperativo!K15=0),0,MatrizPonderadaValorOperativo!K15/MatrizPonderadaCostes!K15)</f>
        <v>0</v>
      </c>
      <c r="L15" s="49">
        <f>IF(OR(MatrizPonderadaCostes!L15=0,MatrizPonderadaValorOperativo!L15=0),0,MatrizPonderadaValorOperativo!L15/MatrizPonderadaCostes!L15)</f>
        <v>0</v>
      </c>
      <c r="M15" s="49">
        <f>IF(OR(MatrizPonderadaCostes!M15=0,MatrizPonderadaValorOperativo!M15=0),0,MatrizPonderadaValorOperativo!M15/MatrizPonderadaCostes!M15)</f>
        <v>0</v>
      </c>
      <c r="N15" s="49">
        <f>IF(OR(MatrizPonderadaCostes!N15=0,MatrizPonderadaValorOperativo!N15=0),0,MatrizPonderadaValorOperativo!N15/MatrizPonderadaCostes!N15)</f>
        <v>0</v>
      </c>
      <c r="O15" s="49">
        <f>IF(OR(MatrizPonderadaCostes!O15=0,MatrizPonderadaValorOperativo!O15=0),0,MatrizPonderadaValorOperativo!O15/MatrizPonderadaCostes!O15)</f>
        <v>0</v>
      </c>
      <c r="P15" s="49">
        <f>IF(OR(MatrizPonderadaCostes!P15=0,MatrizPonderadaValorOperativo!P15=0),0,MatrizPonderadaValorOperativo!P15/MatrizPonderadaCostes!P15)</f>
        <v>0</v>
      </c>
      <c r="Q15" s="49">
        <f>IF(OR(MatrizPonderadaCostes!Q15=0,MatrizPonderadaValorOperativo!Q15=0),0,MatrizPonderadaValorOperativo!Q15/MatrizPonderadaCostes!Q15)</f>
        <v>0</v>
      </c>
      <c r="R15" s="49">
        <f>IF(OR(MatrizPonderadaCostes!R15=0,MatrizPonderadaValorOperativo!R15=0),0,MatrizPonderadaValorOperativo!R15/MatrizPonderadaCostes!R15)</f>
        <v>0</v>
      </c>
      <c r="S15" s="49">
        <f>IF(OR(MatrizPonderadaCostes!S15=0,MatrizPonderadaValorOperativo!S15=0),0,MatrizPonderadaValorOperativo!S15/MatrizPonderadaCostes!S15)</f>
        <v>4.666666666666667</v>
      </c>
      <c r="T15" s="49">
        <f>IF(OR(MatrizPonderadaCostes!T15=0,MatrizPonderadaValorOperativo!T15=0),0,MatrizPonderadaValorOperativo!T15/MatrizPonderadaCostes!T15)</f>
        <v>0</v>
      </c>
      <c r="U15" s="49">
        <f>IF(OR(MatrizPonderadaCostes!U15=0,MatrizPonderadaValorOperativo!U15=0),0,MatrizPonderadaValorOperativo!U15/MatrizPonderadaCostes!U15)</f>
        <v>4.666666666666667</v>
      </c>
      <c r="V15" s="50">
        <f>IF(OR(MatrizPonderadaCostes!V15=0,MatrizPonderadaValorOperativo!V15=0),0,MatrizPonderadaValorOperativo!V15/MatrizPonderadaCostes!V15)</f>
        <v>0</v>
      </c>
      <c r="W15"/>
      <c r="X15" s="15" t="str">
        <f>VLOOKUP(tblMatrizDistancias[[#This Row],[NodoOrigen \ NodoDestino]],tblNodos[#All],2,FALSE)</f>
        <v>Servicios bancarios</v>
      </c>
      <c r="Y15" s="6" t="s">
        <v>86</v>
      </c>
      <c r="Z15" s="49">
        <f>IF(tblMatrizDistancias[[#This Row],[NodoOrigen \ NodoDestino]]="O1",0,IF(tblMatrizTradeOff[[#This Row],[O1]]=0,9999,1/tblMatrizTradeOff[[#This Row],[O1]]))</f>
        <v>9999</v>
      </c>
      <c r="AA15" s="49">
        <f>IF(tblMatrizDistancias[[#This Row],[NodoOrigen \ NodoDestino]]="O2",0,IF(tblMatrizTradeOff[[#This Row],[O2]]=0,9999,1/tblMatrizTradeOff[[#This Row],[O2]]))</f>
        <v>9999</v>
      </c>
      <c r="AB15" s="49">
        <f>IF(tblMatrizDistancias[[#This Row],[NodoOrigen \ NodoDestino]]="O3",0,IF(tblMatrizTradeOff[[#This Row],[O3]]=0,9999,1/tblMatrizTradeOff[[#This Row],[O3]]))</f>
        <v>9999</v>
      </c>
      <c r="AC15" s="49">
        <f>IF(tblMatrizDistancias[[#This Row],[NodoOrigen \ NodoDestino]]="O4",0,IF(tblMatrizTradeOff[[#This Row],[O4]]=0,9999,1/tblMatrizTradeOff[[#This Row],[O4]]))</f>
        <v>9999</v>
      </c>
      <c r="AD15" s="49">
        <f>IF(tblMatrizDistancias[[#This Row],[NodoOrigen \ NodoDestino]]="O5",0,IF(tblMatrizTradeOff[[#This Row],[O5]]=0,9999,1/tblMatrizTradeOff[[#This Row],[O5]]))</f>
        <v>9999</v>
      </c>
      <c r="AE15" s="49">
        <f>IF(tblMatrizDistancias[[#This Row],[NodoOrigen \ NodoDestino]]="O6",0,IF(tblMatrizTradeOff[[#This Row],[O6]]=0,9999,1/tblMatrizTradeOff[[#This Row],[O6]]))</f>
        <v>9999</v>
      </c>
      <c r="AF15" s="49">
        <f>IF(tblMatrizDistancias[[#This Row],[NodoOrigen \ NodoDestino]]="I1",0,IF(tblMatrizTradeOff[[#This Row],[I1]]=0,9999,1/tblMatrizTradeOff[[#This Row],[I1]]))</f>
        <v>9999</v>
      </c>
      <c r="AG15" s="49">
        <f>IF(tblMatrizDistancias[[#This Row],[NodoOrigen \ NodoDestino]]="I2",0,IF(tblMatrizTradeOff[[#This Row],[I2]]=0,9999,1/tblMatrizTradeOff[[#This Row],[I2]]))</f>
        <v>9999</v>
      </c>
      <c r="AH15" s="49">
        <f>IF(tblMatrizDistancias[[#This Row],[NodoOrigen \ NodoDestino]]="I3",0,IF(tblMatrizTradeOff[[#This Row],[I3]]=0,9999,1/tblMatrizTradeOff[[#This Row],[I3]]))</f>
        <v>9999</v>
      </c>
      <c r="AI15" s="49">
        <f>IF(tblMatrizDistancias[[#This Row],[NodoOrigen \ NodoDestino]]="I4",0,IF(tblMatrizTradeOff[[#This Row],[I4]]=0,9999,1/tblMatrizTradeOff[[#This Row],[I4]]))</f>
        <v>9999</v>
      </c>
      <c r="AJ15" s="49">
        <f>IF(tblMatrizDistancias[[#This Row],[NodoOrigen \ NodoDestino]]="I5",0,IF(tblMatrizTradeOff[[#This Row],[I5]]=0,9999,1/tblMatrizTradeOff[[#This Row],[I5]]))</f>
        <v>9999</v>
      </c>
      <c r="AK15" s="49">
        <f>IF(tblMatrizDistancias[[#This Row],[NodoOrigen \ NodoDestino]]="I6",0,IF(tblMatrizTradeOff[[#This Row],[I6]]=0,9999,1/tblMatrizTradeOff[[#This Row],[I6]]))</f>
        <v>0</v>
      </c>
      <c r="AL15" s="49">
        <f>IF(tblMatrizDistancias[[#This Row],[NodoOrigen \ NodoDestino]]="I7",0,IF(tblMatrizTradeOff[[#This Row],[I7]]=0,9999,1/tblMatrizTradeOff[[#This Row],[I7]]))</f>
        <v>9999</v>
      </c>
      <c r="AM15" s="49">
        <f>IF(tblMatrizDistancias[[#This Row],[NodoOrigen \ NodoDestino]]="I8",0,IF(tblMatrizTradeOff[[#This Row],[I8]]=0,9999,1/tblMatrizTradeOff[[#This Row],[I8]]))</f>
        <v>9999</v>
      </c>
      <c r="AN15" s="49">
        <f>IF(tblMatrizDistancias[[#This Row],[NodoOrigen \ NodoDestino]]="I9",0,IF(tblMatrizTradeOff[[#This Row],[I9]]=0,9999,1/tblMatrizTradeOff[[#This Row],[I9]]))</f>
        <v>9999</v>
      </c>
      <c r="AO15" s="49">
        <f>IF(tblMatrizDistancias[[#This Row],[NodoOrigen \ NodoDestino]]="G1",0,IF(tblMatrizTradeOff[[#This Row],[G1]]=0,9999,1/tblMatrizTradeOff[[#This Row],[G1]]))</f>
        <v>0.21428571428571427</v>
      </c>
      <c r="AP15" s="49">
        <f>IF(tblMatrizDistancias[[#This Row],[NodoOrigen \ NodoDestino]]="G2",0,IF(tblMatrizTradeOff[[#This Row],[G2]]=0,9999,1/tblMatrizTradeOff[[#This Row],[G2]]))</f>
        <v>9999</v>
      </c>
      <c r="AQ15" s="49">
        <f>IF(tblMatrizDistancias[[#This Row],[NodoOrigen \ NodoDestino]]="G3",0,IF(tblMatrizTradeOff[[#This Row],[G3]]=0,9999,1/tblMatrizTradeOff[[#This Row],[G3]]))</f>
        <v>0.21428571428571427</v>
      </c>
      <c r="AR15" s="49">
        <f>IF(tblMatrizDistancias[[#This Row],[NodoOrigen \ NodoDestino]]="D",0,IF(tblMatrizTradeOff[[#This Row],[D]]=0,9999,1/tblMatrizTradeOff[[#This Row],[D]]))</f>
        <v>9999</v>
      </c>
    </row>
    <row r="16" spans="2:44" ht="17.25" customHeight="1" x14ac:dyDescent="0.25">
      <c r="B16" s="15" t="str">
        <f>VLOOKUP(tblMatrizTradeOff[[#This Row],[NodoOrigen \ NodoDestino]],tblNodos[#All],2,FALSE)</f>
        <v>Tarjetas prepago / e-wallets</v>
      </c>
      <c r="C16" s="6" t="s">
        <v>90</v>
      </c>
      <c r="D16" s="49">
        <f>IF(OR(MatrizPonderadaCostes!D16=0,MatrizPonderadaValorOperativo!D16=0),0,MatrizPonderadaValorOperativo!D16/MatrizPonderadaCostes!D16)</f>
        <v>0</v>
      </c>
      <c r="E16" s="49">
        <f>IF(OR(MatrizPonderadaCostes!E16=0,MatrizPonderadaValorOperativo!E16=0),0,MatrizPonderadaValorOperativo!E16/MatrizPonderadaCostes!E16)</f>
        <v>0</v>
      </c>
      <c r="F16" s="49">
        <f>IF(OR(MatrizPonderadaCostes!F16=0,MatrizPonderadaValorOperativo!F16=0),0,MatrizPonderadaValorOperativo!F16/MatrizPonderadaCostes!F16)</f>
        <v>0</v>
      </c>
      <c r="G16" s="49">
        <f>IF(OR(MatrizPonderadaCostes!G16=0,MatrizPonderadaValorOperativo!G16=0),0,MatrizPonderadaValorOperativo!G16/MatrizPonderadaCostes!G16)</f>
        <v>0</v>
      </c>
      <c r="H16" s="49">
        <f>IF(OR(MatrizPonderadaCostes!H16=0,MatrizPonderadaValorOperativo!H16=0),0,MatrizPonderadaValorOperativo!H16/MatrizPonderadaCostes!H16)</f>
        <v>0</v>
      </c>
      <c r="I16" s="49">
        <f>IF(OR(MatrizPonderadaCostes!I16=0,MatrizPonderadaValorOperativo!I16=0),0,MatrizPonderadaValorOperativo!I16/MatrizPonderadaCostes!I16)</f>
        <v>0</v>
      </c>
      <c r="J16" s="49">
        <f>IF(OR(MatrizPonderadaCostes!J16=0,MatrizPonderadaValorOperativo!J16=0),0,MatrizPonderadaValorOperativo!J16/MatrizPonderadaCostes!J16)</f>
        <v>0</v>
      </c>
      <c r="K16" s="49">
        <f>IF(OR(MatrizPonderadaCostes!K16=0,MatrizPonderadaValorOperativo!K16=0),0,MatrizPonderadaValorOperativo!K16/MatrizPonderadaCostes!K16)</f>
        <v>0</v>
      </c>
      <c r="L16" s="49">
        <f>IF(OR(MatrizPonderadaCostes!L16=0,MatrizPonderadaValorOperativo!L16=0),0,MatrizPonderadaValorOperativo!L16/MatrizPonderadaCostes!L16)</f>
        <v>0</v>
      </c>
      <c r="M16" s="49">
        <f>IF(OR(MatrizPonderadaCostes!M16=0,MatrizPonderadaValorOperativo!M16=0),0,MatrizPonderadaValorOperativo!M16/MatrizPonderadaCostes!M16)</f>
        <v>0</v>
      </c>
      <c r="N16" s="49">
        <f>IF(OR(MatrizPonderadaCostes!N16=0,MatrizPonderadaValorOperativo!N16=0),0,MatrizPonderadaValorOperativo!N16/MatrizPonderadaCostes!N16)</f>
        <v>0</v>
      </c>
      <c r="O16" s="49">
        <f>IF(OR(MatrizPonderadaCostes!O16=0,MatrizPonderadaValorOperativo!O16=0),0,MatrizPonderadaValorOperativo!O16/MatrizPonderadaCostes!O16)</f>
        <v>0</v>
      </c>
      <c r="P16" s="49">
        <f>IF(OR(MatrizPonderadaCostes!P16=0,MatrizPonderadaValorOperativo!P16=0),0,MatrizPonderadaValorOperativo!P16/MatrizPonderadaCostes!P16)</f>
        <v>0</v>
      </c>
      <c r="Q16" s="49">
        <f>IF(OR(MatrizPonderadaCostes!Q16=0,MatrizPonderadaValorOperativo!Q16=0),0,MatrizPonderadaValorOperativo!Q16/MatrizPonderadaCostes!Q16)</f>
        <v>0</v>
      </c>
      <c r="R16" s="49">
        <f>IF(OR(MatrizPonderadaCostes!R16=0,MatrizPonderadaValorOperativo!R16=0),0,MatrizPonderadaValorOperativo!R16/MatrizPonderadaCostes!R16)</f>
        <v>0</v>
      </c>
      <c r="S16" s="49">
        <f>IF(OR(MatrizPonderadaCostes!S16=0,MatrizPonderadaValorOperativo!S16=0),0,MatrizPonderadaValorOperativo!S16/MatrizPonderadaCostes!S16)</f>
        <v>0</v>
      </c>
      <c r="T16" s="49">
        <f>IF(OR(MatrizPonderadaCostes!T16=0,MatrizPonderadaValorOperativo!T16=0),0,MatrizPonderadaValorOperativo!T16/MatrizPonderadaCostes!T16)</f>
        <v>3.3333333333333335</v>
      </c>
      <c r="U16" s="49">
        <f>IF(OR(MatrizPonderadaCostes!U16=0,MatrizPonderadaValorOperativo!U16=0),0,MatrizPonderadaValorOperativo!U16/MatrizPonderadaCostes!U16)</f>
        <v>0</v>
      </c>
      <c r="V16" s="50">
        <f>IF(OR(MatrizPonderadaCostes!V16=0,MatrizPonderadaValorOperativo!V16=0),0,MatrizPonderadaValorOperativo!V16/MatrizPonderadaCostes!V16)</f>
        <v>0</v>
      </c>
      <c r="W16"/>
      <c r="X16" s="15" t="str">
        <f>VLOOKUP(tblMatrizDistancias[[#This Row],[NodoOrigen \ NodoDestino]],tblNodos[#All],2,FALSE)</f>
        <v>Tarjetas prepago / e-wallets</v>
      </c>
      <c r="Y16" s="6" t="s">
        <v>90</v>
      </c>
      <c r="Z16" s="49">
        <f>IF(tblMatrizDistancias[[#This Row],[NodoOrigen \ NodoDestino]]="O1",0,IF(tblMatrizTradeOff[[#This Row],[O1]]=0,9999,1/tblMatrizTradeOff[[#This Row],[O1]]))</f>
        <v>9999</v>
      </c>
      <c r="AA16" s="49">
        <f>IF(tblMatrizDistancias[[#This Row],[NodoOrigen \ NodoDestino]]="O2",0,IF(tblMatrizTradeOff[[#This Row],[O2]]=0,9999,1/tblMatrizTradeOff[[#This Row],[O2]]))</f>
        <v>9999</v>
      </c>
      <c r="AB16" s="49">
        <f>IF(tblMatrizDistancias[[#This Row],[NodoOrigen \ NodoDestino]]="O3",0,IF(tblMatrizTradeOff[[#This Row],[O3]]=0,9999,1/tblMatrizTradeOff[[#This Row],[O3]]))</f>
        <v>9999</v>
      </c>
      <c r="AC16" s="49">
        <f>IF(tblMatrizDistancias[[#This Row],[NodoOrigen \ NodoDestino]]="O4",0,IF(tblMatrizTradeOff[[#This Row],[O4]]=0,9999,1/tblMatrizTradeOff[[#This Row],[O4]]))</f>
        <v>9999</v>
      </c>
      <c r="AD16" s="49">
        <f>IF(tblMatrizDistancias[[#This Row],[NodoOrigen \ NodoDestino]]="O5",0,IF(tblMatrizTradeOff[[#This Row],[O5]]=0,9999,1/tblMatrizTradeOff[[#This Row],[O5]]))</f>
        <v>9999</v>
      </c>
      <c r="AE16" s="49">
        <f>IF(tblMatrizDistancias[[#This Row],[NodoOrigen \ NodoDestino]]="O6",0,IF(tblMatrizTradeOff[[#This Row],[O6]]=0,9999,1/tblMatrizTradeOff[[#This Row],[O6]]))</f>
        <v>9999</v>
      </c>
      <c r="AF16" s="49">
        <f>IF(tblMatrizDistancias[[#This Row],[NodoOrigen \ NodoDestino]]="I1",0,IF(tblMatrizTradeOff[[#This Row],[I1]]=0,9999,1/tblMatrizTradeOff[[#This Row],[I1]]))</f>
        <v>9999</v>
      </c>
      <c r="AG16" s="49">
        <f>IF(tblMatrizDistancias[[#This Row],[NodoOrigen \ NodoDestino]]="I2",0,IF(tblMatrizTradeOff[[#This Row],[I2]]=0,9999,1/tblMatrizTradeOff[[#This Row],[I2]]))</f>
        <v>9999</v>
      </c>
      <c r="AH16" s="49">
        <f>IF(tblMatrizDistancias[[#This Row],[NodoOrigen \ NodoDestino]]="I3",0,IF(tblMatrizTradeOff[[#This Row],[I3]]=0,9999,1/tblMatrizTradeOff[[#This Row],[I3]]))</f>
        <v>9999</v>
      </c>
      <c r="AI16" s="49">
        <f>IF(tblMatrizDistancias[[#This Row],[NodoOrigen \ NodoDestino]]="I4",0,IF(tblMatrizTradeOff[[#This Row],[I4]]=0,9999,1/tblMatrizTradeOff[[#This Row],[I4]]))</f>
        <v>9999</v>
      </c>
      <c r="AJ16" s="49">
        <f>IF(tblMatrizDistancias[[#This Row],[NodoOrigen \ NodoDestino]]="I5",0,IF(tblMatrizTradeOff[[#This Row],[I5]]=0,9999,1/tblMatrizTradeOff[[#This Row],[I5]]))</f>
        <v>9999</v>
      </c>
      <c r="AK16" s="49">
        <f>IF(tblMatrizDistancias[[#This Row],[NodoOrigen \ NodoDestino]]="I6",0,IF(tblMatrizTradeOff[[#This Row],[I6]]=0,9999,1/tblMatrizTradeOff[[#This Row],[I6]]))</f>
        <v>9999</v>
      </c>
      <c r="AL16" s="49">
        <f>IF(tblMatrizDistancias[[#This Row],[NodoOrigen \ NodoDestino]]="I7",0,IF(tblMatrizTradeOff[[#This Row],[I7]]=0,9999,1/tblMatrizTradeOff[[#This Row],[I7]]))</f>
        <v>0</v>
      </c>
      <c r="AM16" s="49">
        <f>IF(tblMatrizDistancias[[#This Row],[NodoOrigen \ NodoDestino]]="I8",0,IF(tblMatrizTradeOff[[#This Row],[I8]]=0,9999,1/tblMatrizTradeOff[[#This Row],[I8]]))</f>
        <v>9999</v>
      </c>
      <c r="AN16" s="49">
        <f>IF(tblMatrizDistancias[[#This Row],[NodoOrigen \ NodoDestino]]="I9",0,IF(tblMatrizTradeOff[[#This Row],[I9]]=0,9999,1/tblMatrizTradeOff[[#This Row],[I9]]))</f>
        <v>9999</v>
      </c>
      <c r="AO16" s="49">
        <f>IF(tblMatrizDistancias[[#This Row],[NodoOrigen \ NodoDestino]]="G1",0,IF(tblMatrizTradeOff[[#This Row],[G1]]=0,9999,1/tblMatrizTradeOff[[#This Row],[G1]]))</f>
        <v>9999</v>
      </c>
      <c r="AP16" s="49">
        <f>IF(tblMatrizDistancias[[#This Row],[NodoOrigen \ NodoDestino]]="G2",0,IF(tblMatrizTradeOff[[#This Row],[G2]]=0,9999,1/tblMatrizTradeOff[[#This Row],[G2]]))</f>
        <v>0.3</v>
      </c>
      <c r="AQ16" s="49">
        <f>IF(tblMatrizDistancias[[#This Row],[NodoOrigen \ NodoDestino]]="G3",0,IF(tblMatrizTradeOff[[#This Row],[G3]]=0,9999,1/tblMatrizTradeOff[[#This Row],[G3]]))</f>
        <v>9999</v>
      </c>
      <c r="AR16" s="49">
        <f>IF(tblMatrizDistancias[[#This Row],[NodoOrigen \ NodoDestino]]="D",0,IF(tblMatrizTradeOff[[#This Row],[D]]=0,9999,1/tblMatrizTradeOff[[#This Row],[D]]))</f>
        <v>9999</v>
      </c>
    </row>
    <row r="17" spans="2:44" ht="17.25" customHeight="1" x14ac:dyDescent="0.25">
      <c r="B17" s="15" t="str">
        <f>VLOOKUP(tblMatrizTradeOff[[#This Row],[NodoOrigen \ NodoDestino]],tblNodos[#All],2,FALSE)</f>
        <v>Plataformas digitales</v>
      </c>
      <c r="C17" s="6" t="s">
        <v>94</v>
      </c>
      <c r="D17" s="49">
        <f>IF(OR(MatrizPonderadaCostes!D17=0,MatrizPonderadaValorOperativo!D17=0),0,MatrizPonderadaValorOperativo!D17/MatrizPonderadaCostes!D17)</f>
        <v>0</v>
      </c>
      <c r="E17" s="49">
        <f>IF(OR(MatrizPonderadaCostes!E17=0,MatrizPonderadaValorOperativo!E17=0),0,MatrizPonderadaValorOperativo!E17/MatrizPonderadaCostes!E17)</f>
        <v>0</v>
      </c>
      <c r="F17" s="49">
        <f>IF(OR(MatrizPonderadaCostes!F17=0,MatrizPonderadaValorOperativo!F17=0),0,MatrizPonderadaValorOperativo!F17/MatrizPonderadaCostes!F17)</f>
        <v>0</v>
      </c>
      <c r="G17" s="49">
        <f>IF(OR(MatrizPonderadaCostes!G17=0,MatrizPonderadaValorOperativo!G17=0),0,MatrizPonderadaValorOperativo!G17/MatrizPonderadaCostes!G17)</f>
        <v>0</v>
      </c>
      <c r="H17" s="49">
        <f>IF(OR(MatrizPonderadaCostes!H17=0,MatrizPonderadaValorOperativo!H17=0),0,MatrizPonderadaValorOperativo!H17/MatrizPonderadaCostes!H17)</f>
        <v>0</v>
      </c>
      <c r="I17" s="49">
        <f>IF(OR(MatrizPonderadaCostes!I17=0,MatrizPonderadaValorOperativo!I17=0),0,MatrizPonderadaValorOperativo!I17/MatrizPonderadaCostes!I17)</f>
        <v>0</v>
      </c>
      <c r="J17" s="49">
        <f>IF(OR(MatrizPonderadaCostes!J17=0,MatrizPonderadaValorOperativo!J17=0),0,MatrizPonderadaValorOperativo!J17/MatrizPonderadaCostes!J17)</f>
        <v>0</v>
      </c>
      <c r="K17" s="49">
        <f>IF(OR(MatrizPonderadaCostes!K17=0,MatrizPonderadaValorOperativo!K17=0),0,MatrizPonderadaValorOperativo!K17/MatrizPonderadaCostes!K17)</f>
        <v>0</v>
      </c>
      <c r="L17" s="49">
        <f>IF(OR(MatrizPonderadaCostes!L17=0,MatrizPonderadaValorOperativo!L17=0),0,MatrizPonderadaValorOperativo!L17/MatrizPonderadaCostes!L17)</f>
        <v>0</v>
      </c>
      <c r="M17" s="49">
        <f>IF(OR(MatrizPonderadaCostes!M17=0,MatrizPonderadaValorOperativo!M17=0),0,MatrizPonderadaValorOperativo!M17/MatrizPonderadaCostes!M17)</f>
        <v>0</v>
      </c>
      <c r="N17" s="49">
        <f>IF(OR(MatrizPonderadaCostes!N17=0,MatrizPonderadaValorOperativo!N17=0),0,MatrizPonderadaValorOperativo!N17/MatrizPonderadaCostes!N17)</f>
        <v>0</v>
      </c>
      <c r="O17" s="49">
        <f>IF(OR(MatrizPonderadaCostes!O17=0,MatrizPonderadaValorOperativo!O17=0),0,MatrizPonderadaValorOperativo!O17/MatrizPonderadaCostes!O17)</f>
        <v>0</v>
      </c>
      <c r="P17" s="49">
        <f>IF(OR(MatrizPonderadaCostes!P17=0,MatrizPonderadaValorOperativo!P17=0),0,MatrizPonderadaValorOperativo!P17/MatrizPonderadaCostes!P17)</f>
        <v>0</v>
      </c>
      <c r="Q17" s="49">
        <f>IF(OR(MatrizPonderadaCostes!Q17=0,MatrizPonderadaValorOperativo!Q17=0),0,MatrizPonderadaValorOperativo!Q17/MatrizPonderadaCostes!Q17)</f>
        <v>0</v>
      </c>
      <c r="R17" s="49">
        <f>IF(OR(MatrizPonderadaCostes!R17=0,MatrizPonderadaValorOperativo!R17=0),0,MatrizPonderadaValorOperativo!R17/MatrizPonderadaCostes!R17)</f>
        <v>0</v>
      </c>
      <c r="S17" s="49">
        <f>IF(OR(MatrizPonderadaCostes!S17=0,MatrizPonderadaValorOperativo!S17=0),0,MatrizPonderadaValorOperativo!S17/MatrizPonderadaCostes!S17)</f>
        <v>0</v>
      </c>
      <c r="T17" s="49">
        <f>IF(OR(MatrizPonderadaCostes!T17=0,MatrizPonderadaValorOperativo!T17=0),0,MatrizPonderadaValorOperativo!T17/MatrizPonderadaCostes!T17)</f>
        <v>2.2000000000000002</v>
      </c>
      <c r="U17" s="49">
        <f>IF(OR(MatrizPonderadaCostes!U17=0,MatrizPonderadaValorOperativo!U17=0),0,MatrizPonderadaValorOperativo!U17/MatrizPonderadaCostes!U17)</f>
        <v>2.75</v>
      </c>
      <c r="V17" s="50">
        <f>IF(OR(MatrizPonderadaCostes!V17=0,MatrizPonderadaValorOperativo!V17=0),0,MatrizPonderadaValorOperativo!V17/MatrizPonderadaCostes!V17)</f>
        <v>0</v>
      </c>
      <c r="W17"/>
      <c r="X17" s="15" t="str">
        <f>VLOOKUP(tblMatrizDistancias[[#This Row],[NodoOrigen \ NodoDestino]],tblNodos[#All],2,FALSE)</f>
        <v>Plataformas digitales</v>
      </c>
      <c r="Y17" s="6" t="s">
        <v>94</v>
      </c>
      <c r="Z17" s="49">
        <f>IF(tblMatrizDistancias[[#This Row],[NodoOrigen \ NodoDestino]]="O1",0,IF(tblMatrizTradeOff[[#This Row],[O1]]=0,9999,1/tblMatrizTradeOff[[#This Row],[O1]]))</f>
        <v>9999</v>
      </c>
      <c r="AA17" s="49">
        <f>IF(tblMatrizDistancias[[#This Row],[NodoOrigen \ NodoDestino]]="O2",0,IF(tblMatrizTradeOff[[#This Row],[O2]]=0,9999,1/tblMatrizTradeOff[[#This Row],[O2]]))</f>
        <v>9999</v>
      </c>
      <c r="AB17" s="49">
        <f>IF(tblMatrizDistancias[[#This Row],[NodoOrigen \ NodoDestino]]="O3",0,IF(tblMatrizTradeOff[[#This Row],[O3]]=0,9999,1/tblMatrizTradeOff[[#This Row],[O3]]))</f>
        <v>9999</v>
      </c>
      <c r="AC17" s="49">
        <f>IF(tblMatrizDistancias[[#This Row],[NodoOrigen \ NodoDestino]]="O4",0,IF(tblMatrizTradeOff[[#This Row],[O4]]=0,9999,1/tblMatrizTradeOff[[#This Row],[O4]]))</f>
        <v>9999</v>
      </c>
      <c r="AD17" s="49">
        <f>IF(tblMatrizDistancias[[#This Row],[NodoOrigen \ NodoDestino]]="O5",0,IF(tblMatrizTradeOff[[#This Row],[O5]]=0,9999,1/tblMatrizTradeOff[[#This Row],[O5]]))</f>
        <v>9999</v>
      </c>
      <c r="AE17" s="49">
        <f>IF(tblMatrizDistancias[[#This Row],[NodoOrigen \ NodoDestino]]="O6",0,IF(tblMatrizTradeOff[[#This Row],[O6]]=0,9999,1/tblMatrizTradeOff[[#This Row],[O6]]))</f>
        <v>9999</v>
      </c>
      <c r="AF17" s="49">
        <f>IF(tblMatrizDistancias[[#This Row],[NodoOrigen \ NodoDestino]]="I1",0,IF(tblMatrizTradeOff[[#This Row],[I1]]=0,9999,1/tblMatrizTradeOff[[#This Row],[I1]]))</f>
        <v>9999</v>
      </c>
      <c r="AG17" s="49">
        <f>IF(tblMatrizDistancias[[#This Row],[NodoOrigen \ NodoDestino]]="I2",0,IF(tblMatrizTradeOff[[#This Row],[I2]]=0,9999,1/tblMatrizTradeOff[[#This Row],[I2]]))</f>
        <v>9999</v>
      </c>
      <c r="AH17" s="49">
        <f>IF(tblMatrizDistancias[[#This Row],[NodoOrigen \ NodoDestino]]="I3",0,IF(tblMatrizTradeOff[[#This Row],[I3]]=0,9999,1/tblMatrizTradeOff[[#This Row],[I3]]))</f>
        <v>9999</v>
      </c>
      <c r="AI17" s="49">
        <f>IF(tblMatrizDistancias[[#This Row],[NodoOrigen \ NodoDestino]]="I4",0,IF(tblMatrizTradeOff[[#This Row],[I4]]=0,9999,1/tblMatrizTradeOff[[#This Row],[I4]]))</f>
        <v>9999</v>
      </c>
      <c r="AJ17" s="49">
        <f>IF(tblMatrizDistancias[[#This Row],[NodoOrigen \ NodoDestino]]="I5",0,IF(tblMatrizTradeOff[[#This Row],[I5]]=0,9999,1/tblMatrizTradeOff[[#This Row],[I5]]))</f>
        <v>9999</v>
      </c>
      <c r="AK17" s="49">
        <f>IF(tblMatrizDistancias[[#This Row],[NodoOrigen \ NodoDestino]]="I6",0,IF(tblMatrizTradeOff[[#This Row],[I6]]=0,9999,1/tblMatrizTradeOff[[#This Row],[I6]]))</f>
        <v>9999</v>
      </c>
      <c r="AL17" s="49">
        <f>IF(tblMatrizDistancias[[#This Row],[NodoOrigen \ NodoDestino]]="I7",0,IF(tblMatrizTradeOff[[#This Row],[I7]]=0,9999,1/tblMatrizTradeOff[[#This Row],[I7]]))</f>
        <v>9999</v>
      </c>
      <c r="AM17" s="49">
        <f>IF(tblMatrizDistancias[[#This Row],[NodoOrigen \ NodoDestino]]="I8",0,IF(tblMatrizTradeOff[[#This Row],[I8]]=0,9999,1/tblMatrizTradeOff[[#This Row],[I8]]))</f>
        <v>0</v>
      </c>
      <c r="AN17" s="49">
        <f>IF(tblMatrizDistancias[[#This Row],[NodoOrigen \ NodoDestino]]="I9",0,IF(tblMatrizTradeOff[[#This Row],[I9]]=0,9999,1/tblMatrizTradeOff[[#This Row],[I9]]))</f>
        <v>9999</v>
      </c>
      <c r="AO17" s="49">
        <f>IF(tblMatrizDistancias[[#This Row],[NodoOrigen \ NodoDestino]]="G1",0,IF(tblMatrizTradeOff[[#This Row],[G1]]=0,9999,1/tblMatrizTradeOff[[#This Row],[G1]]))</f>
        <v>9999</v>
      </c>
      <c r="AP17" s="49">
        <f>IF(tblMatrizDistancias[[#This Row],[NodoOrigen \ NodoDestino]]="G2",0,IF(tblMatrizTradeOff[[#This Row],[G2]]=0,9999,1/tblMatrizTradeOff[[#This Row],[G2]]))</f>
        <v>0.45454545454545453</v>
      </c>
      <c r="AQ17" s="49">
        <f>IF(tblMatrizDistancias[[#This Row],[NodoOrigen \ NodoDestino]]="G3",0,IF(tblMatrizTradeOff[[#This Row],[G3]]=0,9999,1/tblMatrizTradeOff[[#This Row],[G3]]))</f>
        <v>0.36363636363636365</v>
      </c>
      <c r="AR17" s="49">
        <f>IF(tblMatrizDistancias[[#This Row],[NodoOrigen \ NodoDestino]]="D",0,IF(tblMatrizTradeOff[[#This Row],[D]]=0,9999,1/tblMatrizTradeOff[[#This Row],[D]]))</f>
        <v>9999</v>
      </c>
    </row>
    <row r="18" spans="2:44" ht="17.25" customHeight="1" x14ac:dyDescent="0.25">
      <c r="B18" s="15" t="str">
        <f>VLOOKUP(tblMatrizTradeOff[[#This Row],[NodoOrigen \ NodoDestino]],tblNodos[#All],2,FALSE)</f>
        <v>Activos virtuales</v>
      </c>
      <c r="C18" s="6" t="s">
        <v>63</v>
      </c>
      <c r="D18" s="49">
        <f>IF(OR(MatrizPonderadaCostes!D18=0,MatrizPonderadaValorOperativo!D18=0),0,MatrizPonderadaValorOperativo!D18/MatrizPonderadaCostes!D18)</f>
        <v>0</v>
      </c>
      <c r="E18" s="49">
        <f>IF(OR(MatrizPonderadaCostes!E18=0,MatrizPonderadaValorOperativo!E18=0),0,MatrizPonderadaValorOperativo!E18/MatrizPonderadaCostes!E18)</f>
        <v>0</v>
      </c>
      <c r="F18" s="49">
        <f>IF(OR(MatrizPonderadaCostes!F18=0,MatrizPonderadaValorOperativo!F18=0),0,MatrizPonderadaValorOperativo!F18/MatrizPonderadaCostes!F18)</f>
        <v>0</v>
      </c>
      <c r="G18" s="49">
        <f>IF(OR(MatrizPonderadaCostes!G18=0,MatrizPonderadaValorOperativo!G18=0),0,MatrizPonderadaValorOperativo!G18/MatrizPonderadaCostes!G18)</f>
        <v>0</v>
      </c>
      <c r="H18" s="49">
        <f>IF(OR(MatrizPonderadaCostes!H18=0,MatrizPonderadaValorOperativo!H18=0),0,MatrizPonderadaValorOperativo!H18/MatrizPonderadaCostes!H18)</f>
        <v>0</v>
      </c>
      <c r="I18" s="49">
        <f>IF(OR(MatrizPonderadaCostes!I18=0,MatrizPonderadaValorOperativo!I18=0),0,MatrizPonderadaValorOperativo!I18/MatrizPonderadaCostes!I18)</f>
        <v>0</v>
      </c>
      <c r="J18" s="49">
        <f>IF(OR(MatrizPonderadaCostes!J18=0,MatrizPonderadaValorOperativo!J18=0),0,MatrizPonderadaValorOperativo!J18/MatrizPonderadaCostes!J18)</f>
        <v>0</v>
      </c>
      <c r="K18" s="49">
        <f>IF(OR(MatrizPonderadaCostes!K18=0,MatrizPonderadaValorOperativo!K18=0),0,MatrizPonderadaValorOperativo!K18/MatrizPonderadaCostes!K18)</f>
        <v>0</v>
      </c>
      <c r="L18" s="49">
        <f>IF(OR(MatrizPonderadaCostes!L18=0,MatrizPonderadaValorOperativo!L18=0),0,MatrizPonderadaValorOperativo!L18/MatrizPonderadaCostes!L18)</f>
        <v>0</v>
      </c>
      <c r="M18" s="49">
        <f>IF(OR(MatrizPonderadaCostes!M18=0,MatrizPonderadaValorOperativo!M18=0),0,MatrizPonderadaValorOperativo!M18/MatrizPonderadaCostes!M18)</f>
        <v>0</v>
      </c>
      <c r="N18" s="49">
        <f>IF(OR(MatrizPonderadaCostes!N18=0,MatrizPonderadaValorOperativo!N18=0),0,MatrizPonderadaValorOperativo!N18/MatrizPonderadaCostes!N18)</f>
        <v>0</v>
      </c>
      <c r="O18" s="49">
        <f>IF(OR(MatrizPonderadaCostes!O18=0,MatrizPonderadaValorOperativo!O18=0),0,MatrizPonderadaValorOperativo!O18/MatrizPonderadaCostes!O18)</f>
        <v>0</v>
      </c>
      <c r="P18" s="49">
        <f>IF(OR(MatrizPonderadaCostes!P18=0,MatrizPonderadaValorOperativo!P18=0),0,MatrizPonderadaValorOperativo!P18/MatrizPonderadaCostes!P18)</f>
        <v>0</v>
      </c>
      <c r="Q18" s="49">
        <f>IF(OR(MatrizPonderadaCostes!Q18=0,MatrizPonderadaValorOperativo!Q18=0),0,MatrizPonderadaValorOperativo!Q18/MatrizPonderadaCostes!Q18)</f>
        <v>0</v>
      </c>
      <c r="R18" s="49">
        <f>IF(OR(MatrizPonderadaCostes!R18=0,MatrizPonderadaValorOperativo!R18=0),0,MatrizPonderadaValorOperativo!R18/MatrizPonderadaCostes!R18)</f>
        <v>0</v>
      </c>
      <c r="S18" s="49">
        <f>IF(OR(MatrizPonderadaCostes!S18=0,MatrizPonderadaValorOperativo!S18=0),0,MatrizPonderadaValorOperativo!S18/MatrizPonderadaCostes!S18)</f>
        <v>0</v>
      </c>
      <c r="T18" s="49">
        <f>IF(OR(MatrizPonderadaCostes!T18=0,MatrizPonderadaValorOperativo!T18=0),0,MatrizPonderadaValorOperativo!T18/MatrizPonderadaCostes!T18)</f>
        <v>4</v>
      </c>
      <c r="U18" s="49">
        <f>IF(OR(MatrizPonderadaCostes!U18=0,MatrizPonderadaValorOperativo!U18=0),0,MatrizPonderadaValorOperativo!U18/MatrizPonderadaCostes!U18)</f>
        <v>4</v>
      </c>
      <c r="V18" s="50">
        <f>IF(OR(MatrizPonderadaCostes!V18=0,MatrizPonderadaValorOperativo!V18=0),0,MatrizPonderadaValorOperativo!V18/MatrizPonderadaCostes!V18)</f>
        <v>0</v>
      </c>
      <c r="W18"/>
      <c r="X18" s="15" t="str">
        <f>VLOOKUP(tblMatrizDistancias[[#This Row],[NodoOrigen \ NodoDestino]],tblNodos[#All],2,FALSE)</f>
        <v>Activos virtuales</v>
      </c>
      <c r="Y18" s="6" t="s">
        <v>63</v>
      </c>
      <c r="Z18" s="49">
        <f>IF(tblMatrizDistancias[[#This Row],[NodoOrigen \ NodoDestino]]="O1",0,IF(tblMatrizTradeOff[[#This Row],[O1]]=0,9999,1/tblMatrizTradeOff[[#This Row],[O1]]))</f>
        <v>9999</v>
      </c>
      <c r="AA18" s="49">
        <f>IF(tblMatrizDistancias[[#This Row],[NodoOrigen \ NodoDestino]]="O2",0,IF(tblMatrizTradeOff[[#This Row],[O2]]=0,9999,1/tblMatrizTradeOff[[#This Row],[O2]]))</f>
        <v>9999</v>
      </c>
      <c r="AB18" s="49">
        <f>IF(tblMatrizDistancias[[#This Row],[NodoOrigen \ NodoDestino]]="O3",0,IF(tblMatrizTradeOff[[#This Row],[O3]]=0,9999,1/tblMatrizTradeOff[[#This Row],[O3]]))</f>
        <v>9999</v>
      </c>
      <c r="AC18" s="49">
        <f>IF(tblMatrizDistancias[[#This Row],[NodoOrigen \ NodoDestino]]="O4",0,IF(tblMatrizTradeOff[[#This Row],[O4]]=0,9999,1/tblMatrizTradeOff[[#This Row],[O4]]))</f>
        <v>9999</v>
      </c>
      <c r="AD18" s="49">
        <f>IF(tblMatrizDistancias[[#This Row],[NodoOrigen \ NodoDestino]]="O5",0,IF(tblMatrizTradeOff[[#This Row],[O5]]=0,9999,1/tblMatrizTradeOff[[#This Row],[O5]]))</f>
        <v>9999</v>
      </c>
      <c r="AE18" s="49">
        <f>IF(tblMatrizDistancias[[#This Row],[NodoOrigen \ NodoDestino]]="O6",0,IF(tblMatrizTradeOff[[#This Row],[O6]]=0,9999,1/tblMatrizTradeOff[[#This Row],[O6]]))</f>
        <v>9999</v>
      </c>
      <c r="AF18" s="49">
        <f>IF(tblMatrizDistancias[[#This Row],[NodoOrigen \ NodoDestino]]="I1",0,IF(tblMatrizTradeOff[[#This Row],[I1]]=0,9999,1/tblMatrizTradeOff[[#This Row],[I1]]))</f>
        <v>9999</v>
      </c>
      <c r="AG18" s="49">
        <f>IF(tblMatrizDistancias[[#This Row],[NodoOrigen \ NodoDestino]]="I2",0,IF(tblMatrizTradeOff[[#This Row],[I2]]=0,9999,1/tblMatrizTradeOff[[#This Row],[I2]]))</f>
        <v>9999</v>
      </c>
      <c r="AH18" s="49">
        <f>IF(tblMatrizDistancias[[#This Row],[NodoOrigen \ NodoDestino]]="I3",0,IF(tblMatrizTradeOff[[#This Row],[I3]]=0,9999,1/tblMatrizTradeOff[[#This Row],[I3]]))</f>
        <v>9999</v>
      </c>
      <c r="AI18" s="49">
        <f>IF(tblMatrizDistancias[[#This Row],[NodoOrigen \ NodoDestino]]="I4",0,IF(tblMatrizTradeOff[[#This Row],[I4]]=0,9999,1/tblMatrizTradeOff[[#This Row],[I4]]))</f>
        <v>9999</v>
      </c>
      <c r="AJ18" s="49">
        <f>IF(tblMatrizDistancias[[#This Row],[NodoOrigen \ NodoDestino]]="I5",0,IF(tblMatrizTradeOff[[#This Row],[I5]]=0,9999,1/tblMatrizTradeOff[[#This Row],[I5]]))</f>
        <v>9999</v>
      </c>
      <c r="AK18" s="49">
        <f>IF(tblMatrizDistancias[[#This Row],[NodoOrigen \ NodoDestino]]="I6",0,IF(tblMatrizTradeOff[[#This Row],[I6]]=0,9999,1/tblMatrizTradeOff[[#This Row],[I6]]))</f>
        <v>9999</v>
      </c>
      <c r="AL18" s="49">
        <f>IF(tblMatrizDistancias[[#This Row],[NodoOrigen \ NodoDestino]]="I7",0,IF(tblMatrizTradeOff[[#This Row],[I7]]=0,9999,1/tblMatrizTradeOff[[#This Row],[I7]]))</f>
        <v>9999</v>
      </c>
      <c r="AM18" s="49">
        <f>IF(tblMatrizDistancias[[#This Row],[NodoOrigen \ NodoDestino]]="I8",0,IF(tblMatrizTradeOff[[#This Row],[I8]]=0,9999,1/tblMatrizTradeOff[[#This Row],[I8]]))</f>
        <v>9999</v>
      </c>
      <c r="AN18" s="49">
        <f>IF(tblMatrizDistancias[[#This Row],[NodoOrigen \ NodoDestino]]="I9",0,IF(tblMatrizTradeOff[[#This Row],[I9]]=0,9999,1/tblMatrizTradeOff[[#This Row],[I9]]))</f>
        <v>0</v>
      </c>
      <c r="AO18" s="49">
        <f>IF(tblMatrizDistancias[[#This Row],[NodoOrigen \ NodoDestino]]="G1",0,IF(tblMatrizTradeOff[[#This Row],[G1]]=0,9999,1/tblMatrizTradeOff[[#This Row],[G1]]))</f>
        <v>9999</v>
      </c>
      <c r="AP18" s="49">
        <f>IF(tblMatrizDistancias[[#This Row],[NodoOrigen \ NodoDestino]]="G2",0,IF(tblMatrizTradeOff[[#This Row],[G2]]=0,9999,1/tblMatrizTradeOff[[#This Row],[G2]]))</f>
        <v>0.25</v>
      </c>
      <c r="AQ18" s="49">
        <f>IF(tblMatrizDistancias[[#This Row],[NodoOrigen \ NodoDestino]]="G3",0,IF(tblMatrizTradeOff[[#This Row],[G3]]=0,9999,1/tblMatrizTradeOff[[#This Row],[G3]]))</f>
        <v>0.25</v>
      </c>
      <c r="AR18" s="49">
        <f>IF(tblMatrizDistancias[[#This Row],[NodoOrigen \ NodoDestino]]="D",0,IF(tblMatrizTradeOff[[#This Row],[D]]=0,9999,1/tblMatrizTradeOff[[#This Row],[D]]))</f>
        <v>9999</v>
      </c>
    </row>
    <row r="19" spans="2:44" ht="17.25" customHeight="1" x14ac:dyDescent="0.25">
      <c r="B19" s="15" t="str">
        <f>VLOOKUP(tblMatrizTradeOff[[#This Row],[NodoOrigen \ NodoDestino]],tblNodos[#All],2,FALSE)</f>
        <v>Tesorería central</v>
      </c>
      <c r="C19" s="6" t="s">
        <v>101</v>
      </c>
      <c r="D19" s="49">
        <f>IF(OR(MatrizPonderadaCostes!D19=0,MatrizPonderadaValorOperativo!D19=0),0,MatrizPonderadaValorOperativo!D19/MatrizPonderadaCostes!D19)</f>
        <v>0</v>
      </c>
      <c r="E19" s="49">
        <f>IF(OR(MatrizPonderadaCostes!E19=0,MatrizPonderadaValorOperativo!E19=0),0,MatrizPonderadaValorOperativo!E19/MatrizPonderadaCostes!E19)</f>
        <v>0</v>
      </c>
      <c r="F19" s="49">
        <f>IF(OR(MatrizPonderadaCostes!F19=0,MatrizPonderadaValorOperativo!F19=0),0,MatrizPonderadaValorOperativo!F19/MatrizPonderadaCostes!F19)</f>
        <v>0</v>
      </c>
      <c r="G19" s="49">
        <f>IF(OR(MatrizPonderadaCostes!G19=0,MatrizPonderadaValorOperativo!G19=0),0,MatrizPonderadaValorOperativo!G19/MatrizPonderadaCostes!G19)</f>
        <v>0</v>
      </c>
      <c r="H19" s="49">
        <f>IF(OR(MatrizPonderadaCostes!H19=0,MatrizPonderadaValorOperativo!H19=0),0,MatrizPonderadaValorOperativo!H19/MatrizPonderadaCostes!H19)</f>
        <v>0</v>
      </c>
      <c r="I19" s="49">
        <f>IF(OR(MatrizPonderadaCostes!I19=0,MatrizPonderadaValorOperativo!I19=0),0,MatrizPonderadaValorOperativo!I19/MatrizPonderadaCostes!I19)</f>
        <v>0</v>
      </c>
      <c r="J19" s="49">
        <f>IF(OR(MatrizPonderadaCostes!J19=0,MatrizPonderadaValorOperativo!J19=0),0,MatrizPonderadaValorOperativo!J19/MatrizPonderadaCostes!J19)</f>
        <v>5.666666666666667</v>
      </c>
      <c r="K19" s="49">
        <f>IF(OR(MatrizPonderadaCostes!K19=0,MatrizPonderadaValorOperativo!K19=0),0,MatrizPonderadaValorOperativo!K19/MatrizPonderadaCostes!K19)</f>
        <v>0</v>
      </c>
      <c r="L19" s="49">
        <f>IF(OR(MatrizPonderadaCostes!L19=0,MatrizPonderadaValorOperativo!L19=0),0,MatrizPonderadaValorOperativo!L19/MatrizPonderadaCostes!L19)</f>
        <v>0</v>
      </c>
      <c r="M19" s="49">
        <f>IF(OR(MatrizPonderadaCostes!M19=0,MatrizPonderadaValorOperativo!M19=0),0,MatrizPonderadaValorOperativo!M19/MatrizPonderadaCostes!M19)</f>
        <v>0</v>
      </c>
      <c r="N19" s="49">
        <f>IF(OR(MatrizPonderadaCostes!N19=0,MatrizPonderadaValorOperativo!N19=0),0,MatrizPonderadaValorOperativo!N19/MatrizPonderadaCostes!N19)</f>
        <v>0</v>
      </c>
      <c r="O19" s="49">
        <f>IF(OR(MatrizPonderadaCostes!O19=0,MatrizPonderadaValorOperativo!O19=0),0,MatrizPonderadaValorOperativo!O19/MatrizPonderadaCostes!O19)</f>
        <v>3.5</v>
      </c>
      <c r="P19" s="49">
        <f>IF(OR(MatrizPonderadaCostes!P19=0,MatrizPonderadaValorOperativo!P19=0),0,MatrizPonderadaValorOperativo!P19/MatrizPonderadaCostes!P19)</f>
        <v>0</v>
      </c>
      <c r="Q19" s="49">
        <f>IF(OR(MatrizPonderadaCostes!Q19=0,MatrizPonderadaValorOperativo!Q19=0),0,MatrizPonderadaValorOperativo!Q19/MatrizPonderadaCostes!Q19)</f>
        <v>0</v>
      </c>
      <c r="R19" s="49">
        <f>IF(OR(MatrizPonderadaCostes!R19=0,MatrizPonderadaValorOperativo!R19=0),0,MatrizPonderadaValorOperativo!R19/MatrizPonderadaCostes!R19)</f>
        <v>0</v>
      </c>
      <c r="S19" s="49">
        <f>IF(OR(MatrizPonderadaCostes!S19=0,MatrizPonderadaValorOperativo!S19=0),0,MatrizPonderadaValorOperativo!S19/MatrizPonderadaCostes!S19)</f>
        <v>0</v>
      </c>
      <c r="T19" s="49">
        <f>IF(OR(MatrizPonderadaCostes!T19=0,MatrizPonderadaValorOperativo!T19=0),0,MatrizPonderadaValorOperativo!T19/MatrizPonderadaCostes!T19)</f>
        <v>0</v>
      </c>
      <c r="U19" s="49">
        <f>IF(OR(MatrizPonderadaCostes!U19=0,MatrizPonderadaValorOperativo!U19=0),0,MatrizPonderadaValorOperativo!U19/MatrizPonderadaCostes!U19)</f>
        <v>0</v>
      </c>
      <c r="V19" s="50">
        <f>IF(OR(MatrizPonderadaCostes!V19=0,MatrizPonderadaValorOperativo!V19=0),0,MatrizPonderadaValorOperativo!V19/MatrizPonderadaCostes!V19)</f>
        <v>3.2</v>
      </c>
      <c r="W19"/>
      <c r="X19" s="15" t="str">
        <f>VLOOKUP(tblMatrizDistancias[[#This Row],[NodoOrigen \ NodoDestino]],tblNodos[#All],2,FALSE)</f>
        <v>Tesorería central</v>
      </c>
      <c r="Y19" s="6" t="s">
        <v>101</v>
      </c>
      <c r="Z19" s="49">
        <f>IF(tblMatrizDistancias[[#This Row],[NodoOrigen \ NodoDestino]]="O1",0,IF(tblMatrizTradeOff[[#This Row],[O1]]=0,9999,1/tblMatrizTradeOff[[#This Row],[O1]]))</f>
        <v>9999</v>
      </c>
      <c r="AA19" s="49">
        <f>IF(tblMatrizDistancias[[#This Row],[NodoOrigen \ NodoDestino]]="O2",0,IF(tblMatrizTradeOff[[#This Row],[O2]]=0,9999,1/tblMatrizTradeOff[[#This Row],[O2]]))</f>
        <v>9999</v>
      </c>
      <c r="AB19" s="49">
        <f>IF(tblMatrizDistancias[[#This Row],[NodoOrigen \ NodoDestino]]="O3",0,IF(tblMatrizTradeOff[[#This Row],[O3]]=0,9999,1/tblMatrizTradeOff[[#This Row],[O3]]))</f>
        <v>9999</v>
      </c>
      <c r="AC19" s="49">
        <f>IF(tblMatrizDistancias[[#This Row],[NodoOrigen \ NodoDestino]]="O4",0,IF(tblMatrizTradeOff[[#This Row],[O4]]=0,9999,1/tblMatrizTradeOff[[#This Row],[O4]]))</f>
        <v>9999</v>
      </c>
      <c r="AD19" s="49">
        <f>IF(tblMatrizDistancias[[#This Row],[NodoOrigen \ NodoDestino]]="O5",0,IF(tblMatrizTradeOff[[#This Row],[O5]]=0,9999,1/tblMatrizTradeOff[[#This Row],[O5]]))</f>
        <v>9999</v>
      </c>
      <c r="AE19" s="49">
        <f>IF(tblMatrizDistancias[[#This Row],[NodoOrigen \ NodoDestino]]="O6",0,IF(tblMatrizTradeOff[[#This Row],[O6]]=0,9999,1/tblMatrizTradeOff[[#This Row],[O6]]))</f>
        <v>9999</v>
      </c>
      <c r="AF19" s="49">
        <f>IF(tblMatrizDistancias[[#This Row],[NodoOrigen \ NodoDestino]]="I1",0,IF(tblMatrizTradeOff[[#This Row],[I1]]=0,9999,1/tblMatrizTradeOff[[#This Row],[I1]]))</f>
        <v>0.1764705882352941</v>
      </c>
      <c r="AG19" s="49">
        <f>IF(tblMatrizDistancias[[#This Row],[NodoOrigen \ NodoDestino]]="I2",0,IF(tblMatrizTradeOff[[#This Row],[I2]]=0,9999,1/tblMatrizTradeOff[[#This Row],[I2]]))</f>
        <v>9999</v>
      </c>
      <c r="AH19" s="49">
        <f>IF(tblMatrizDistancias[[#This Row],[NodoOrigen \ NodoDestino]]="I3",0,IF(tblMatrizTradeOff[[#This Row],[I3]]=0,9999,1/tblMatrizTradeOff[[#This Row],[I3]]))</f>
        <v>9999</v>
      </c>
      <c r="AI19" s="49">
        <f>IF(tblMatrizDistancias[[#This Row],[NodoOrigen \ NodoDestino]]="I4",0,IF(tblMatrizTradeOff[[#This Row],[I4]]=0,9999,1/tblMatrizTradeOff[[#This Row],[I4]]))</f>
        <v>9999</v>
      </c>
      <c r="AJ19" s="49">
        <f>IF(tblMatrizDistancias[[#This Row],[NodoOrigen \ NodoDestino]]="I5",0,IF(tblMatrizTradeOff[[#This Row],[I5]]=0,9999,1/tblMatrizTradeOff[[#This Row],[I5]]))</f>
        <v>9999</v>
      </c>
      <c r="AK19" s="49">
        <f>IF(tblMatrizDistancias[[#This Row],[NodoOrigen \ NodoDestino]]="I6",0,IF(tblMatrizTradeOff[[#This Row],[I6]]=0,9999,1/tblMatrizTradeOff[[#This Row],[I6]]))</f>
        <v>0.2857142857142857</v>
      </c>
      <c r="AL19" s="49">
        <f>IF(tblMatrizDistancias[[#This Row],[NodoOrigen \ NodoDestino]]="I7",0,IF(tblMatrizTradeOff[[#This Row],[I7]]=0,9999,1/tblMatrizTradeOff[[#This Row],[I7]]))</f>
        <v>9999</v>
      </c>
      <c r="AM19" s="49">
        <f>IF(tblMatrizDistancias[[#This Row],[NodoOrigen \ NodoDestino]]="I8",0,IF(tblMatrizTradeOff[[#This Row],[I8]]=0,9999,1/tblMatrizTradeOff[[#This Row],[I8]]))</f>
        <v>9999</v>
      </c>
      <c r="AN19" s="49">
        <f>IF(tblMatrizDistancias[[#This Row],[NodoOrigen \ NodoDestino]]="I9",0,IF(tblMatrizTradeOff[[#This Row],[I9]]=0,9999,1/tblMatrizTradeOff[[#This Row],[I9]]))</f>
        <v>9999</v>
      </c>
      <c r="AO19" s="49">
        <f>IF(tblMatrizDistancias[[#This Row],[NodoOrigen \ NodoDestino]]="G1",0,IF(tblMatrizTradeOff[[#This Row],[G1]]=0,9999,1/tblMatrizTradeOff[[#This Row],[G1]]))</f>
        <v>0</v>
      </c>
      <c r="AP19" s="49">
        <f>IF(tblMatrizDistancias[[#This Row],[NodoOrigen \ NodoDestino]]="G2",0,IF(tblMatrizTradeOff[[#This Row],[G2]]=0,9999,1/tblMatrizTradeOff[[#This Row],[G2]]))</f>
        <v>9999</v>
      </c>
      <c r="AQ19" s="49">
        <f>IF(tblMatrizDistancias[[#This Row],[NodoOrigen \ NodoDestino]]="G3",0,IF(tblMatrizTradeOff[[#This Row],[G3]]=0,9999,1/tblMatrizTradeOff[[#This Row],[G3]]))</f>
        <v>9999</v>
      </c>
      <c r="AR19" s="49">
        <f>IF(tblMatrizDistancias[[#This Row],[NodoOrigen \ NodoDestino]]="D",0,IF(tblMatrizTradeOff[[#This Row],[D]]=0,9999,1/tblMatrizTradeOff[[#This Row],[D]]))</f>
        <v>0.3125</v>
      </c>
    </row>
    <row r="20" spans="2:44" ht="17.25" customHeight="1" x14ac:dyDescent="0.25">
      <c r="B20" s="15" t="str">
        <f>VLOOKUP(tblMatrizTradeOff[[#This Row],[NodoOrigen \ NodoDestino]],tblNodos[#All],2,FALSE)</f>
        <v>Centro financiero regional / célula</v>
      </c>
      <c r="C20" s="6" t="s">
        <v>105</v>
      </c>
      <c r="D20" s="49">
        <f>IF(OR(MatrizPonderadaCostes!D20=0,MatrizPonderadaValorOperativo!D20=0),0,MatrizPonderadaValorOperativo!D20/MatrizPonderadaCostes!D20)</f>
        <v>0</v>
      </c>
      <c r="E20" s="49">
        <f>IF(OR(MatrizPonderadaCostes!E20=0,MatrizPonderadaValorOperativo!E20=0),0,MatrizPonderadaValorOperativo!E20/MatrizPonderadaCostes!E20)</f>
        <v>0</v>
      </c>
      <c r="F20" s="49">
        <f>IF(OR(MatrizPonderadaCostes!F20=0,MatrizPonderadaValorOperativo!F20=0),0,MatrizPonderadaValorOperativo!F20/MatrizPonderadaCostes!F20)</f>
        <v>0</v>
      </c>
      <c r="G20" s="49">
        <f>IF(OR(MatrizPonderadaCostes!G20=0,MatrizPonderadaValorOperativo!G20=0),0,MatrizPonderadaValorOperativo!G20/MatrizPonderadaCostes!G20)</f>
        <v>0</v>
      </c>
      <c r="H20" s="49">
        <f>IF(OR(MatrizPonderadaCostes!H20=0,MatrizPonderadaValorOperativo!H20=0),0,MatrizPonderadaValorOperativo!H20/MatrizPonderadaCostes!H20)</f>
        <v>0</v>
      </c>
      <c r="I20" s="49">
        <f>IF(OR(MatrizPonderadaCostes!I20=0,MatrizPonderadaValorOperativo!I20=0),0,MatrizPonderadaValorOperativo!I20/MatrizPonderadaCostes!I20)</f>
        <v>0</v>
      </c>
      <c r="J20" s="49">
        <f>IF(OR(MatrizPonderadaCostes!J20=0,MatrizPonderadaValorOperativo!J20=0),0,MatrizPonderadaValorOperativo!J20/MatrizPonderadaCostes!J20)</f>
        <v>3.2</v>
      </c>
      <c r="K20" s="49">
        <f>IF(OR(MatrizPonderadaCostes!K20=0,MatrizPonderadaValorOperativo!K20=0),0,MatrizPonderadaValorOperativo!K20/MatrizPonderadaCostes!K20)</f>
        <v>6</v>
      </c>
      <c r="L20" s="49">
        <f>IF(OR(MatrizPonderadaCostes!L20=0,MatrizPonderadaValorOperativo!L20=0),0,MatrizPonderadaValorOperativo!L20/MatrizPonderadaCostes!L20)</f>
        <v>4.666666666666667</v>
      </c>
      <c r="M20" s="49">
        <f>IF(OR(MatrizPonderadaCostes!M20=0,MatrizPonderadaValorOperativo!M20=0),0,MatrizPonderadaValorOperativo!M20/MatrizPonderadaCostes!M20)</f>
        <v>3.5</v>
      </c>
      <c r="N20" s="49">
        <f>IF(OR(MatrizPonderadaCostes!N20=0,MatrizPonderadaValorOperativo!N20=0),0,MatrizPonderadaValorOperativo!N20/MatrizPonderadaCostes!N20)</f>
        <v>0</v>
      </c>
      <c r="O20" s="49">
        <f>IF(OR(MatrizPonderadaCostes!O20=0,MatrizPonderadaValorOperativo!O20=0),0,MatrizPonderadaValorOperativo!O20/MatrizPonderadaCostes!O20)</f>
        <v>0</v>
      </c>
      <c r="P20" s="49">
        <f>IF(OR(MatrizPonderadaCostes!P20=0,MatrizPonderadaValorOperativo!P20=0),0,MatrizPonderadaValorOperativo!P20/MatrizPonderadaCostes!P20)</f>
        <v>0</v>
      </c>
      <c r="Q20" s="49">
        <f>IF(OR(MatrizPonderadaCostes!Q20=0,MatrizPonderadaValorOperativo!Q20=0),0,MatrizPonderadaValorOperativo!Q20/MatrizPonderadaCostes!Q20)</f>
        <v>0</v>
      </c>
      <c r="R20" s="49">
        <f>IF(OR(MatrizPonderadaCostes!R20=0,MatrizPonderadaValorOperativo!R20=0),0,MatrizPonderadaValorOperativo!R20/MatrizPonderadaCostes!R20)</f>
        <v>0</v>
      </c>
      <c r="S20" s="49">
        <f>IF(OR(MatrizPonderadaCostes!S20=0,MatrizPonderadaValorOperativo!S20=0),0,MatrizPonderadaValorOperativo!S20/MatrizPonderadaCostes!S20)</f>
        <v>0</v>
      </c>
      <c r="T20" s="49">
        <f>IF(OR(MatrizPonderadaCostes!T20=0,MatrizPonderadaValorOperativo!T20=0),0,MatrizPonderadaValorOperativo!T20/MatrizPonderadaCostes!T20)</f>
        <v>0</v>
      </c>
      <c r="U20" s="49">
        <f>IF(OR(MatrizPonderadaCostes!U20=0,MatrizPonderadaValorOperativo!U20=0),0,MatrizPonderadaValorOperativo!U20/MatrizPonderadaCostes!U20)</f>
        <v>0</v>
      </c>
      <c r="V20" s="50">
        <f>IF(OR(MatrizPonderadaCostes!V20=0,MatrizPonderadaValorOperativo!V20=0),0,MatrizPonderadaValorOperativo!V20/MatrizPonderadaCostes!V20)</f>
        <v>2.8</v>
      </c>
      <c r="W20"/>
      <c r="X20" s="15" t="str">
        <f>VLOOKUP(tblMatrizDistancias[[#This Row],[NodoOrigen \ NodoDestino]],tblNodos[#All],2,FALSE)</f>
        <v>Centro financiero regional / célula</v>
      </c>
      <c r="Y20" s="6" t="s">
        <v>105</v>
      </c>
      <c r="Z20" s="49">
        <f>IF(tblMatrizDistancias[[#This Row],[NodoOrigen \ NodoDestino]]="O1",0,IF(tblMatrizTradeOff[[#This Row],[O1]]=0,9999,1/tblMatrizTradeOff[[#This Row],[O1]]))</f>
        <v>9999</v>
      </c>
      <c r="AA20" s="49">
        <f>IF(tblMatrizDistancias[[#This Row],[NodoOrigen \ NodoDestino]]="O2",0,IF(tblMatrizTradeOff[[#This Row],[O2]]=0,9999,1/tblMatrizTradeOff[[#This Row],[O2]]))</f>
        <v>9999</v>
      </c>
      <c r="AB20" s="49">
        <f>IF(tblMatrizDistancias[[#This Row],[NodoOrigen \ NodoDestino]]="O3",0,IF(tblMatrizTradeOff[[#This Row],[O3]]=0,9999,1/tblMatrizTradeOff[[#This Row],[O3]]))</f>
        <v>9999</v>
      </c>
      <c r="AC20" s="49">
        <f>IF(tblMatrizDistancias[[#This Row],[NodoOrigen \ NodoDestino]]="O4",0,IF(tblMatrizTradeOff[[#This Row],[O4]]=0,9999,1/tblMatrizTradeOff[[#This Row],[O4]]))</f>
        <v>9999</v>
      </c>
      <c r="AD20" s="49">
        <f>IF(tblMatrizDistancias[[#This Row],[NodoOrigen \ NodoDestino]]="O5",0,IF(tblMatrizTradeOff[[#This Row],[O5]]=0,9999,1/tblMatrizTradeOff[[#This Row],[O5]]))</f>
        <v>9999</v>
      </c>
      <c r="AE20" s="49">
        <f>IF(tblMatrizDistancias[[#This Row],[NodoOrigen \ NodoDestino]]="O6",0,IF(tblMatrizTradeOff[[#This Row],[O6]]=0,9999,1/tblMatrizTradeOff[[#This Row],[O6]]))</f>
        <v>9999</v>
      </c>
      <c r="AF20" s="49">
        <f>IF(tblMatrizDistancias[[#This Row],[NodoOrigen \ NodoDestino]]="I1",0,IF(tblMatrizTradeOff[[#This Row],[I1]]=0,9999,1/tblMatrizTradeOff[[#This Row],[I1]]))</f>
        <v>0.3125</v>
      </c>
      <c r="AG20" s="49">
        <f>IF(tblMatrizDistancias[[#This Row],[NodoOrigen \ NodoDestino]]="I2",0,IF(tblMatrizTradeOff[[#This Row],[I2]]=0,9999,1/tblMatrizTradeOff[[#This Row],[I2]]))</f>
        <v>0.16666666666666666</v>
      </c>
      <c r="AH20" s="49">
        <f>IF(tblMatrizDistancias[[#This Row],[NodoOrigen \ NodoDestino]]="I3",0,IF(tblMatrizTradeOff[[#This Row],[I3]]=0,9999,1/tblMatrizTradeOff[[#This Row],[I3]]))</f>
        <v>0.21428571428571427</v>
      </c>
      <c r="AI20" s="49">
        <f>IF(tblMatrizDistancias[[#This Row],[NodoOrigen \ NodoDestino]]="I4",0,IF(tblMatrizTradeOff[[#This Row],[I4]]=0,9999,1/tblMatrizTradeOff[[#This Row],[I4]]))</f>
        <v>0.2857142857142857</v>
      </c>
      <c r="AJ20" s="49">
        <f>IF(tblMatrizDistancias[[#This Row],[NodoOrigen \ NodoDestino]]="I5",0,IF(tblMatrizTradeOff[[#This Row],[I5]]=0,9999,1/tblMatrizTradeOff[[#This Row],[I5]]))</f>
        <v>9999</v>
      </c>
      <c r="AK20" s="49">
        <f>IF(tblMatrizDistancias[[#This Row],[NodoOrigen \ NodoDestino]]="I6",0,IF(tblMatrizTradeOff[[#This Row],[I6]]=0,9999,1/tblMatrizTradeOff[[#This Row],[I6]]))</f>
        <v>9999</v>
      </c>
      <c r="AL20" s="49">
        <f>IF(tblMatrizDistancias[[#This Row],[NodoOrigen \ NodoDestino]]="I7",0,IF(tblMatrizTradeOff[[#This Row],[I7]]=0,9999,1/tblMatrizTradeOff[[#This Row],[I7]]))</f>
        <v>9999</v>
      </c>
      <c r="AM20" s="49">
        <f>IF(tblMatrizDistancias[[#This Row],[NodoOrigen \ NodoDestino]]="I8",0,IF(tblMatrizTradeOff[[#This Row],[I8]]=0,9999,1/tblMatrizTradeOff[[#This Row],[I8]]))</f>
        <v>9999</v>
      </c>
      <c r="AN20" s="49">
        <f>IF(tblMatrizDistancias[[#This Row],[NodoOrigen \ NodoDestino]]="I9",0,IF(tblMatrizTradeOff[[#This Row],[I9]]=0,9999,1/tblMatrizTradeOff[[#This Row],[I9]]))</f>
        <v>9999</v>
      </c>
      <c r="AO20" s="49">
        <f>IF(tblMatrizDistancias[[#This Row],[NodoOrigen \ NodoDestino]]="G1",0,IF(tblMatrizTradeOff[[#This Row],[G1]]=0,9999,1/tblMatrizTradeOff[[#This Row],[G1]]))</f>
        <v>9999</v>
      </c>
      <c r="AP20" s="49">
        <f>IF(tblMatrizDistancias[[#This Row],[NodoOrigen \ NodoDestino]]="G2",0,IF(tblMatrizTradeOff[[#This Row],[G2]]=0,9999,1/tblMatrizTradeOff[[#This Row],[G2]]))</f>
        <v>0</v>
      </c>
      <c r="AQ20" s="49">
        <f>IF(tblMatrizDistancias[[#This Row],[NodoOrigen \ NodoDestino]]="G3",0,IF(tblMatrizTradeOff[[#This Row],[G3]]=0,9999,1/tblMatrizTradeOff[[#This Row],[G3]]))</f>
        <v>9999</v>
      </c>
      <c r="AR20" s="49">
        <f>IF(tblMatrizDistancias[[#This Row],[NodoOrigen \ NodoDestino]]="D",0,IF(tblMatrizTradeOff[[#This Row],[D]]=0,9999,1/tblMatrizTradeOff[[#This Row],[D]]))</f>
        <v>0.35714285714285715</v>
      </c>
    </row>
    <row r="21" spans="2:44" ht="17.25" customHeight="1" x14ac:dyDescent="0.25">
      <c r="B21" s="15" t="str">
        <f>VLOOKUP(tblMatrizTradeOff[[#This Row],[NodoOrigen \ NodoDestino]],tblNodos[#All],2,FALSE)</f>
        <v>Facilitador externo / entidad instrumental</v>
      </c>
      <c r="C21" s="6" t="s">
        <v>109</v>
      </c>
      <c r="D21" s="49">
        <f>IF(OR(MatrizPonderadaCostes!D21=0,MatrizPonderadaValorOperativo!D21=0),0,MatrizPonderadaValorOperativo!D21/MatrizPonderadaCostes!D21)</f>
        <v>0</v>
      </c>
      <c r="E21" s="49">
        <f>IF(OR(MatrizPonderadaCostes!E21=0,MatrizPonderadaValorOperativo!E21=0),0,MatrizPonderadaValorOperativo!E21/MatrizPonderadaCostes!E21)</f>
        <v>0</v>
      </c>
      <c r="F21" s="49">
        <f>IF(OR(MatrizPonderadaCostes!F21=0,MatrizPonderadaValorOperativo!F21=0),0,MatrizPonderadaValorOperativo!F21/MatrizPonderadaCostes!F21)</f>
        <v>0</v>
      </c>
      <c r="G21" s="49">
        <f>IF(OR(MatrizPonderadaCostes!G21=0,MatrizPonderadaValorOperativo!G21=0),0,MatrizPonderadaValorOperativo!G21/MatrizPonderadaCostes!G21)</f>
        <v>0</v>
      </c>
      <c r="H21" s="49">
        <f>IF(OR(MatrizPonderadaCostes!H21=0,MatrizPonderadaValorOperativo!H21=0),0,MatrizPonderadaValorOperativo!H21/MatrizPonderadaCostes!H21)</f>
        <v>0</v>
      </c>
      <c r="I21" s="49">
        <f>IF(OR(MatrizPonderadaCostes!I21=0,MatrizPonderadaValorOperativo!I21=0),0,MatrizPonderadaValorOperativo!I21/MatrizPonderadaCostes!I21)</f>
        <v>0</v>
      </c>
      <c r="J21" s="49">
        <f>IF(OR(MatrizPonderadaCostes!J21=0,MatrizPonderadaValorOperativo!J21=0),0,MatrizPonderadaValorOperativo!J21/MatrizPonderadaCostes!J21)</f>
        <v>0</v>
      </c>
      <c r="K21" s="49">
        <f>IF(OR(MatrizPonderadaCostes!K21=0,MatrizPonderadaValorOperativo!K21=0),0,MatrizPonderadaValorOperativo!K21/MatrizPonderadaCostes!K21)</f>
        <v>0</v>
      </c>
      <c r="L21" s="49">
        <f>IF(OR(MatrizPonderadaCostes!L21=0,MatrizPonderadaValorOperativo!L21=0),0,MatrizPonderadaValorOperativo!L21/MatrizPonderadaCostes!L21)</f>
        <v>0</v>
      </c>
      <c r="M21" s="49">
        <f>IF(OR(MatrizPonderadaCostes!M21=0,MatrizPonderadaValorOperativo!M21=0),0,MatrizPonderadaValorOperativo!M21/MatrizPonderadaCostes!M21)</f>
        <v>0</v>
      </c>
      <c r="N21" s="49">
        <f>IF(OR(MatrizPonderadaCostes!N21=0,MatrizPonderadaValorOperativo!N21=0),0,MatrizPonderadaValorOperativo!N21/MatrizPonderadaCostes!N21)</f>
        <v>4.333333333333333</v>
      </c>
      <c r="O21" s="49">
        <f>IF(OR(MatrizPonderadaCostes!O21=0,MatrizPonderadaValorOperativo!O21=0),0,MatrizPonderadaValorOperativo!O21/MatrizPonderadaCostes!O21)</f>
        <v>4.666666666666667</v>
      </c>
      <c r="P21" s="49">
        <f>IF(OR(MatrizPonderadaCostes!P21=0,MatrizPonderadaValorOperativo!P21=0),0,MatrizPonderadaValorOperativo!P21/MatrizPonderadaCostes!P21)</f>
        <v>0</v>
      </c>
      <c r="Q21" s="49">
        <f>IF(OR(MatrizPonderadaCostes!Q21=0,MatrizPonderadaValorOperativo!Q21=0),0,MatrizPonderadaValorOperativo!Q21/MatrizPonderadaCostes!Q21)</f>
        <v>0</v>
      </c>
      <c r="R21" s="49">
        <f>IF(OR(MatrizPonderadaCostes!R21=0,MatrizPonderadaValorOperativo!R21=0),0,MatrizPonderadaValorOperativo!R21/MatrizPonderadaCostes!R21)</f>
        <v>4</v>
      </c>
      <c r="S21" s="49">
        <f>IF(OR(MatrizPonderadaCostes!S21=0,MatrizPonderadaValorOperativo!S21=0),0,MatrizPonderadaValorOperativo!S21/MatrizPonderadaCostes!S21)</f>
        <v>0</v>
      </c>
      <c r="T21" s="49">
        <f>IF(OR(MatrizPonderadaCostes!T21=0,MatrizPonderadaValorOperativo!T21=0),0,MatrizPonderadaValorOperativo!T21/MatrizPonderadaCostes!T21)</f>
        <v>0</v>
      </c>
      <c r="U21" s="49">
        <f>IF(OR(MatrizPonderadaCostes!U21=0,MatrizPonderadaValorOperativo!U21=0),0,MatrizPonderadaValorOperativo!U21/MatrizPonderadaCostes!U21)</f>
        <v>0</v>
      </c>
      <c r="V21" s="50">
        <f>IF(OR(MatrizPonderadaCostes!V21=0,MatrizPonderadaValorOperativo!V21=0),0,MatrizPonderadaValorOperativo!V21/MatrizPonderadaCostes!V21)</f>
        <v>2.8</v>
      </c>
      <c r="W21"/>
      <c r="X21" s="15" t="str">
        <f>VLOOKUP(tblMatrizDistancias[[#This Row],[NodoOrigen \ NodoDestino]],tblNodos[#All],2,FALSE)</f>
        <v>Facilitador externo / entidad instrumental</v>
      </c>
      <c r="Y21" s="6" t="s">
        <v>109</v>
      </c>
      <c r="Z21" s="49">
        <f>IF(tblMatrizDistancias[[#This Row],[NodoOrigen \ NodoDestino]]="O1",0,IF(tblMatrizTradeOff[[#This Row],[O1]]=0,9999,1/tblMatrizTradeOff[[#This Row],[O1]]))</f>
        <v>9999</v>
      </c>
      <c r="AA21" s="49">
        <f>IF(tblMatrizDistancias[[#This Row],[NodoOrigen \ NodoDestino]]="O2",0,IF(tblMatrizTradeOff[[#This Row],[O2]]=0,9999,1/tblMatrizTradeOff[[#This Row],[O2]]))</f>
        <v>9999</v>
      </c>
      <c r="AB21" s="49">
        <f>IF(tblMatrizDistancias[[#This Row],[NodoOrigen \ NodoDestino]]="O3",0,IF(tblMatrizTradeOff[[#This Row],[O3]]=0,9999,1/tblMatrizTradeOff[[#This Row],[O3]]))</f>
        <v>9999</v>
      </c>
      <c r="AC21" s="49">
        <f>IF(tblMatrizDistancias[[#This Row],[NodoOrigen \ NodoDestino]]="O4",0,IF(tblMatrizTradeOff[[#This Row],[O4]]=0,9999,1/tblMatrizTradeOff[[#This Row],[O4]]))</f>
        <v>9999</v>
      </c>
      <c r="AD21" s="49">
        <f>IF(tblMatrizDistancias[[#This Row],[NodoOrigen \ NodoDestino]]="O5",0,IF(tblMatrizTradeOff[[#This Row],[O5]]=0,9999,1/tblMatrizTradeOff[[#This Row],[O5]]))</f>
        <v>9999</v>
      </c>
      <c r="AE21" s="49">
        <f>IF(tblMatrizDistancias[[#This Row],[NodoOrigen \ NodoDestino]]="O6",0,IF(tblMatrizTradeOff[[#This Row],[O6]]=0,9999,1/tblMatrizTradeOff[[#This Row],[O6]]))</f>
        <v>9999</v>
      </c>
      <c r="AF21" s="49">
        <f>IF(tblMatrizDistancias[[#This Row],[NodoOrigen \ NodoDestino]]="I1",0,IF(tblMatrizTradeOff[[#This Row],[I1]]=0,9999,1/tblMatrizTradeOff[[#This Row],[I1]]))</f>
        <v>9999</v>
      </c>
      <c r="AG21" s="49">
        <f>IF(tblMatrizDistancias[[#This Row],[NodoOrigen \ NodoDestino]]="I2",0,IF(tblMatrizTradeOff[[#This Row],[I2]]=0,9999,1/tblMatrizTradeOff[[#This Row],[I2]]))</f>
        <v>9999</v>
      </c>
      <c r="AH21" s="49">
        <f>IF(tblMatrizDistancias[[#This Row],[NodoOrigen \ NodoDestino]]="I3",0,IF(tblMatrizTradeOff[[#This Row],[I3]]=0,9999,1/tblMatrizTradeOff[[#This Row],[I3]]))</f>
        <v>9999</v>
      </c>
      <c r="AI21" s="49">
        <f>IF(tblMatrizDistancias[[#This Row],[NodoOrigen \ NodoDestino]]="I4",0,IF(tblMatrizTradeOff[[#This Row],[I4]]=0,9999,1/tblMatrizTradeOff[[#This Row],[I4]]))</f>
        <v>9999</v>
      </c>
      <c r="AJ21" s="49">
        <f>IF(tblMatrizDistancias[[#This Row],[NodoOrigen \ NodoDestino]]="I5",0,IF(tblMatrizTradeOff[[#This Row],[I5]]=0,9999,1/tblMatrizTradeOff[[#This Row],[I5]]))</f>
        <v>0.23076923076923078</v>
      </c>
      <c r="AK21" s="49">
        <f>IF(tblMatrizDistancias[[#This Row],[NodoOrigen \ NodoDestino]]="I6",0,IF(tblMatrizTradeOff[[#This Row],[I6]]=0,9999,1/tblMatrizTradeOff[[#This Row],[I6]]))</f>
        <v>0.21428571428571427</v>
      </c>
      <c r="AL21" s="49">
        <f>IF(tblMatrizDistancias[[#This Row],[NodoOrigen \ NodoDestino]]="I7",0,IF(tblMatrizTradeOff[[#This Row],[I7]]=0,9999,1/tblMatrizTradeOff[[#This Row],[I7]]))</f>
        <v>9999</v>
      </c>
      <c r="AM21" s="49">
        <f>IF(tblMatrizDistancias[[#This Row],[NodoOrigen \ NodoDestino]]="I8",0,IF(tblMatrizTradeOff[[#This Row],[I8]]=0,9999,1/tblMatrizTradeOff[[#This Row],[I8]]))</f>
        <v>9999</v>
      </c>
      <c r="AN21" s="49">
        <f>IF(tblMatrizDistancias[[#This Row],[NodoOrigen \ NodoDestino]]="I9",0,IF(tblMatrizTradeOff[[#This Row],[I9]]=0,9999,1/tblMatrizTradeOff[[#This Row],[I9]]))</f>
        <v>0.25</v>
      </c>
      <c r="AO21" s="49">
        <f>IF(tblMatrizDistancias[[#This Row],[NodoOrigen \ NodoDestino]]="G1",0,IF(tblMatrizTradeOff[[#This Row],[G1]]=0,9999,1/tblMatrizTradeOff[[#This Row],[G1]]))</f>
        <v>9999</v>
      </c>
      <c r="AP21" s="49">
        <f>IF(tblMatrizDistancias[[#This Row],[NodoOrigen \ NodoDestino]]="G2",0,IF(tblMatrizTradeOff[[#This Row],[G2]]=0,9999,1/tblMatrizTradeOff[[#This Row],[G2]]))</f>
        <v>9999</v>
      </c>
      <c r="AQ21" s="49">
        <f>IF(tblMatrizDistancias[[#This Row],[NodoOrigen \ NodoDestino]]="G3",0,IF(tblMatrizTradeOff[[#This Row],[G3]]=0,9999,1/tblMatrizTradeOff[[#This Row],[G3]]))</f>
        <v>0</v>
      </c>
      <c r="AR21" s="49">
        <f>IF(tblMatrizDistancias[[#This Row],[NodoOrigen \ NodoDestino]]="D",0,IF(tblMatrizTradeOff[[#This Row],[D]]=0,9999,1/tblMatrizTradeOff[[#This Row],[D]]))</f>
        <v>0.35714285714285715</v>
      </c>
    </row>
    <row r="22" spans="2:44" ht="17.25" customHeight="1" x14ac:dyDescent="0.25">
      <c r="B22" s="16" t="str">
        <f>VLOOKUP(tblMatrizTradeOff[[#This Row],[NodoOrigen \ NodoDestino]],tblNodos[#All],2,FALSE)</f>
        <v>Destino operativo</v>
      </c>
      <c r="C22" s="11" t="s">
        <v>51</v>
      </c>
      <c r="D22" s="51">
        <f>IF(OR(MatrizPonderadaCostes!D22=0,MatrizPonderadaValorOperativo!D22=0),0,MatrizPonderadaValorOperativo!D22/MatrizPonderadaCostes!D22)</f>
        <v>0</v>
      </c>
      <c r="E22" s="51">
        <f>IF(OR(MatrizPonderadaCostes!E22=0,MatrizPonderadaValorOperativo!E22=0),0,MatrizPonderadaValorOperativo!E22/MatrizPonderadaCostes!E22)</f>
        <v>0</v>
      </c>
      <c r="F22" s="51">
        <f>IF(OR(MatrizPonderadaCostes!F22=0,MatrizPonderadaValorOperativo!F22=0),0,MatrizPonderadaValorOperativo!F22/MatrizPonderadaCostes!F22)</f>
        <v>0</v>
      </c>
      <c r="G22" s="51">
        <f>IF(OR(MatrizPonderadaCostes!G22=0,MatrizPonderadaValorOperativo!G22=0),0,MatrizPonderadaValorOperativo!G22/MatrizPonderadaCostes!G22)</f>
        <v>0</v>
      </c>
      <c r="H22" s="51">
        <f>IF(OR(MatrizPonderadaCostes!H22=0,MatrizPonderadaValorOperativo!H22=0),0,MatrizPonderadaValorOperativo!H22/MatrizPonderadaCostes!H22)</f>
        <v>0</v>
      </c>
      <c r="I22" s="51">
        <f>IF(OR(MatrizPonderadaCostes!I22=0,MatrizPonderadaValorOperativo!I22=0),0,MatrizPonderadaValorOperativo!I22/MatrizPonderadaCostes!I22)</f>
        <v>0</v>
      </c>
      <c r="J22" s="51">
        <f>IF(OR(MatrizPonderadaCostes!J22=0,MatrizPonderadaValorOperativo!J22=0),0,MatrizPonderadaValorOperativo!J22/MatrizPonderadaCostes!J22)</f>
        <v>0</v>
      </c>
      <c r="K22" s="51">
        <f>IF(OR(MatrizPonderadaCostes!K22=0,MatrizPonderadaValorOperativo!K22=0),0,MatrizPonderadaValorOperativo!K22/MatrizPonderadaCostes!K22)</f>
        <v>0</v>
      </c>
      <c r="L22" s="51">
        <f>IF(OR(MatrizPonderadaCostes!L22=0,MatrizPonderadaValorOperativo!L22=0),0,MatrizPonderadaValorOperativo!L22/MatrizPonderadaCostes!L22)</f>
        <v>0</v>
      </c>
      <c r="M22" s="51">
        <f>IF(OR(MatrizPonderadaCostes!M22=0,MatrizPonderadaValorOperativo!M22=0),0,MatrizPonderadaValorOperativo!M22/MatrizPonderadaCostes!M22)</f>
        <v>0</v>
      </c>
      <c r="N22" s="51">
        <f>IF(OR(MatrizPonderadaCostes!N22=0,MatrizPonderadaValorOperativo!N22=0),0,MatrizPonderadaValorOperativo!N22/MatrizPonderadaCostes!N22)</f>
        <v>0</v>
      </c>
      <c r="O22" s="51">
        <f>IF(OR(MatrizPonderadaCostes!O22=0,MatrizPonderadaValorOperativo!O22=0),0,MatrizPonderadaValorOperativo!O22/MatrizPonderadaCostes!O22)</f>
        <v>0</v>
      </c>
      <c r="P22" s="51">
        <f>IF(OR(MatrizPonderadaCostes!P22=0,MatrizPonderadaValorOperativo!P22=0),0,MatrizPonderadaValorOperativo!P22/MatrizPonderadaCostes!P22)</f>
        <v>0</v>
      </c>
      <c r="Q22" s="51">
        <f>IF(OR(MatrizPonderadaCostes!Q22=0,MatrizPonderadaValorOperativo!Q22=0),0,MatrizPonderadaValorOperativo!Q22/MatrizPonderadaCostes!Q22)</f>
        <v>0</v>
      </c>
      <c r="R22" s="51">
        <f>IF(OR(MatrizPonderadaCostes!R22=0,MatrizPonderadaValorOperativo!R22=0),0,MatrizPonderadaValorOperativo!R22/MatrizPonderadaCostes!R22)</f>
        <v>0</v>
      </c>
      <c r="S22" s="51">
        <f>IF(OR(MatrizPonderadaCostes!S22=0,MatrizPonderadaValorOperativo!S22=0),0,MatrizPonderadaValorOperativo!S22/MatrizPonderadaCostes!S22)</f>
        <v>0</v>
      </c>
      <c r="T22" s="51">
        <f>IF(OR(MatrizPonderadaCostes!T22=0,MatrizPonderadaValorOperativo!T22=0),0,MatrizPonderadaValorOperativo!T22/MatrizPonderadaCostes!T22)</f>
        <v>0</v>
      </c>
      <c r="U22" s="51">
        <f>IF(OR(MatrizPonderadaCostes!U22=0,MatrizPonderadaValorOperativo!U22=0),0,MatrizPonderadaValorOperativo!U22/MatrizPonderadaCostes!U22)</f>
        <v>0</v>
      </c>
      <c r="V22" s="52">
        <f>IF(OR(MatrizPonderadaCostes!V22=0,MatrizPonderadaValorOperativo!V22=0),0,MatrizPonderadaValorOperativo!V22/MatrizPonderadaCostes!V22)</f>
        <v>0</v>
      </c>
      <c r="W22"/>
      <c r="X22" s="16" t="str">
        <f>VLOOKUP(tblMatrizDistancias[[#This Row],[NodoOrigen \ NodoDestino]],tblNodos[#All],2,FALSE)</f>
        <v>Destino operativo</v>
      </c>
      <c r="Y22" s="11" t="s">
        <v>51</v>
      </c>
      <c r="Z22" s="51">
        <f>IF(tblMatrizDistancias[[#This Row],[NodoOrigen \ NodoDestino]]="O1",0,IF(tblMatrizTradeOff[[#This Row],[O1]]=0,9999,1/tblMatrizTradeOff[[#This Row],[O1]]))</f>
        <v>9999</v>
      </c>
      <c r="AA22" s="51">
        <f>IF(tblMatrizDistancias[[#This Row],[NodoOrigen \ NodoDestino]]="O2",0,IF(tblMatrizTradeOff[[#This Row],[O2]]=0,9999,1/tblMatrizTradeOff[[#This Row],[O2]]))</f>
        <v>9999</v>
      </c>
      <c r="AB22" s="51">
        <f>IF(tblMatrizDistancias[[#This Row],[NodoOrigen \ NodoDestino]]="O3",0,IF(tblMatrizTradeOff[[#This Row],[O3]]=0,9999,1/tblMatrizTradeOff[[#This Row],[O3]]))</f>
        <v>9999</v>
      </c>
      <c r="AC22" s="51">
        <f>IF(tblMatrizDistancias[[#This Row],[NodoOrigen \ NodoDestino]]="O4",0,IF(tblMatrizTradeOff[[#This Row],[O4]]=0,9999,1/tblMatrizTradeOff[[#This Row],[O4]]))</f>
        <v>9999</v>
      </c>
      <c r="AD22" s="51">
        <f>IF(tblMatrizDistancias[[#This Row],[NodoOrigen \ NodoDestino]]="O5",0,IF(tblMatrizTradeOff[[#This Row],[O5]]=0,9999,1/tblMatrizTradeOff[[#This Row],[O5]]))</f>
        <v>9999</v>
      </c>
      <c r="AE22" s="51">
        <f>IF(tblMatrizDistancias[[#This Row],[NodoOrigen \ NodoDestino]]="O6",0,IF(tblMatrizTradeOff[[#This Row],[O6]]=0,9999,1/tblMatrizTradeOff[[#This Row],[O6]]))</f>
        <v>9999</v>
      </c>
      <c r="AF22" s="51">
        <f>IF(tblMatrizDistancias[[#This Row],[NodoOrigen \ NodoDestino]]="I1",0,IF(tblMatrizTradeOff[[#This Row],[I1]]=0,9999,1/tblMatrizTradeOff[[#This Row],[I1]]))</f>
        <v>9999</v>
      </c>
      <c r="AG22" s="51">
        <f>IF(tblMatrizDistancias[[#This Row],[NodoOrigen \ NodoDestino]]="I2",0,IF(tblMatrizTradeOff[[#This Row],[I2]]=0,9999,1/tblMatrizTradeOff[[#This Row],[I2]]))</f>
        <v>9999</v>
      </c>
      <c r="AH22" s="51">
        <f>IF(tblMatrizDistancias[[#This Row],[NodoOrigen \ NodoDestino]]="I3",0,IF(tblMatrizTradeOff[[#This Row],[I3]]=0,9999,1/tblMatrizTradeOff[[#This Row],[I3]]))</f>
        <v>9999</v>
      </c>
      <c r="AI22" s="51">
        <f>IF(tblMatrizDistancias[[#This Row],[NodoOrigen \ NodoDestino]]="I4",0,IF(tblMatrizTradeOff[[#This Row],[I4]]=0,9999,1/tblMatrizTradeOff[[#This Row],[I4]]))</f>
        <v>9999</v>
      </c>
      <c r="AJ22" s="51">
        <f>IF(tblMatrizDistancias[[#This Row],[NodoOrigen \ NodoDestino]]="I5",0,IF(tblMatrizTradeOff[[#This Row],[I5]]=0,9999,1/tblMatrizTradeOff[[#This Row],[I5]]))</f>
        <v>9999</v>
      </c>
      <c r="AK22" s="51">
        <f>IF(tblMatrizDistancias[[#This Row],[NodoOrigen \ NodoDestino]]="I6",0,IF(tblMatrizTradeOff[[#This Row],[I6]]=0,9999,1/tblMatrizTradeOff[[#This Row],[I6]]))</f>
        <v>9999</v>
      </c>
      <c r="AL22" s="51">
        <f>IF(tblMatrizDistancias[[#This Row],[NodoOrigen \ NodoDestino]]="I7",0,IF(tblMatrizTradeOff[[#This Row],[I7]]=0,9999,1/tblMatrizTradeOff[[#This Row],[I7]]))</f>
        <v>9999</v>
      </c>
      <c r="AM22" s="51">
        <f>IF(tblMatrizDistancias[[#This Row],[NodoOrigen \ NodoDestino]]="I8",0,IF(tblMatrizTradeOff[[#This Row],[I8]]=0,9999,1/tblMatrizTradeOff[[#This Row],[I8]]))</f>
        <v>9999</v>
      </c>
      <c r="AN22" s="51">
        <f>IF(tblMatrizDistancias[[#This Row],[NodoOrigen \ NodoDestino]]="I9",0,IF(tblMatrizTradeOff[[#This Row],[I9]]=0,9999,1/tblMatrizTradeOff[[#This Row],[I9]]))</f>
        <v>9999</v>
      </c>
      <c r="AO22" s="51">
        <f>IF(tblMatrizDistancias[[#This Row],[NodoOrigen \ NodoDestino]]="G1",0,IF(tblMatrizTradeOff[[#This Row],[G1]]=0,9999,1/tblMatrizTradeOff[[#This Row],[G1]]))</f>
        <v>9999</v>
      </c>
      <c r="AP22" s="51">
        <f>IF(tblMatrizDistancias[[#This Row],[NodoOrigen \ NodoDestino]]="G2",0,IF(tblMatrizTradeOff[[#This Row],[G2]]=0,9999,1/tblMatrizTradeOff[[#This Row],[G2]]))</f>
        <v>9999</v>
      </c>
      <c r="AQ22" s="51">
        <f>IF(tblMatrizDistancias[[#This Row],[NodoOrigen \ NodoDestino]]="G3",0,IF(tblMatrizTradeOff[[#This Row],[G3]]=0,9999,1/tblMatrizTradeOff[[#This Row],[G3]]))</f>
        <v>9999</v>
      </c>
      <c r="AR22" s="51">
        <f>IF(tblMatrizDistancias[[#This Row],[NodoOrigen \ NodoDestino]]="D",0,IF(tblMatrizTradeOff[[#This Row],[D]]=0,9999,1/tblMatrizTradeOff[[#This Row],[D]]))</f>
        <v>0</v>
      </c>
    </row>
    <row r="23" spans="2:44" ht="17.25" customHeight="1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2:44" ht="17.25" customHeight="1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2:44" ht="17.25" customHeight="1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2:44" ht="17.25" customHeight="1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2:44" ht="17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2:44" ht="17.25" customHeight="1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2:44" ht="17.25" customHeight="1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2:44" ht="17.25" customHeight="1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2:44" ht="17.25" customHeight="1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2:44" ht="17.25" customHeigh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2:42" ht="17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2:42" ht="17.25" customHeight="1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2:42" ht="17.2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2:42" ht="17.25" customHeight="1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2:42" ht="17.25" customHeigh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2:42" ht="17.25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2:42" ht="17.25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2:42" ht="17.25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2:42" ht="17.2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2:42" ht="17.2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2:42" ht="17.2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2:42" ht="17.2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2:42" ht="17.25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2:42" ht="17.25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2:42" ht="17.2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2:42" ht="17.25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:42" ht="17.25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:42" ht="17.25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:42" ht="17.2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:42" ht="17.25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:42" ht="17.25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:42" ht="17.25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:42" ht="17.2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:42" ht="17.25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:42" ht="17.25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:42" ht="17.2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:42" ht="17.2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:42" ht="17.25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:42" ht="17.25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:42" ht="17.25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:42" ht="17.2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:42" ht="17.2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:42" ht="17.25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:42" ht="17.25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:42" ht="17.2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:42" ht="17.25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:42" ht="17.25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:42" ht="17.2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:42" ht="17.2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:42" ht="17.2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:42" ht="17.2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:42" ht="17.2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:42" ht="17.25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:42" ht="17.25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:42" ht="17.25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:42" ht="17.2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:42" ht="17.2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:42" ht="17.2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:42" ht="17.2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:42" ht="17.2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:42" ht="17.2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:42" ht="17.2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:42" ht="17.2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:42" ht="17.2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:42" ht="17.2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:42" ht="17.25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:42" ht="17.25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:42" ht="17.25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:42" ht="17.25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:42" ht="17.25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:42" ht="17.25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:42" ht="17.25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:42" ht="17.25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:42" ht="17.25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ht="17.25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ht="17.25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ht="17.25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ht="17.2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ht="17.2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ht="17.2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ht="17.2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ht="17.2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ht="17.2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ht="17.2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ht="17.2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ht="17.2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ht="17.2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ht="17.2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ht="17.2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ht="17.2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ht="17.2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ht="17.2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ht="17.2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ht="17.2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ht="17.2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ht="17.2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ht="17.2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ht="17.2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ht="17.2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ht="17.2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ht="17.2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ht="17.2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ht="17.2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ht="17.2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ht="17.2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ht="17.2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ht="17.2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ht="17.2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ht="17.2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ht="17.2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ht="17.2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ht="17.2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ht="17.2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ht="17.2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ht="17.2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ht="17.2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ht="17.2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ht="17.2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ht="17.2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ht="17.2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ht="17.2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ht="17.2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ht="17.2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ht="17.2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ht="17.2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ht="17.2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ht="17.2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ht="17.2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ht="17.2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ht="17.2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ht="17.2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ht="17.2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ht="17.2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ht="17.2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ht="17.2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ht="17.2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ht="17.2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ht="17.2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ht="17.2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ht="17.2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ht="17.2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ht="17.2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ht="17.2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ht="17.2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ht="17.2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ht="17.2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ht="17.2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ht="17.2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ht="17.2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ht="17.2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ht="17.2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ht="17.2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ht="17.2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ht="17.2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ht="17.2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ht="17.2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ht="17.2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ht="17.2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ht="17.2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ht="17.2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ht="17.2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ht="17.2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ht="17.2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ht="17.2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ht="17.2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ht="17.2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 ht="17.2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 ht="17.2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 ht="17.2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 ht="17.2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 ht="17.2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 ht="17.2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 ht="17.2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 ht="17.2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 ht="17.2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 ht="17.2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 ht="17.2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 ht="17.25" customHeight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</sheetData>
  <mergeCells count="2">
    <mergeCell ref="B2:C2"/>
    <mergeCell ref="X2:Y2"/>
  </mergeCells>
  <phoneticPr fontId="18" type="noConversion"/>
  <conditionalFormatting sqref="D4:V22">
    <cfRule type="colorScale" priority="65">
      <colorScale>
        <cfvo type="num" val="0"/>
        <cfvo type="percent" val="50"/>
        <cfvo type="max"/>
        <color theme="0"/>
        <color rgb="FFFFEB84"/>
        <color rgb="FFF8696B"/>
      </colorScale>
    </cfRule>
    <cfRule type="cellIs" dxfId="2" priority="66" operator="equal">
      <formula>0</formula>
    </cfRule>
  </conditionalFormatting>
  <conditionalFormatting sqref="Z4:AR22">
    <cfRule type="colorScale" priority="1">
      <colorScale>
        <cfvo type="min"/>
        <cfvo type="max"/>
        <color rgb="FFF8696B"/>
        <color rgb="FFFCFCFF"/>
      </colorScale>
    </cfRule>
    <cfRule type="cellIs" dxfId="1" priority="3" operator="equal">
      <formula>9999</formula>
    </cfRule>
  </conditionalFormatting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4EEA-52FE-448D-8876-6BCBB816DC62}">
  <dimension ref="B2:AP200"/>
  <sheetViews>
    <sheetView showGridLines="0" tabSelected="1" zoomScaleNormal="100" workbookViewId="0">
      <selection activeCell="R15" sqref="R15"/>
    </sheetView>
  </sheetViews>
  <sheetFormatPr baseColWidth="10" defaultColWidth="9.140625" defaultRowHeight="17.25" customHeight="1" x14ac:dyDescent="0.25"/>
  <cols>
    <col min="1" max="1" width="9.140625" style="4" customWidth="1"/>
    <col min="2" max="2" width="30.42578125" style="4" bestFit="1" customWidth="1"/>
    <col min="3" max="3" width="5.85546875" style="4" bestFit="1" customWidth="1"/>
    <col min="4" max="6" width="16.7109375" style="4" bestFit="1" customWidth="1"/>
    <col min="7" max="7" width="19.140625" style="4" customWidth="1"/>
    <col min="8" max="8" width="16.140625" style="4" customWidth="1"/>
    <col min="9" max="22" width="5.140625" style="4" customWidth="1"/>
    <col min="23" max="24" width="9.140625" style="4" customWidth="1"/>
    <col min="25" max="16384" width="9.140625" style="4"/>
  </cols>
  <sheetData>
    <row r="2" spans="2:42" s="15" customFormat="1" ht="21" customHeight="1" x14ac:dyDescent="0.25">
      <c r="B2" s="62" t="s">
        <v>218</v>
      </c>
      <c r="C2" s="83"/>
      <c r="D2" s="83"/>
      <c r="E2" s="83"/>
      <c r="F2" s="83"/>
      <c r="G2" s="83"/>
      <c r="H2" s="63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2:42" ht="36.75" customHeight="1" x14ac:dyDescent="0.25">
      <c r="B3" s="8" t="s">
        <v>189</v>
      </c>
      <c r="C3" s="8" t="s">
        <v>211</v>
      </c>
      <c r="D3" s="9" t="s">
        <v>212</v>
      </c>
      <c r="E3" s="9" t="s">
        <v>213</v>
      </c>
      <c r="F3" s="9" t="s">
        <v>214</v>
      </c>
      <c r="G3" s="55" t="s">
        <v>215</v>
      </c>
      <c r="H3" s="55" t="s">
        <v>216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42" ht="15" x14ac:dyDescent="0.25">
      <c r="B4" s="14" t="str">
        <f>VLOOKUP(tblGradoPonderado[[#This Row],[Nodo]],tblNodos[#All],2,FALSE)</f>
        <v>Coerción y cobros forzosos</v>
      </c>
      <c r="C4" s="6" t="s">
        <v>25</v>
      </c>
      <c r="D4" s="49">
        <f>_xlfn.LET(_xlpm.n,tblGradoPonderado[[#This Row],[Nodo]],_xlpm.col,_xlfn.XLOOKUP(_xlpm.n,tblMatrizTradeOff[#Headers],tblMatrizTradeOff[#Data]),SUM(_xlpm.col))</f>
        <v>0</v>
      </c>
      <c r="E4" s="49">
        <f>_xlfn.LET(_xlpm.n,tblGradoPonderado[[#This Row],[Nodo]],_xlpm.row,_xlfn.XLOOKUP(_xlpm.n,tblMatrizTradeOff[NodoOrigen \ NodoDestino],tblMatrizTradeOff[[O1]:[D]]),SUM(_xlpm.row))</f>
        <v>21.766666666666666</v>
      </c>
      <c r="F4" s="49">
        <f>tblGradoPonderado[[#This Row],[Grado Ponderado de Entrada]]+tblGradoPonderado[[#This Row],[Grado Ponderado de Salida]]</f>
        <v>21.766666666666666</v>
      </c>
      <c r="G4" s="54">
        <f>tblGradoPonderado[[#This Row],[Grado Ponderado de Salida]]-tblGradoPonderado[[#This Row],[Grado Ponderado de Entrada]]</f>
        <v>21.766666666666666</v>
      </c>
      <c r="H4" s="54">
        <f>tblGradoPonderado[[#This Row],[Grado Ponderado Total]]/tblGradoPonderado[[#Totals],[Grado Ponderado Total]]</f>
        <v>0.45552842692710149</v>
      </c>
      <c r="I4" s="53"/>
      <c r="J4" s="53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42" ht="15" x14ac:dyDescent="0.25">
      <c r="B5" s="15" t="str">
        <f>VLOOKUP(tblGradoPonderado[[#This Row],[Nodo]],tblNodos[#All],2,FALSE)</f>
        <v>Contrabando / tráfico / comercio ilícito</v>
      </c>
      <c r="C5" s="6" t="s">
        <v>38</v>
      </c>
      <c r="D5" s="49">
        <f>_xlfn.LET(_xlpm.n,tblGradoPonderado[[#This Row],[Nodo]],_xlpm.col,_xlfn.XLOOKUP(_xlpm.n,tblMatrizTradeOff[#Headers],tblMatrizTradeOff[#Data]),SUM(_xlpm.col))</f>
        <v>0</v>
      </c>
      <c r="E5" s="49">
        <f>_xlfn.LET(_xlpm.n,tblGradoPonderado[[#This Row],[Nodo]],_xlpm.row,_xlfn.XLOOKUP(_xlpm.n,tblMatrizTradeOff[NodoOrigen \ NodoDestino],tblMatrizTradeOff[[O1]:[D]]),SUM(_xlpm.row))</f>
        <v>14.399999999999999</v>
      </c>
      <c r="F5" s="49">
        <f>tblGradoPonderado[[#This Row],[Grado Ponderado de Entrada]]+tblGradoPonderado[[#This Row],[Grado Ponderado de Salida]]</f>
        <v>14.399999999999999</v>
      </c>
      <c r="G5" s="49">
        <f>tblGradoPonderado[[#This Row],[Grado Ponderado de Salida]]-tblGradoPonderado[[#This Row],[Grado Ponderado de Entrada]]</f>
        <v>14.399999999999999</v>
      </c>
      <c r="H5" s="49">
        <f>tblGradoPonderado[[#This Row],[Grado Ponderado Total]]/tblGradoPonderado[[#Totals],[Grado Ponderado Total]]</f>
        <v>0.30136030694105337</v>
      </c>
      <c r="I5" s="53"/>
      <c r="J5" s="5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42" ht="15" x14ac:dyDescent="0.25">
      <c r="B6" s="15" t="str">
        <f>VLOOKUP(tblGradoPonderado[[#This Row],[Nodo]],tblNodos[#All],2,FALSE)</f>
        <v>Explotación de recursos naturales</v>
      </c>
      <c r="C6" s="6" t="s">
        <v>46</v>
      </c>
      <c r="D6" s="49">
        <f>_xlfn.LET(_xlpm.n,tblGradoPonderado[[#This Row],[Nodo]],_xlpm.col,_xlfn.XLOOKUP(_xlpm.n,tblMatrizTradeOff[#Headers],tblMatrizTradeOff[#Data]),SUM(_xlpm.col))</f>
        <v>0</v>
      </c>
      <c r="E6" s="49">
        <f>_xlfn.LET(_xlpm.n,tblGradoPonderado[[#This Row],[Nodo]],_xlpm.row,_xlfn.XLOOKUP(_xlpm.n,tblMatrizTradeOff[NodoOrigen \ NodoDestino],tblMatrizTradeOff[[O1]:[D]]),SUM(_xlpm.row))</f>
        <v>14.733333333333333</v>
      </c>
      <c r="F6" s="49">
        <f>tblGradoPonderado[[#This Row],[Grado Ponderado de Entrada]]+tblGradoPonderado[[#This Row],[Grado Ponderado de Salida]]</f>
        <v>14.733333333333333</v>
      </c>
      <c r="G6" s="49">
        <f>tblGradoPonderado[[#This Row],[Grado Ponderado de Salida]]-tblGradoPonderado[[#This Row],[Grado Ponderado de Entrada]]</f>
        <v>14.733333333333333</v>
      </c>
      <c r="H6" s="49">
        <f>tblGradoPonderado[[#This Row],[Grado Ponderado Total]]/tblGradoPonderado[[#Totals],[Grado Ponderado Total]]</f>
        <v>0.30833623997209625</v>
      </c>
      <c r="I6" s="53"/>
      <c r="J6" s="53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42" ht="15" x14ac:dyDescent="0.25">
      <c r="B7" s="15" t="str">
        <f>VLOOKUP(tblGradoPonderado[[#This Row],[Nodo]],tblNodos[#All],2,FALSE)</f>
        <v>Autofinanciación lícita / microfinanciación</v>
      </c>
      <c r="C7" s="6" t="s">
        <v>53</v>
      </c>
      <c r="D7" s="49">
        <f>_xlfn.LET(_xlpm.n,tblGradoPonderado[[#This Row],[Nodo]],_xlpm.col,_xlfn.XLOOKUP(_xlpm.n,tblMatrizTradeOff[#Headers],tblMatrizTradeOff[#Data]),SUM(_xlpm.col))</f>
        <v>0</v>
      </c>
      <c r="E7" s="49">
        <f>_xlfn.LET(_xlpm.n,tblGradoPonderado[[#This Row],[Nodo]],_xlpm.row,_xlfn.XLOOKUP(_xlpm.n,tblMatrizTradeOff[NodoOrigen \ NodoDestino],tblMatrizTradeOff[[O1]:[D]]),SUM(_xlpm.row))</f>
        <v>13.383333333333335</v>
      </c>
      <c r="F7" s="49">
        <f>tblGradoPonderado[[#This Row],[Grado Ponderado de Entrada]]+tblGradoPonderado[[#This Row],[Grado Ponderado de Salida]]</f>
        <v>13.383333333333335</v>
      </c>
      <c r="G7" s="49">
        <f>tblGradoPonderado[[#This Row],[Grado Ponderado de Salida]]-tblGradoPonderado[[#This Row],[Grado Ponderado de Entrada]]</f>
        <v>13.383333333333335</v>
      </c>
      <c r="H7" s="49">
        <f>tblGradoPonderado[[#This Row],[Grado Ponderado Total]]/tblGradoPonderado[[#Totals],[Grado Ponderado Total]]</f>
        <v>0.28008371119637254</v>
      </c>
      <c r="I7" s="53"/>
      <c r="J7" s="53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42" ht="15" x14ac:dyDescent="0.25">
      <c r="B8" s="15" t="str">
        <f>VLOOKUP(tblGradoPonderado[[#This Row],[Nodo]],tblNodos[#All],2,FALSE)</f>
        <v>Actividades económicas formales / negocios</v>
      </c>
      <c r="C8" s="6" t="s">
        <v>60</v>
      </c>
      <c r="D8" s="49">
        <f>_xlfn.LET(_xlpm.n,tblGradoPonderado[[#This Row],[Nodo]],_xlpm.col,_xlfn.XLOOKUP(_xlpm.n,tblMatrizTradeOff[#Headers],tblMatrizTradeOff[#Data]),SUM(_xlpm.col))</f>
        <v>0</v>
      </c>
      <c r="E8" s="49">
        <f>_xlfn.LET(_xlpm.n,tblGradoPonderado[[#This Row],[Nodo]],_xlpm.row,_xlfn.XLOOKUP(_xlpm.n,tblMatrizTradeOff[NodoOrigen \ NodoDestino],tblMatrizTradeOff[[O1]:[D]]),SUM(_xlpm.row))</f>
        <v>11.116666666666667</v>
      </c>
      <c r="F8" s="49">
        <f>tblGradoPonderado[[#This Row],[Grado Ponderado de Entrada]]+tblGradoPonderado[[#This Row],[Grado Ponderado de Salida]]</f>
        <v>11.116666666666667</v>
      </c>
      <c r="G8" s="49">
        <f>tblGradoPonderado[[#This Row],[Grado Ponderado de Salida]]-tblGradoPonderado[[#This Row],[Grado Ponderado de Entrada]]</f>
        <v>11.116666666666667</v>
      </c>
      <c r="H8" s="49">
        <f>tblGradoPonderado[[#This Row],[Grado Ponderado Total]]/tblGradoPonderado[[#Totals],[Grado Ponderado Total]]</f>
        <v>0.23264736658528079</v>
      </c>
      <c r="I8" s="53"/>
      <c r="J8" s="53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42" ht="15" x14ac:dyDescent="0.25">
      <c r="B9" s="15" t="str">
        <f>VLOOKUP(tblGradoPonderado[[#This Row],[Nodo]],tblNodos[#All],2,FALSE)</f>
        <v>Donaciones / crowdfunding / apoyo online</v>
      </c>
      <c r="C9" s="6" t="s">
        <v>65</v>
      </c>
      <c r="D9" s="49">
        <f>_xlfn.LET(_xlpm.n,tblGradoPonderado[[#This Row],[Nodo]],_xlpm.col,_xlfn.XLOOKUP(_xlpm.n,tblMatrizTradeOff[#Headers],tblMatrizTradeOff[#Data]),SUM(_xlpm.col))</f>
        <v>0</v>
      </c>
      <c r="E9" s="49">
        <f>_xlfn.LET(_xlpm.n,tblGradoPonderado[[#This Row],[Nodo]],_xlpm.row,_xlfn.XLOOKUP(_xlpm.n,tblMatrizTradeOff[NodoOrigen \ NodoDestino],tblMatrizTradeOff[[O1]:[D]]),SUM(_xlpm.row))</f>
        <v>14.116666666666667</v>
      </c>
      <c r="F9" s="49">
        <f>tblGradoPonderado[[#This Row],[Grado Ponderado de Entrada]]+tblGradoPonderado[[#This Row],[Grado Ponderado de Salida]]</f>
        <v>14.116666666666667</v>
      </c>
      <c r="G9" s="49">
        <f>tblGradoPonderado[[#This Row],[Grado Ponderado de Salida]]-tblGradoPonderado[[#This Row],[Grado Ponderado de Entrada]]</f>
        <v>14.116666666666667</v>
      </c>
      <c r="H9" s="49">
        <f>tblGradoPonderado[[#This Row],[Grado Ponderado Total]]/tblGradoPonderado[[#Totals],[Grado Ponderado Total]]</f>
        <v>0.29543076386466693</v>
      </c>
      <c r="I9" s="53"/>
      <c r="J9" s="53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42" ht="15" x14ac:dyDescent="0.25">
      <c r="B10" s="15" t="str">
        <f>VLOOKUP(tblGradoPonderado[[#This Row],[Nodo]],tblNodos[#All],2,FALSE)</f>
        <v>Efectivo</v>
      </c>
      <c r="C10" s="6" t="s">
        <v>28</v>
      </c>
      <c r="D10" s="49">
        <f>_xlfn.LET(_xlpm.n,tblGradoPonderado[[#This Row],[Nodo]],_xlpm.col,_xlfn.XLOOKUP(_xlpm.n,tblMatrizTradeOff[#Headers],tblMatrizTradeOff[#Data]),SUM(_xlpm.col))</f>
        <v>22.466666666666669</v>
      </c>
      <c r="E10" s="49">
        <f>_xlfn.LET(_xlpm.n,tblGradoPonderado[[#This Row],[Nodo]],_xlpm.row,_xlfn.XLOOKUP(_xlpm.n,tblMatrizTradeOff[NodoOrigen \ NodoDestino],tblMatrizTradeOff[[O1]:[D]]),SUM(_xlpm.row))</f>
        <v>19.333333333333332</v>
      </c>
      <c r="F10" s="49">
        <f>tblGradoPonderado[[#This Row],[Grado Ponderado de Entrada]]+tblGradoPonderado[[#This Row],[Grado Ponderado de Salida]]</f>
        <v>41.8</v>
      </c>
      <c r="G10" s="49">
        <f>tblGradoPonderado[[#This Row],[Grado Ponderado de Salida]]-tblGradoPonderado[[#This Row],[Grado Ponderado de Entrada]]</f>
        <v>-3.1333333333333364</v>
      </c>
      <c r="H10" s="49">
        <f>tblGradoPonderado[[#This Row],[Grado Ponderado Total]]/tblGradoPonderado[[#Totals],[Grado Ponderado Total]]</f>
        <v>0.8747820020927799</v>
      </c>
      <c r="I10" s="53"/>
      <c r="J10" s="53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2:42" ht="15" x14ac:dyDescent="0.25">
      <c r="B11" s="15" t="str">
        <f>VLOOKUP(tblGradoPonderado[[#This Row],[Nodo]],tblNodos[#All],2,FALSE)</f>
        <v>Hawala / HOSSP</v>
      </c>
      <c r="C11" s="6" t="s">
        <v>41</v>
      </c>
      <c r="D11" s="49">
        <f>_xlfn.LET(_xlpm.n,tblGradoPonderado[[#This Row],[Nodo]],_xlpm.col,_xlfn.XLOOKUP(_xlpm.n,tblMatrizTradeOff[#Headers],tblMatrizTradeOff[#Data]),SUM(_xlpm.col))</f>
        <v>30.666666666666664</v>
      </c>
      <c r="E11" s="49">
        <f>_xlfn.LET(_xlpm.n,tblGradoPonderado[[#This Row],[Nodo]],_xlpm.row,_xlfn.XLOOKUP(_xlpm.n,tblMatrizTradeOff[NodoOrigen \ NodoDestino],tblMatrizTradeOff[[O1]:[D]]),SUM(_xlpm.row))</f>
        <v>17</v>
      </c>
      <c r="F11" s="49">
        <f>tblGradoPonderado[[#This Row],[Grado Ponderado de Entrada]]+tblGradoPonderado[[#This Row],[Grado Ponderado de Salida]]</f>
        <v>47.666666666666664</v>
      </c>
      <c r="G11" s="49">
        <f>tblGradoPonderado[[#This Row],[Grado Ponderado de Salida]]-tblGradoPonderado[[#This Row],[Grado Ponderado de Entrada]]</f>
        <v>-13.666666666666664</v>
      </c>
      <c r="H11" s="49">
        <f>tblGradoPonderado[[#This Row],[Grado Ponderado Total]]/tblGradoPonderado[[#Totals],[Grado Ponderado Total]]</f>
        <v>0.99755842343913492</v>
      </c>
      <c r="I11" s="53"/>
      <c r="J11" s="5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2:42" ht="15" x14ac:dyDescent="0.25">
      <c r="B12" s="15" t="str">
        <f>VLOOKUP(tblGradoPonderado[[#This Row],[Nodo]],tblNodos[#All],2,FALSE)</f>
        <v>MVTS / remesas</v>
      </c>
      <c r="C12" s="6" t="s">
        <v>49</v>
      </c>
      <c r="D12" s="49">
        <f>_xlfn.LET(_xlpm.n,tblGradoPonderado[[#This Row],[Nodo]],_xlpm.col,_xlfn.XLOOKUP(_xlpm.n,tblMatrizTradeOff[#Headers],tblMatrizTradeOff[#Data]),SUM(_xlpm.col))</f>
        <v>23.666666666666668</v>
      </c>
      <c r="E12" s="49">
        <f>_xlfn.LET(_xlpm.n,tblGradoPonderado[[#This Row],[Nodo]],_xlpm.row,_xlfn.XLOOKUP(_xlpm.n,tblMatrizTradeOff[NodoOrigen \ NodoDestino],tblMatrizTradeOff[[O1]:[D]]),SUM(_xlpm.row))</f>
        <v>14.333333333333336</v>
      </c>
      <c r="F12" s="49">
        <f>tblGradoPonderado[[#This Row],[Grado Ponderado de Entrada]]+tblGradoPonderado[[#This Row],[Grado Ponderado de Salida]]</f>
        <v>38</v>
      </c>
      <c r="G12" s="49">
        <f>tblGradoPonderado[[#This Row],[Grado Ponderado de Salida]]-tblGradoPonderado[[#This Row],[Grado Ponderado de Entrada]]</f>
        <v>-9.3333333333333321</v>
      </c>
      <c r="H12" s="49">
        <f>tblGradoPonderado[[#This Row],[Grado Ponderado Total]]/tblGradoPonderado[[#Totals],[Grado Ponderado Total]]</f>
        <v>0.7952563655388909</v>
      </c>
      <c r="I12" s="53"/>
      <c r="J12" s="53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2:42" ht="15" x14ac:dyDescent="0.25">
      <c r="B13" s="15" t="str">
        <f>VLOOKUP(tblGradoPonderado[[#This Row],[Nodo]],tblNodos[#All],2,FALSE)</f>
        <v>Dinero móvil</v>
      </c>
      <c r="C13" s="6" t="s">
        <v>56</v>
      </c>
      <c r="D13" s="49">
        <f>_xlfn.LET(_xlpm.n,tblGradoPonderado[[#This Row],[Nodo]],_xlpm.col,_xlfn.XLOOKUP(_xlpm.n,tblMatrizTradeOff[#Headers],tblMatrizTradeOff[#Data]),SUM(_xlpm.col))</f>
        <v>14.133333333333333</v>
      </c>
      <c r="E13" s="49">
        <f>_xlfn.LET(_xlpm.n,tblGradoPonderado[[#This Row],[Nodo]],_xlpm.row,_xlfn.XLOOKUP(_xlpm.n,tblMatrizTradeOff[NodoOrigen \ NodoDestino],tblMatrizTradeOff[[O1]:[D]]),SUM(_xlpm.row))</f>
        <v>3.5</v>
      </c>
      <c r="F13" s="49">
        <f>tblGradoPonderado[[#This Row],[Grado Ponderado de Entrada]]+tblGradoPonderado[[#This Row],[Grado Ponderado de Salida]]</f>
        <v>17.633333333333333</v>
      </c>
      <c r="G13" s="49">
        <f>tblGradoPonderado[[#This Row],[Grado Ponderado de Salida]]-tblGradoPonderado[[#This Row],[Grado Ponderado de Entrada]]</f>
        <v>-10.633333333333333</v>
      </c>
      <c r="H13" s="49">
        <f>tblGradoPonderado[[#This Row],[Grado Ponderado Total]]/tblGradoPonderado[[#Totals],[Grado Ponderado Total]]</f>
        <v>0.3690268573421695</v>
      </c>
      <c r="I13" s="53"/>
      <c r="J13" s="5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2:42" ht="15" x14ac:dyDescent="0.25">
      <c r="B14" s="15" t="str">
        <f>VLOOKUP(tblGradoPonderado[[#This Row],[Nodo]],tblNodos[#All],2,FALSE)</f>
        <v>Pagos online</v>
      </c>
      <c r="C14" s="6" t="s">
        <v>82</v>
      </c>
      <c r="D14" s="49">
        <f>_xlfn.LET(_xlpm.n,tblGradoPonderado[[#This Row],[Nodo]],_xlpm.col,_xlfn.XLOOKUP(_xlpm.n,tblMatrizTradeOff[#Headers],tblMatrizTradeOff[#Data]),SUM(_xlpm.col))</f>
        <v>14.083333333333332</v>
      </c>
      <c r="E14" s="49">
        <f>_xlfn.LET(_xlpm.n,tblGradoPonderado[[#This Row],[Nodo]],_xlpm.row,_xlfn.XLOOKUP(_xlpm.n,tblMatrizTradeOff[NodoOrigen \ NodoDestino],tblMatrizTradeOff[[O1]:[D]]),SUM(_xlpm.row))</f>
        <v>7.583333333333333</v>
      </c>
      <c r="F14" s="49">
        <f>tblGradoPonderado[[#This Row],[Grado Ponderado de Entrada]]+tblGradoPonderado[[#This Row],[Grado Ponderado de Salida]]</f>
        <v>21.666666666666664</v>
      </c>
      <c r="G14" s="49">
        <f>tblGradoPonderado[[#This Row],[Grado Ponderado de Salida]]-tblGradoPonderado[[#This Row],[Grado Ponderado de Entrada]]</f>
        <v>-6.4999999999999991</v>
      </c>
      <c r="H14" s="49">
        <f>tblGradoPonderado[[#This Row],[Grado Ponderado Total]]/tblGradoPonderado[[#Totals],[Grado Ponderado Total]]</f>
        <v>0.4534356470177886</v>
      </c>
      <c r="I14" s="53"/>
      <c r="J14" s="5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2:42" ht="15" x14ac:dyDescent="0.25">
      <c r="B15" s="15" t="str">
        <f>VLOOKUP(tblGradoPonderado[[#This Row],[Nodo]],tblNodos[#All],2,FALSE)</f>
        <v>Servicios bancarios</v>
      </c>
      <c r="C15" s="6" t="s">
        <v>86</v>
      </c>
      <c r="D15" s="49">
        <f>_xlfn.LET(_xlpm.n,tblGradoPonderado[[#This Row],[Nodo]],_xlpm.col,_xlfn.XLOOKUP(_xlpm.n,tblMatrizTradeOff[#Headers],tblMatrizTradeOff[#Data]),SUM(_xlpm.col))</f>
        <v>16.833333333333336</v>
      </c>
      <c r="E15" s="49">
        <f>_xlfn.LET(_xlpm.n,tblGradoPonderado[[#This Row],[Nodo]],_xlpm.row,_xlfn.XLOOKUP(_xlpm.n,tblMatrizTradeOff[NodoOrigen \ NodoDestino],tblMatrizTradeOff[[O1]:[D]]),SUM(_xlpm.row))</f>
        <v>9.3333333333333339</v>
      </c>
      <c r="F15" s="49">
        <f>tblGradoPonderado[[#This Row],[Grado Ponderado de Entrada]]+tblGradoPonderado[[#This Row],[Grado Ponderado de Salida]]</f>
        <v>26.166666666666671</v>
      </c>
      <c r="G15" s="49">
        <f>tblGradoPonderado[[#This Row],[Grado Ponderado de Salida]]-tblGradoPonderado[[#This Row],[Grado Ponderado de Entrada]]</f>
        <v>-7.5000000000000018</v>
      </c>
      <c r="H15" s="49">
        <f>tblGradoPonderado[[#This Row],[Grado Ponderado Total]]/tblGradoPonderado[[#Totals],[Grado Ponderado Total]]</f>
        <v>0.54761074293686796</v>
      </c>
      <c r="I15" s="53"/>
      <c r="J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2:42" ht="15" x14ac:dyDescent="0.25">
      <c r="B16" s="15" t="str">
        <f>VLOOKUP(tblGradoPonderado[[#This Row],[Nodo]],tblNodos[#All],2,FALSE)</f>
        <v>Tarjetas prepago / e-wallets</v>
      </c>
      <c r="C16" s="6" t="s">
        <v>90</v>
      </c>
      <c r="D16" s="49">
        <f>_xlfn.LET(_xlpm.n,tblGradoPonderado[[#This Row],[Nodo]],_xlpm.col,_xlfn.XLOOKUP(_xlpm.n,tblMatrizTradeOff[#Headers],tblMatrizTradeOff[#Data]),SUM(_xlpm.col))</f>
        <v>3.3333333333333335</v>
      </c>
      <c r="E16" s="49">
        <f>_xlfn.LET(_xlpm.n,tblGradoPonderado[[#This Row],[Nodo]],_xlpm.row,_xlfn.XLOOKUP(_xlpm.n,tblMatrizTradeOff[NodoOrigen \ NodoDestino],tblMatrizTradeOff[[O1]:[D]]),SUM(_xlpm.row))</f>
        <v>3.3333333333333335</v>
      </c>
      <c r="F16" s="49">
        <f>tblGradoPonderado[[#This Row],[Grado Ponderado de Entrada]]+tblGradoPonderado[[#This Row],[Grado Ponderado de Salida]]</f>
        <v>6.666666666666667</v>
      </c>
      <c r="G16" s="49">
        <f>tblGradoPonderado[[#This Row],[Grado Ponderado de Salida]]-tblGradoPonderado[[#This Row],[Grado Ponderado de Entrada]]</f>
        <v>0</v>
      </c>
      <c r="H16" s="49">
        <f>tblGradoPonderado[[#This Row],[Grado Ponderado Total]]/tblGradoPonderado[[#Totals],[Grado Ponderado Total]]</f>
        <v>0.13951866062085805</v>
      </c>
      <c r="I16" s="53"/>
      <c r="J16" s="5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42" ht="15" x14ac:dyDescent="0.25">
      <c r="B17" s="15" t="str">
        <f>VLOOKUP(tblGradoPonderado[[#This Row],[Nodo]],tblNodos[#All],2,FALSE)</f>
        <v>Plataformas digitales</v>
      </c>
      <c r="C17" s="6" t="s">
        <v>94</v>
      </c>
      <c r="D17" s="49">
        <f>_xlfn.LET(_xlpm.n,tblGradoPonderado[[#This Row],[Nodo]],_xlpm.col,_xlfn.XLOOKUP(_xlpm.n,tblMatrizTradeOff[#Headers],tblMatrizTradeOff[#Data]),SUM(_xlpm.col))</f>
        <v>2.2000000000000002</v>
      </c>
      <c r="E17" s="49">
        <f>_xlfn.LET(_xlpm.n,tblGradoPonderado[[#This Row],[Nodo]],_xlpm.row,_xlfn.XLOOKUP(_xlpm.n,tblMatrizTradeOff[NodoOrigen \ NodoDestino],tblMatrizTradeOff[[O1]:[D]]),SUM(_xlpm.row))</f>
        <v>4.95</v>
      </c>
      <c r="F17" s="49">
        <f>tblGradoPonderado[[#This Row],[Grado Ponderado de Entrada]]+tblGradoPonderado[[#This Row],[Grado Ponderado de Salida]]</f>
        <v>7.15</v>
      </c>
      <c r="G17" s="49">
        <f>tblGradoPonderado[[#This Row],[Grado Ponderado de Salida]]-tblGradoPonderado[[#This Row],[Grado Ponderado de Entrada]]</f>
        <v>2.75</v>
      </c>
      <c r="H17" s="49">
        <f>tblGradoPonderado[[#This Row],[Grado Ponderado Total]]/tblGradoPonderado[[#Totals],[Grado Ponderado Total]]</f>
        <v>0.14963376351587027</v>
      </c>
      <c r="I17" s="53"/>
      <c r="J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42" ht="15" x14ac:dyDescent="0.25">
      <c r="B18" s="15" t="str">
        <f>VLOOKUP(tblGradoPonderado[[#This Row],[Nodo]],tblNodos[#All],2,FALSE)</f>
        <v>Activos virtuales</v>
      </c>
      <c r="C18" s="6" t="s">
        <v>63</v>
      </c>
      <c r="D18" s="49">
        <f>_xlfn.LET(_xlpm.n,tblGradoPonderado[[#This Row],[Nodo]],_xlpm.col,_xlfn.XLOOKUP(_xlpm.n,tblMatrizTradeOff[#Headers],tblMatrizTradeOff[#Data]),SUM(_xlpm.col))</f>
        <v>18</v>
      </c>
      <c r="E18" s="49">
        <f>_xlfn.LET(_xlpm.n,tblGradoPonderado[[#This Row],[Nodo]],_xlpm.row,_xlfn.XLOOKUP(_xlpm.n,tblMatrizTradeOff[NodoOrigen \ NodoDestino],tblMatrizTradeOff[[O1]:[D]]),SUM(_xlpm.row))</f>
        <v>8</v>
      </c>
      <c r="F18" s="49">
        <f>tblGradoPonderado[[#This Row],[Grado Ponderado de Entrada]]+tblGradoPonderado[[#This Row],[Grado Ponderado de Salida]]</f>
        <v>26</v>
      </c>
      <c r="G18" s="49">
        <f>tblGradoPonderado[[#This Row],[Grado Ponderado de Salida]]-tblGradoPonderado[[#This Row],[Grado Ponderado de Entrada]]</f>
        <v>-10</v>
      </c>
      <c r="H18" s="49">
        <f>tblGradoPonderado[[#This Row],[Grado Ponderado Total]]/tblGradoPonderado[[#Totals],[Grado Ponderado Total]]</f>
        <v>0.54412277642134632</v>
      </c>
      <c r="I18" s="53"/>
      <c r="J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42" ht="15" x14ac:dyDescent="0.25">
      <c r="B19" s="15" t="str">
        <f>VLOOKUP(tblGradoPonderado[[#This Row],[Nodo]],tblNodos[#All],2,FALSE)</f>
        <v>Tesorería central</v>
      </c>
      <c r="C19" s="6" t="s">
        <v>101</v>
      </c>
      <c r="D19" s="49">
        <f>_xlfn.LET(_xlpm.n,tblGradoPonderado[[#This Row],[Nodo]],_xlpm.col,_xlfn.XLOOKUP(_xlpm.n,tblMatrizTradeOff[#Headers],tblMatrizTradeOff[#Data]),SUM(_xlpm.col))</f>
        <v>9.6666666666666679</v>
      </c>
      <c r="E19" s="49">
        <f>_xlfn.LET(_xlpm.n,tblGradoPonderado[[#This Row],[Nodo]],_xlpm.row,_xlfn.XLOOKUP(_xlpm.n,tblMatrizTradeOff[NodoOrigen \ NodoDestino],tblMatrizTradeOff[[O1]:[D]]),SUM(_xlpm.row))</f>
        <v>12.366666666666667</v>
      </c>
      <c r="F19" s="49">
        <f>tblGradoPonderado[[#This Row],[Grado Ponderado de Entrada]]+tblGradoPonderado[[#This Row],[Grado Ponderado de Salida]]</f>
        <v>22.033333333333335</v>
      </c>
      <c r="G19" s="49">
        <f>tblGradoPonderado[[#This Row],[Grado Ponderado de Salida]]-tblGradoPonderado[[#This Row],[Grado Ponderado de Entrada]]</f>
        <v>2.6999999999999993</v>
      </c>
      <c r="H19" s="49">
        <f>tblGradoPonderado[[#This Row],[Grado Ponderado Total]]/tblGradoPonderado[[#Totals],[Grado Ponderado Total]]</f>
        <v>0.46110917335193585</v>
      </c>
      <c r="I19" s="53"/>
      <c r="J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42" ht="15" x14ac:dyDescent="0.25">
      <c r="B20" s="15" t="str">
        <f>VLOOKUP(tblGradoPonderado[[#This Row],[Nodo]],tblNodos[#All],2,FALSE)</f>
        <v>Centro financiero regional / célula</v>
      </c>
      <c r="C20" s="6" t="s">
        <v>105</v>
      </c>
      <c r="D20" s="49">
        <f>_xlfn.LET(_xlpm.n,tblGradoPonderado[[#This Row],[Nodo]],_xlpm.col,_xlfn.XLOOKUP(_xlpm.n,tblMatrizTradeOff[#Headers],tblMatrizTradeOff[#Data]),SUM(_xlpm.col))</f>
        <v>27.616666666666664</v>
      </c>
      <c r="E20" s="49">
        <f>_xlfn.LET(_xlpm.n,tblGradoPonderado[[#This Row],[Nodo]],_xlpm.row,_xlfn.XLOOKUP(_xlpm.n,tblMatrizTradeOff[NodoOrigen \ NodoDestino],tblMatrizTradeOff[[O1]:[D]]),SUM(_xlpm.row))</f>
        <v>20.166666666666668</v>
      </c>
      <c r="F20" s="49">
        <f>tblGradoPonderado[[#This Row],[Grado Ponderado de Entrada]]+tblGradoPonderado[[#This Row],[Grado Ponderado de Salida]]</f>
        <v>47.783333333333331</v>
      </c>
      <c r="G20" s="49">
        <f>tblGradoPonderado[[#This Row],[Grado Ponderado de Salida]]-tblGradoPonderado[[#This Row],[Grado Ponderado de Entrada]]</f>
        <v>-7.4499999999999957</v>
      </c>
      <c r="H20" s="49">
        <f>tblGradoPonderado[[#This Row],[Grado Ponderado Total]]/tblGradoPonderado[[#Totals],[Grado Ponderado Total]]</f>
        <v>1</v>
      </c>
      <c r="I20" s="53"/>
      <c r="J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42" ht="15" x14ac:dyDescent="0.25">
      <c r="B21" s="15" t="str">
        <f>VLOOKUP(tblGradoPonderado[[#This Row],[Nodo]],tblNodos[#All],2,FALSE)</f>
        <v>Facilitador externo / entidad instrumental</v>
      </c>
      <c r="C21" s="6" t="s">
        <v>109</v>
      </c>
      <c r="D21" s="49">
        <f>_xlfn.LET(_xlpm.n,tblGradoPonderado[[#This Row],[Nodo]],_xlpm.col,_xlfn.XLOOKUP(_xlpm.n,tblMatrizTradeOff[#Headers],tblMatrizTradeOff[#Data]),SUM(_xlpm.col))</f>
        <v>20.416666666666668</v>
      </c>
      <c r="E21" s="49">
        <f>_xlfn.LET(_xlpm.n,tblGradoPonderado[[#This Row],[Nodo]],_xlpm.row,_xlfn.XLOOKUP(_xlpm.n,tblMatrizTradeOff[NodoOrigen \ NodoDestino],tblMatrizTradeOff[[O1]:[D]]),SUM(_xlpm.row))</f>
        <v>15.8</v>
      </c>
      <c r="F21" s="49">
        <f>tblGradoPonderado[[#This Row],[Grado Ponderado de Entrada]]+tblGradoPonderado[[#This Row],[Grado Ponderado de Salida]]</f>
        <v>36.216666666666669</v>
      </c>
      <c r="G21" s="49">
        <f>tblGradoPonderado[[#This Row],[Grado Ponderado de Salida]]-tblGradoPonderado[[#This Row],[Grado Ponderado de Entrada]]</f>
        <v>-4.6166666666666671</v>
      </c>
      <c r="H21" s="49">
        <f>tblGradoPonderado[[#This Row],[Grado Ponderado Total]]/tblGradoPonderado[[#Totals],[Grado Ponderado Total]]</f>
        <v>0.75793512382281136</v>
      </c>
      <c r="I21" s="53"/>
      <c r="J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42" ht="15" x14ac:dyDescent="0.25">
      <c r="B22" s="16" t="str">
        <f>VLOOKUP(tblGradoPonderado[[#This Row],[Nodo]],tblNodos[#All],2,FALSE)</f>
        <v>Destino operativo</v>
      </c>
      <c r="C22" s="11" t="s">
        <v>51</v>
      </c>
      <c r="D22" s="51">
        <f>_xlfn.LET(_xlpm.n,tblGradoPonderado[[#This Row],[Nodo]],_xlpm.col,_xlfn.XLOOKUP(_xlpm.n,tblMatrizTradeOff[#Headers],tblMatrizTradeOff[#Data]),SUM(_xlpm.col))</f>
        <v>22.133333333333336</v>
      </c>
      <c r="E22" s="51">
        <f>_xlfn.LET(_xlpm.n,tblGradoPonderado[[#This Row],[Nodo]],_xlpm.row,_xlfn.XLOOKUP(_xlpm.n,tblMatrizTradeOff[NodoOrigen \ NodoDestino],tblMatrizTradeOff[[O1]:[D]]),SUM(_xlpm.row))</f>
        <v>0</v>
      </c>
      <c r="F22" s="51">
        <f>tblGradoPonderado[[#This Row],[Grado Ponderado de Entrada]]+tblGradoPonderado[[#This Row],[Grado Ponderado de Salida]]</f>
        <v>22.133333333333336</v>
      </c>
      <c r="G22" s="51">
        <f>tblGradoPonderado[[#This Row],[Grado Ponderado de Salida]]-tblGradoPonderado[[#This Row],[Grado Ponderado de Entrada]]</f>
        <v>-22.133333333333336</v>
      </c>
      <c r="H22" s="51">
        <f>tblGradoPonderado[[#This Row],[Grado Ponderado Total]]/tblGradoPonderado[[#Totals],[Grado Ponderado Total]]</f>
        <v>0.4632019532612488</v>
      </c>
      <c r="I22" s="53"/>
      <c r="J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42" ht="17.25" customHeight="1" x14ac:dyDescent="0.25">
      <c r="B23" s="56" t="s">
        <v>217</v>
      </c>
      <c r="C23" s="57"/>
      <c r="D23" s="58"/>
      <c r="E23" s="58"/>
      <c r="F23" s="59">
        <f>SUBTOTAL(104,tblGradoPonderado[Grado Ponderado Total])</f>
        <v>47.783333333333331</v>
      </c>
      <c r="G23" s="58"/>
      <c r="H23" s="58"/>
      <c r="I23" s="53"/>
      <c r="J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2:42" ht="124.5" customHeight="1" x14ac:dyDescent="0.25">
      <c r="B24"/>
      <c r="C24"/>
      <c r="D24" s="60" t="s">
        <v>219</v>
      </c>
      <c r="E24" s="60" t="s">
        <v>220</v>
      </c>
      <c r="F24" s="60" t="s">
        <v>223</v>
      </c>
      <c r="G24" s="60" t="s">
        <v>222</v>
      </c>
      <c r="H24" s="60" t="s">
        <v>221</v>
      </c>
      <c r="I24" s="53"/>
      <c r="J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2:42" ht="17.25" customHeight="1" x14ac:dyDescent="0.25">
      <c r="B25"/>
      <c r="C25"/>
      <c r="D25" s="53"/>
      <c r="E25" s="53"/>
      <c r="F25" s="53"/>
      <c r="G25" s="53"/>
      <c r="H25" s="53"/>
      <c r="I25" s="53"/>
      <c r="J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2:42" ht="17.25" customHeight="1" x14ac:dyDescent="0.25">
      <c r="B26"/>
      <c r="C26"/>
      <c r="D26" s="53"/>
      <c r="E26" s="53"/>
      <c r="F26" s="53"/>
      <c r="G26" s="53"/>
      <c r="H26" s="53"/>
      <c r="I26" s="53"/>
      <c r="J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2:42" ht="17.25" customHeight="1" x14ac:dyDescent="0.25">
      <c r="B27"/>
      <c r="C27"/>
      <c r="D27" s="53"/>
      <c r="E27" s="53"/>
      <c r="F27" s="53"/>
      <c r="G27" s="53"/>
      <c r="H27" s="53"/>
      <c r="I27" s="53"/>
      <c r="J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2:42" ht="17.25" customHeight="1" x14ac:dyDescent="0.25">
      <c r="B28"/>
      <c r="C28"/>
      <c r="D28" s="53"/>
      <c r="E28" s="53"/>
      <c r="F28" s="53"/>
      <c r="G28" s="53"/>
      <c r="H28" s="53"/>
      <c r="I28" s="53"/>
      <c r="J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2:42" ht="17.25" customHeight="1" x14ac:dyDescent="0.25">
      <c r="B29"/>
      <c r="C29"/>
      <c r="D29" s="53"/>
      <c r="E29" s="53"/>
      <c r="F29" s="53"/>
      <c r="G29" s="53"/>
      <c r="H29" s="53"/>
      <c r="I29" s="53"/>
      <c r="J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2:42" ht="17.25" customHeight="1" x14ac:dyDescent="0.25">
      <c r="B30"/>
      <c r="C30"/>
      <c r="D30" s="53"/>
      <c r="E30" s="53"/>
      <c r="F30" s="53"/>
      <c r="G30" s="53"/>
      <c r="H30" s="53"/>
      <c r="I30" s="53"/>
      <c r="J30" s="5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2:42" ht="17.25" customHeight="1" x14ac:dyDescent="0.25">
      <c r="B31"/>
      <c r="C31"/>
      <c r="D31" s="53"/>
      <c r="E31" s="53"/>
      <c r="F31" s="53"/>
      <c r="G31" s="53"/>
      <c r="H31" s="53"/>
      <c r="I31" s="53"/>
      <c r="J31" s="5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2:42" ht="17.25" customHeight="1" x14ac:dyDescent="0.25">
      <c r="B32"/>
      <c r="C32"/>
      <c r="D32" s="53"/>
      <c r="E32" s="53"/>
      <c r="F32" s="53"/>
      <c r="G32" s="53"/>
      <c r="H32" s="53"/>
      <c r="I32" s="53"/>
      <c r="J32" s="5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2:42" ht="17.25" customHeight="1" x14ac:dyDescent="0.25">
      <c r="B33"/>
      <c r="C33"/>
      <c r="D33" s="53"/>
      <c r="E33" s="53"/>
      <c r="F33" s="53"/>
      <c r="G33" s="53"/>
      <c r="H33" s="53"/>
      <c r="I33" s="53"/>
      <c r="J33" s="5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2:42" ht="17.25" customHeight="1" x14ac:dyDescent="0.25">
      <c r="B34"/>
      <c r="C34"/>
      <c r="D34" s="53"/>
      <c r="E34" s="53"/>
      <c r="F34" s="53"/>
      <c r="G34" s="53"/>
      <c r="H34" s="53"/>
      <c r="I34" s="53"/>
      <c r="J34" s="53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2:42" ht="17.25" customHeight="1" x14ac:dyDescent="0.25">
      <c r="B35"/>
      <c r="C35"/>
      <c r="D35" s="53"/>
      <c r="E35" s="53"/>
      <c r="F35" s="53"/>
      <c r="G35" s="53"/>
      <c r="H35" s="53"/>
      <c r="I35" s="53"/>
      <c r="J35" s="53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2:42" ht="17.25" customHeight="1" x14ac:dyDescent="0.25">
      <c r="B36"/>
      <c r="C36"/>
      <c r="D36" s="53"/>
      <c r="E36" s="53"/>
      <c r="F36" s="53"/>
      <c r="G36" s="53"/>
      <c r="H36" s="53"/>
      <c r="I36" s="53"/>
      <c r="J36" s="53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2:42" ht="17.25" customHeight="1" x14ac:dyDescent="0.25">
      <c r="B37"/>
      <c r="C37"/>
      <c r="D37" s="53"/>
      <c r="E37" s="53"/>
      <c r="F37" s="53"/>
      <c r="G37" s="53"/>
      <c r="H37" s="53"/>
      <c r="I37" s="53"/>
      <c r="J37" s="53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2:42" ht="17.25" customHeight="1" x14ac:dyDescent="0.25">
      <c r="B38"/>
      <c r="C38"/>
      <c r="D38" s="53"/>
      <c r="E38" s="53"/>
      <c r="F38" s="53"/>
      <c r="G38" s="53"/>
      <c r="H38" s="53"/>
      <c r="I38" s="53"/>
      <c r="J38" s="53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2:42" ht="17.25" customHeight="1" x14ac:dyDescent="0.25">
      <c r="B39"/>
      <c r="C39"/>
      <c r="D39" s="53"/>
      <c r="E39" s="53"/>
      <c r="F39" s="53"/>
      <c r="G39" s="53"/>
      <c r="H39" s="53"/>
      <c r="I39" s="53"/>
      <c r="J39" s="53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2:42" ht="17.25" customHeight="1" x14ac:dyDescent="0.25">
      <c r="B40"/>
      <c r="C40"/>
      <c r="D40" s="53"/>
      <c r="E40" s="53"/>
      <c r="F40" s="53"/>
      <c r="G40" s="53"/>
      <c r="H40" s="53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2:42" ht="17.2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2:42" ht="17.2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2:42" ht="17.2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2:42" ht="17.2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2:42" ht="17.25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2:42" ht="17.25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2:42" ht="17.2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2:42" ht="17.25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:42" ht="17.25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:42" ht="17.25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:42" ht="17.2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:42" ht="17.25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:42" ht="17.25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:42" ht="17.25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:42" ht="17.2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:42" ht="17.25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:42" ht="17.25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:42" ht="17.2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:42" ht="17.2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:42" ht="17.25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:42" ht="17.25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:42" ht="17.25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:42" ht="17.2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:42" ht="17.2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:42" ht="17.25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:42" ht="17.25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:42" ht="17.2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:42" ht="17.25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:42" ht="17.25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:42" ht="17.2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:42" ht="17.2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:42" ht="17.2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:42" ht="17.2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:42" ht="17.2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:42" ht="17.25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:42" ht="17.25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:42" ht="17.25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:42" ht="17.2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:42" ht="17.2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:42" ht="17.2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:42" ht="17.2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:42" ht="17.2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:42" ht="17.2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:42" ht="17.2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:42" ht="17.2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:42" ht="17.2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:42" ht="17.2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:42" ht="17.25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:42" ht="17.25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:42" ht="17.25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:42" ht="17.25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:42" ht="17.25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:42" ht="17.25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:42" ht="17.25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:42" ht="17.25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:42" ht="17.25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ht="17.25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ht="17.25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ht="17.25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ht="17.2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ht="17.2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ht="17.2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ht="17.2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ht="17.2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ht="17.2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ht="17.2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ht="17.2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ht="17.2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ht="17.2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ht="17.2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ht="17.2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ht="17.2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ht="17.2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ht="17.2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ht="17.2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ht="17.2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ht="17.2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ht="17.2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ht="17.2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ht="17.2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ht="17.2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ht="17.2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ht="17.2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ht="17.2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ht="17.2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ht="17.2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ht="17.2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ht="17.2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ht="17.2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ht="17.2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ht="17.2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ht="17.2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ht="17.2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ht="17.2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ht="17.2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ht="17.2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ht="17.2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ht="17.2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ht="17.2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ht="17.2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ht="17.2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ht="17.2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ht="17.2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ht="17.2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ht="17.2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ht="17.2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ht="17.2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ht="17.2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ht="17.2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ht="17.2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ht="17.2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ht="17.2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ht="17.2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ht="17.2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ht="17.2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ht="17.2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ht="17.2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ht="17.2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ht="17.2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ht="17.2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ht="17.2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ht="17.2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ht="17.2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ht="17.2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ht="17.2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ht="17.2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ht="17.2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ht="17.2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ht="17.2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ht="17.2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ht="17.2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ht="17.2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ht="17.2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ht="17.2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ht="17.2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ht="17.2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ht="17.2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ht="17.2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ht="17.2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ht="17.2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ht="17.2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ht="17.2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ht="17.2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ht="17.2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ht="17.2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ht="17.2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ht="17.2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ht="17.2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 ht="17.2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 ht="17.2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 ht="17.2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 ht="17.2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 ht="17.2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 ht="17.2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 ht="17.2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 ht="17.2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 ht="17.2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 ht="17.2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 ht="17.2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 ht="17.25" customHeight="1" x14ac:dyDescent="0.25">
      <c r="B200"/>
      <c r="C200"/>
      <c r="D200"/>
      <c r="E200"/>
      <c r="F200"/>
      <c r="G200"/>
      <c r="H200"/>
    </row>
  </sheetData>
  <mergeCells count="1">
    <mergeCell ref="B2:H2"/>
  </mergeCells>
  <conditionalFormatting sqref="D4:F22">
    <cfRule type="colorScale" priority="63">
      <colorScale>
        <cfvo type="num" val="0"/>
        <cfvo type="percent" val="50"/>
        <cfvo type="max"/>
        <color theme="0"/>
        <color rgb="FFFFEB84"/>
        <color rgb="FFF8696B"/>
      </colorScale>
    </cfRule>
    <cfRule type="cellIs" dxfId="0" priority="64" operator="equal">
      <formula>0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Red</vt:lpstr>
      <vt:lpstr>Grafo Visual</vt:lpstr>
      <vt:lpstr>MatrizDeAdyacencia</vt:lpstr>
      <vt:lpstr>MatrizPonderadaCostes</vt:lpstr>
      <vt:lpstr>MatrizPonderadaValorOperativo</vt:lpstr>
      <vt:lpstr>MatrizTradeOff Valor Op-Coste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Sarti Fernández</cp:lastModifiedBy>
  <dcterms:created xsi:type="dcterms:W3CDTF">2026-03-18T17:42:29Z</dcterms:created>
  <dcterms:modified xsi:type="dcterms:W3CDTF">2026-03-24T08:17:56Z</dcterms:modified>
</cp:coreProperties>
</file>